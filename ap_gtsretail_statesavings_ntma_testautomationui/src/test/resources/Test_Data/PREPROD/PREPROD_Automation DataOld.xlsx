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E5F7D10C-2A30-45DF-816F-285516A3D210}" xr6:coauthVersionLast="47" xr6:coauthVersionMax="47" xr10:uidLastSave="{00000000-0000-0000-0000-000000000000}"/>
  <bookViews>
    <workbookView xWindow="-108" yWindow="-108" windowWidth="23256" windowHeight="12456" tabRatio="723" xr2:uid="{00000000-000D-0000-FFFF-FFFF00000000}"/>
  </bookViews>
  <sheets>
    <sheet name="Regression" sheetId="11" r:id="rId1"/>
    <sheet name="Error_Scenarios" sheetId="13" r:id="rId2"/>
    <sheet name="PreProdRegistratio" sheetId="12" r:id="rId3"/>
    <sheet name="Purchase Journeys" sheetId="15" r:id="rId4"/>
  </sheets>
  <externalReferences>
    <externalReference r:id="rId5"/>
    <externalReference r:id="rId6"/>
  </externalReferences>
  <definedNames>
    <definedName name="_xlnm._FilterDatabase" localSheetId="2" hidden="1">PreProdRegistratio!$A$1:$Z$36</definedName>
    <definedName name="Country" localSheetId="3">[1]Nationality!$A$1:$A$253</definedName>
    <definedName name="Country">[2]Nationality!$A$1:$A$253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26" i="15" l="1"/>
  <c r="AQ226" i="15"/>
  <c r="X226" i="15"/>
  <c r="W226" i="15"/>
  <c r="Z226" i="15" s="1"/>
  <c r="Y224" i="15"/>
  <c r="X222" i="15"/>
  <c r="P222" i="15" s="1"/>
  <c r="W222" i="15"/>
  <c r="X221" i="15"/>
  <c r="L221" i="15" s="1"/>
  <c r="W221" i="15"/>
  <c r="AR219" i="15"/>
  <c r="AQ219" i="15"/>
  <c r="X219" i="15"/>
  <c r="P219" i="15" s="1"/>
  <c r="W219" i="15"/>
  <c r="Y219" i="15" s="1"/>
  <c r="L219" i="15"/>
  <c r="K219" i="15"/>
  <c r="X218" i="15"/>
  <c r="P218" i="15" s="1"/>
  <c r="W218" i="15"/>
  <c r="Z218" i="15" s="1"/>
  <c r="AR212" i="15"/>
  <c r="AQ212" i="15"/>
  <c r="X212" i="15"/>
  <c r="W212" i="15"/>
  <c r="K212" i="15" s="1"/>
  <c r="AR211" i="15"/>
  <c r="AQ211" i="15"/>
  <c r="X211" i="15"/>
  <c r="N211" i="15" s="1"/>
  <c r="W211" i="15"/>
  <c r="AR210" i="15"/>
  <c r="AQ210" i="15"/>
  <c r="X210" i="15"/>
  <c r="N210" i="15" s="1"/>
  <c r="W210" i="15"/>
  <c r="K210" i="15" s="1"/>
  <c r="AR209" i="15"/>
  <c r="AQ209" i="15"/>
  <c r="X209" i="15"/>
  <c r="N209" i="15" s="1"/>
  <c r="W209" i="15"/>
  <c r="Y209" i="15" s="1"/>
  <c r="AR208" i="15"/>
  <c r="AQ208" i="15"/>
  <c r="X208" i="15"/>
  <c r="W208" i="15"/>
  <c r="K208" i="15" s="1"/>
  <c r="AR207" i="15"/>
  <c r="AQ207" i="15"/>
  <c r="X207" i="15"/>
  <c r="N207" i="15" s="1"/>
  <c r="W207" i="15"/>
  <c r="Y207" i="15" s="1"/>
  <c r="AR206" i="15"/>
  <c r="AQ206" i="15"/>
  <c r="X206" i="15"/>
  <c r="N206" i="15" s="1"/>
  <c r="W206" i="15"/>
  <c r="K206" i="15" s="1"/>
  <c r="AR205" i="15"/>
  <c r="AQ205" i="15"/>
  <c r="X205" i="15"/>
  <c r="N205" i="15" s="1"/>
  <c r="W205" i="15"/>
  <c r="Y205" i="15" s="1"/>
  <c r="AR204" i="15"/>
  <c r="AQ204" i="15"/>
  <c r="X204" i="15"/>
  <c r="W204" i="15"/>
  <c r="K204" i="15" s="1"/>
  <c r="AR203" i="15"/>
  <c r="AQ203" i="15"/>
  <c r="X203" i="15"/>
  <c r="N203" i="15" s="1"/>
  <c r="W203" i="15"/>
  <c r="Z203" i="15" s="1"/>
  <c r="AR202" i="15"/>
  <c r="AQ202" i="15"/>
  <c r="X202" i="15"/>
  <c r="W202" i="15"/>
  <c r="K202" i="15" s="1"/>
  <c r="AR201" i="15"/>
  <c r="AQ201" i="15"/>
  <c r="X201" i="15"/>
  <c r="N201" i="15" s="1"/>
  <c r="W201" i="15"/>
  <c r="Z201" i="15" s="1"/>
  <c r="AR200" i="15"/>
  <c r="AQ200" i="15"/>
  <c r="X200" i="15"/>
  <c r="W200" i="15"/>
  <c r="K200" i="15" s="1"/>
  <c r="AR199" i="15"/>
  <c r="AQ199" i="15"/>
  <c r="X199" i="15"/>
  <c r="W199" i="15"/>
  <c r="AR198" i="15"/>
  <c r="AQ198" i="15"/>
  <c r="X198" i="15"/>
  <c r="N198" i="15" s="1"/>
  <c r="W198" i="15"/>
  <c r="K198" i="15" s="1"/>
  <c r="AR197" i="15"/>
  <c r="AQ197" i="15"/>
  <c r="X197" i="15"/>
  <c r="N197" i="15" s="1"/>
  <c r="W197" i="15"/>
  <c r="Z197" i="15" s="1"/>
  <c r="AR196" i="15"/>
  <c r="AQ196" i="15"/>
  <c r="X196" i="15"/>
  <c r="W196" i="15"/>
  <c r="K196" i="15" s="1"/>
  <c r="AR195" i="15"/>
  <c r="AQ195" i="15"/>
  <c r="X195" i="15"/>
  <c r="N195" i="15" s="1"/>
  <c r="W195" i="15"/>
  <c r="Y195" i="15" s="1"/>
  <c r="AR194" i="15"/>
  <c r="AQ194" i="15"/>
  <c r="X194" i="15"/>
  <c r="N194" i="15" s="1"/>
  <c r="W194" i="15"/>
  <c r="AR193" i="15"/>
  <c r="AQ193" i="15"/>
  <c r="X193" i="15"/>
  <c r="N193" i="15" s="1"/>
  <c r="W193" i="15"/>
  <c r="Z193" i="15" s="1"/>
  <c r="AR192" i="15"/>
  <c r="AQ192" i="15"/>
  <c r="X192" i="15"/>
  <c r="W192" i="15"/>
  <c r="K192" i="15" s="1"/>
  <c r="AR191" i="15"/>
  <c r="AQ191" i="15"/>
  <c r="X191" i="15"/>
  <c r="N191" i="15" s="1"/>
  <c r="W191" i="15"/>
  <c r="AR190" i="15"/>
  <c r="AQ190" i="15"/>
  <c r="X190" i="15"/>
  <c r="N190" i="15" s="1"/>
  <c r="W190" i="15"/>
  <c r="K190" i="15" s="1"/>
  <c r="AR189" i="15"/>
  <c r="AQ189" i="15"/>
  <c r="X189" i="15"/>
  <c r="N189" i="15" s="1"/>
  <c r="W189" i="15"/>
  <c r="Z189" i="15" s="1"/>
  <c r="L189" i="15"/>
  <c r="AR188" i="15"/>
  <c r="AQ188" i="15"/>
  <c r="X188" i="15"/>
  <c r="W188" i="15"/>
  <c r="K188" i="15" s="1"/>
  <c r="AR187" i="15"/>
  <c r="AQ187" i="15"/>
  <c r="X187" i="15"/>
  <c r="N187" i="15" s="1"/>
  <c r="W187" i="15"/>
  <c r="Y187" i="15" s="1"/>
  <c r="AR186" i="15"/>
  <c r="AQ186" i="15"/>
  <c r="X186" i="15"/>
  <c r="N186" i="15" s="1"/>
  <c r="W186" i="15"/>
  <c r="K186" i="15" s="1"/>
  <c r="AR185" i="15"/>
  <c r="AQ185" i="15"/>
  <c r="X185" i="15"/>
  <c r="N185" i="15" s="1"/>
  <c r="W185" i="15"/>
  <c r="K185" i="15" s="1"/>
  <c r="AR184" i="15"/>
  <c r="AQ184" i="15"/>
  <c r="X184" i="15"/>
  <c r="W184" i="15"/>
  <c r="K184" i="15" s="1"/>
  <c r="AR183" i="15"/>
  <c r="AQ183" i="15"/>
  <c r="X183" i="15"/>
  <c r="N183" i="15" s="1"/>
  <c r="W183" i="15"/>
  <c r="Z183" i="15" s="1"/>
  <c r="AR182" i="15"/>
  <c r="AQ182" i="15"/>
  <c r="X182" i="15"/>
  <c r="N182" i="15" s="1"/>
  <c r="W182" i="15"/>
  <c r="K182" i="15" s="1"/>
  <c r="AR181" i="15"/>
  <c r="AQ181" i="15"/>
  <c r="X181" i="15"/>
  <c r="N181" i="15" s="1"/>
  <c r="W181" i="15"/>
  <c r="Z181" i="15" s="1"/>
  <c r="AR180" i="15"/>
  <c r="AQ180" i="15"/>
  <c r="X180" i="15"/>
  <c r="W180" i="15"/>
  <c r="K180" i="15" s="1"/>
  <c r="AR179" i="15"/>
  <c r="AQ179" i="15"/>
  <c r="X179" i="15"/>
  <c r="W179" i="15"/>
  <c r="Z179" i="15" s="1"/>
  <c r="AR178" i="15"/>
  <c r="AQ178" i="15"/>
  <c r="X178" i="15"/>
  <c r="N178" i="15" s="1"/>
  <c r="W178" i="15"/>
  <c r="K178" i="15" s="1"/>
  <c r="L178" i="15"/>
  <c r="AR177" i="15"/>
  <c r="AQ177" i="15"/>
  <c r="X177" i="15"/>
  <c r="N177" i="15" s="1"/>
  <c r="W177" i="15"/>
  <c r="Z177" i="15" s="1"/>
  <c r="AR176" i="15"/>
  <c r="AQ176" i="15"/>
  <c r="X176" i="15"/>
  <c r="W176" i="15"/>
  <c r="K176" i="15" s="1"/>
  <c r="AR175" i="15"/>
  <c r="AQ175" i="15"/>
  <c r="X175" i="15"/>
  <c r="N175" i="15" s="1"/>
  <c r="W175" i="15"/>
  <c r="Y175" i="15" s="1"/>
  <c r="AR174" i="15"/>
  <c r="AQ174" i="15"/>
  <c r="X174" i="15"/>
  <c r="W174" i="15"/>
  <c r="AR173" i="15"/>
  <c r="AQ173" i="15"/>
  <c r="X173" i="15"/>
  <c r="N173" i="15" s="1"/>
  <c r="W173" i="15"/>
  <c r="Z173" i="15" s="1"/>
  <c r="AR172" i="15"/>
  <c r="AQ172" i="15"/>
  <c r="X172" i="15"/>
  <c r="W172" i="15"/>
  <c r="K172" i="15" s="1"/>
  <c r="AR171" i="15"/>
  <c r="AQ171" i="15"/>
  <c r="X171" i="15"/>
  <c r="N171" i="15" s="1"/>
  <c r="W171" i="15"/>
  <c r="AR170" i="15"/>
  <c r="AQ170" i="15"/>
  <c r="X170" i="15"/>
  <c r="N170" i="15" s="1"/>
  <c r="W170" i="15"/>
  <c r="K170" i="15"/>
  <c r="AR169" i="15"/>
  <c r="AQ169" i="15"/>
  <c r="X169" i="15"/>
  <c r="N169" i="15" s="1"/>
  <c r="W169" i="15"/>
  <c r="Z169" i="15" s="1"/>
  <c r="AR168" i="15"/>
  <c r="AQ168" i="15"/>
  <c r="X168" i="15"/>
  <c r="W168" i="15"/>
  <c r="AR167" i="15"/>
  <c r="AQ167" i="15"/>
  <c r="X167" i="15"/>
  <c r="N167" i="15" s="1"/>
  <c r="W167" i="15"/>
  <c r="K167" i="15" s="1"/>
  <c r="AR166" i="15"/>
  <c r="AQ166" i="15"/>
  <c r="X166" i="15"/>
  <c r="W166" i="15"/>
  <c r="AR165" i="15"/>
  <c r="AQ165" i="15"/>
  <c r="X165" i="15"/>
  <c r="N165" i="15" s="1"/>
  <c r="W165" i="15"/>
  <c r="K165" i="15" s="1"/>
  <c r="AR164" i="15"/>
  <c r="AQ164" i="15"/>
  <c r="X164" i="15"/>
  <c r="W164" i="15"/>
  <c r="AR163" i="15"/>
  <c r="AQ163" i="15"/>
  <c r="X163" i="15"/>
  <c r="N163" i="15" s="1"/>
  <c r="W163" i="15"/>
  <c r="AR162" i="15"/>
  <c r="AQ162" i="15"/>
  <c r="X162" i="15"/>
  <c r="N162" i="15" s="1"/>
  <c r="W162" i="15"/>
  <c r="K162" i="15" s="1"/>
  <c r="AR161" i="15"/>
  <c r="AQ161" i="15"/>
  <c r="X161" i="15"/>
  <c r="N161" i="15" s="1"/>
  <c r="W161" i="15"/>
  <c r="K161" i="15" s="1"/>
  <c r="AR160" i="15"/>
  <c r="AQ160" i="15"/>
  <c r="X160" i="15"/>
  <c r="W160" i="15"/>
  <c r="AR159" i="15"/>
  <c r="AQ159" i="15"/>
  <c r="X159" i="15"/>
  <c r="N159" i="15" s="1"/>
  <c r="W159" i="15"/>
  <c r="K159" i="15" s="1"/>
  <c r="AR158" i="15"/>
  <c r="AQ158" i="15"/>
  <c r="X158" i="15"/>
  <c r="W158" i="15"/>
  <c r="AR157" i="15"/>
  <c r="AQ157" i="15"/>
  <c r="X157" i="15"/>
  <c r="N157" i="15" s="1"/>
  <c r="W157" i="15"/>
  <c r="Z157" i="15" s="1"/>
  <c r="K157" i="15"/>
  <c r="AR156" i="15"/>
  <c r="AQ156" i="15"/>
  <c r="X156" i="15"/>
  <c r="W156" i="15"/>
  <c r="AR155" i="15"/>
  <c r="AQ155" i="15"/>
  <c r="X155" i="15"/>
  <c r="N155" i="15" s="1"/>
  <c r="W155" i="15"/>
  <c r="AR154" i="15"/>
  <c r="AQ154" i="15"/>
  <c r="X154" i="15"/>
  <c r="N154" i="15" s="1"/>
  <c r="W154" i="15"/>
  <c r="K154" i="15" s="1"/>
  <c r="AR153" i="15"/>
  <c r="AQ153" i="15"/>
  <c r="X153" i="15"/>
  <c r="N153" i="15" s="1"/>
  <c r="W153" i="15"/>
  <c r="O153" i="15" s="1"/>
  <c r="AR152" i="15"/>
  <c r="AQ152" i="15"/>
  <c r="X152" i="15"/>
  <c r="W152" i="15"/>
  <c r="O152" i="15" s="1"/>
  <c r="AR151" i="15"/>
  <c r="AQ151" i="15"/>
  <c r="X151" i="15"/>
  <c r="N151" i="15" s="1"/>
  <c r="W151" i="15"/>
  <c r="K151" i="15" s="1"/>
  <c r="AR150" i="15"/>
  <c r="AQ150" i="15"/>
  <c r="X150" i="15"/>
  <c r="P150" i="15" s="1"/>
  <c r="W150" i="15"/>
  <c r="M150" i="15" s="1"/>
  <c r="AR149" i="15"/>
  <c r="AQ149" i="15"/>
  <c r="X149" i="15"/>
  <c r="W149" i="15"/>
  <c r="Z149" i="15" s="1"/>
  <c r="AR148" i="15"/>
  <c r="AQ148" i="15"/>
  <c r="X148" i="15"/>
  <c r="L148" i="15" s="1"/>
  <c r="W148" i="15"/>
  <c r="AR147" i="15"/>
  <c r="AQ147" i="15"/>
  <c r="X147" i="15"/>
  <c r="L147" i="15" s="1"/>
  <c r="W147" i="15"/>
  <c r="Z147" i="15" s="1"/>
  <c r="AR146" i="15"/>
  <c r="AQ146" i="15"/>
  <c r="X146" i="15"/>
  <c r="P146" i="15" s="1"/>
  <c r="W146" i="15"/>
  <c r="M146" i="15" s="1"/>
  <c r="AR145" i="15"/>
  <c r="AQ145" i="15"/>
  <c r="X145" i="15"/>
  <c r="L145" i="15" s="1"/>
  <c r="W145" i="15"/>
  <c r="K145" i="15" s="1"/>
  <c r="AR144" i="15"/>
  <c r="AQ144" i="15"/>
  <c r="X144" i="15"/>
  <c r="P144" i="15" s="1"/>
  <c r="W144" i="15"/>
  <c r="AR143" i="15"/>
  <c r="AQ143" i="15"/>
  <c r="X143" i="15"/>
  <c r="P143" i="15" s="1"/>
  <c r="W143" i="15"/>
  <c r="O143" i="15" s="1"/>
  <c r="AR142" i="15"/>
  <c r="AQ142" i="15"/>
  <c r="X142" i="15"/>
  <c r="P142" i="15" s="1"/>
  <c r="W142" i="15"/>
  <c r="O142" i="15" s="1"/>
  <c r="AR141" i="15"/>
  <c r="AQ141" i="15"/>
  <c r="X141" i="15"/>
  <c r="P141" i="15" s="1"/>
  <c r="W141" i="15"/>
  <c r="O141" i="15" s="1"/>
  <c r="AR140" i="15"/>
  <c r="AQ140" i="15"/>
  <c r="X140" i="15"/>
  <c r="N140" i="15" s="1"/>
  <c r="W140" i="15"/>
  <c r="O140" i="15" s="1"/>
  <c r="AR139" i="15"/>
  <c r="AQ139" i="15"/>
  <c r="X139" i="15"/>
  <c r="N139" i="15" s="1"/>
  <c r="W139" i="15"/>
  <c r="Y139" i="15" s="1"/>
  <c r="AR138" i="15"/>
  <c r="AQ138" i="15"/>
  <c r="X138" i="15"/>
  <c r="P138" i="15" s="1"/>
  <c r="W138" i="15"/>
  <c r="M138" i="15" s="1"/>
  <c r="AR137" i="15"/>
  <c r="AQ137" i="15"/>
  <c r="X137" i="15"/>
  <c r="P137" i="15" s="1"/>
  <c r="W137" i="15"/>
  <c r="Y137" i="15" s="1"/>
  <c r="AR136" i="15"/>
  <c r="AQ136" i="15"/>
  <c r="X136" i="15"/>
  <c r="N136" i="15" s="1"/>
  <c r="W136" i="15"/>
  <c r="K136" i="15" s="1"/>
  <c r="O136" i="15"/>
  <c r="AR135" i="15"/>
  <c r="AQ135" i="15"/>
  <c r="X135" i="15"/>
  <c r="W135" i="15"/>
  <c r="AR134" i="15"/>
  <c r="AQ134" i="15"/>
  <c r="X134" i="15"/>
  <c r="N134" i="15" s="1"/>
  <c r="W134" i="15"/>
  <c r="O134" i="15" s="1"/>
  <c r="AR133" i="15"/>
  <c r="AQ133" i="15"/>
  <c r="X133" i="15"/>
  <c r="N133" i="15" s="1"/>
  <c r="W133" i="15"/>
  <c r="Y133" i="15" s="1"/>
  <c r="P133" i="15"/>
  <c r="AR132" i="15"/>
  <c r="AQ132" i="15"/>
  <c r="X132" i="15"/>
  <c r="P132" i="15" s="1"/>
  <c r="W132" i="15"/>
  <c r="M132" i="15" s="1"/>
  <c r="K132" i="15"/>
  <c r="AR131" i="15"/>
  <c r="AQ131" i="15"/>
  <c r="X131" i="15"/>
  <c r="P131" i="15" s="1"/>
  <c r="W131" i="15"/>
  <c r="Y131" i="15" s="1"/>
  <c r="AR130" i="15"/>
  <c r="AQ130" i="15"/>
  <c r="X130" i="15"/>
  <c r="W130" i="15"/>
  <c r="Y130" i="15" s="1"/>
  <c r="AR129" i="15"/>
  <c r="AQ129" i="15"/>
  <c r="X129" i="15"/>
  <c r="N129" i="15" s="1"/>
  <c r="W129" i="15"/>
  <c r="P129" i="15"/>
  <c r="AR128" i="15"/>
  <c r="AQ128" i="15"/>
  <c r="X128" i="15"/>
  <c r="N128" i="15" s="1"/>
  <c r="W128" i="15"/>
  <c r="O128" i="15" s="1"/>
  <c r="L128" i="15"/>
  <c r="AR127" i="15"/>
  <c r="AQ127" i="15"/>
  <c r="X127" i="15"/>
  <c r="N127" i="15" s="1"/>
  <c r="W127" i="15"/>
  <c r="O127" i="15" s="1"/>
  <c r="AR126" i="15"/>
  <c r="AQ126" i="15"/>
  <c r="X126" i="15"/>
  <c r="N126" i="15" s="1"/>
  <c r="W126" i="15"/>
  <c r="O126" i="15" s="1"/>
  <c r="AR125" i="15"/>
  <c r="AQ125" i="15"/>
  <c r="X125" i="15"/>
  <c r="W125" i="15"/>
  <c r="M125" i="15" s="1"/>
  <c r="AR124" i="15"/>
  <c r="AQ124" i="15"/>
  <c r="X124" i="15"/>
  <c r="P124" i="15" s="1"/>
  <c r="W124" i="15"/>
  <c r="AR123" i="15"/>
  <c r="AQ123" i="15"/>
  <c r="X123" i="15"/>
  <c r="N123" i="15" s="1"/>
  <c r="W123" i="15"/>
  <c r="M123" i="15" s="1"/>
  <c r="O123" i="15"/>
  <c r="AR122" i="15"/>
  <c r="AQ122" i="15"/>
  <c r="X122" i="15"/>
  <c r="N122" i="15" s="1"/>
  <c r="W122" i="15"/>
  <c r="M122" i="15" s="1"/>
  <c r="AR121" i="15"/>
  <c r="AQ121" i="15"/>
  <c r="X121" i="15"/>
  <c r="L121" i="15" s="1"/>
  <c r="W121" i="15"/>
  <c r="M121" i="15" s="1"/>
  <c r="AR120" i="15"/>
  <c r="AQ120" i="15"/>
  <c r="X120" i="15"/>
  <c r="L120" i="15" s="1"/>
  <c r="W120" i="15"/>
  <c r="M120" i="15" s="1"/>
  <c r="AR119" i="15"/>
  <c r="AQ119" i="15"/>
  <c r="X119" i="15"/>
  <c r="W119" i="15"/>
  <c r="Y119" i="15" s="1"/>
  <c r="AR118" i="15"/>
  <c r="AQ118" i="15"/>
  <c r="X118" i="15"/>
  <c r="L118" i="15" s="1"/>
  <c r="W118" i="15"/>
  <c r="O118" i="15" s="1"/>
  <c r="AR117" i="15"/>
  <c r="AQ117" i="15"/>
  <c r="X117" i="15"/>
  <c r="L117" i="15" s="1"/>
  <c r="W117" i="15"/>
  <c r="M117" i="15" s="1"/>
  <c r="AR116" i="15"/>
  <c r="AQ116" i="15"/>
  <c r="X116" i="15"/>
  <c r="L116" i="15" s="1"/>
  <c r="W116" i="15"/>
  <c r="M116" i="15" s="1"/>
  <c r="AR115" i="15"/>
  <c r="AQ115" i="15"/>
  <c r="X115" i="15"/>
  <c r="L115" i="15" s="1"/>
  <c r="W115" i="15"/>
  <c r="M115" i="15" s="1"/>
  <c r="AR114" i="15"/>
  <c r="AQ114" i="15"/>
  <c r="X114" i="15"/>
  <c r="L114" i="15" s="1"/>
  <c r="W114" i="15"/>
  <c r="M114" i="15" s="1"/>
  <c r="P114" i="15"/>
  <c r="O114" i="15"/>
  <c r="AR113" i="15"/>
  <c r="AQ113" i="15"/>
  <c r="X113" i="15"/>
  <c r="W113" i="15"/>
  <c r="Y113" i="15" s="1"/>
  <c r="AR112" i="15"/>
  <c r="AQ112" i="15"/>
  <c r="X112" i="15"/>
  <c r="P112" i="15" s="1"/>
  <c r="W112" i="15"/>
  <c r="AR111" i="15"/>
  <c r="AQ111" i="15"/>
  <c r="X111" i="15"/>
  <c r="L111" i="15" s="1"/>
  <c r="W111" i="15"/>
  <c r="M111" i="15" s="1"/>
  <c r="AR110" i="15"/>
  <c r="AQ110" i="15"/>
  <c r="X110" i="15"/>
  <c r="L110" i="15" s="1"/>
  <c r="W110" i="15"/>
  <c r="M110" i="15" s="1"/>
  <c r="AR109" i="15"/>
  <c r="AQ109" i="15"/>
  <c r="X109" i="15"/>
  <c r="L109" i="15" s="1"/>
  <c r="W109" i="15"/>
  <c r="AR108" i="15"/>
  <c r="AQ108" i="15"/>
  <c r="X108" i="15"/>
  <c r="L108" i="15" s="1"/>
  <c r="W108" i="15"/>
  <c r="M108" i="15" s="1"/>
  <c r="AR107" i="15"/>
  <c r="AQ107" i="15"/>
  <c r="X107" i="15"/>
  <c r="W107" i="15"/>
  <c r="K107" i="15" s="1"/>
  <c r="AR106" i="15"/>
  <c r="AQ106" i="15"/>
  <c r="X106" i="15"/>
  <c r="P106" i="15" s="1"/>
  <c r="W106" i="15"/>
  <c r="O106" i="15" s="1"/>
  <c r="AR105" i="15"/>
  <c r="AQ105" i="15"/>
  <c r="X105" i="15"/>
  <c r="L105" i="15" s="1"/>
  <c r="W105" i="15"/>
  <c r="M105" i="15" s="1"/>
  <c r="AR104" i="15"/>
  <c r="AQ104" i="15"/>
  <c r="X104" i="15"/>
  <c r="N104" i="15" s="1"/>
  <c r="W104" i="15"/>
  <c r="K104" i="15" s="1"/>
  <c r="AR103" i="15"/>
  <c r="AQ103" i="15"/>
  <c r="X103" i="15"/>
  <c r="L103" i="15" s="1"/>
  <c r="W103" i="15"/>
  <c r="O103" i="15" s="1"/>
  <c r="AR102" i="15"/>
  <c r="AQ102" i="15"/>
  <c r="X102" i="15"/>
  <c r="L102" i="15" s="1"/>
  <c r="W102" i="15"/>
  <c r="M102" i="15" s="1"/>
  <c r="AR101" i="15"/>
  <c r="AQ101" i="15"/>
  <c r="X101" i="15"/>
  <c r="W101" i="15"/>
  <c r="K101" i="15" s="1"/>
  <c r="AR100" i="15"/>
  <c r="AQ100" i="15"/>
  <c r="X100" i="15"/>
  <c r="P100" i="15" s="1"/>
  <c r="W100" i="15"/>
  <c r="O100" i="15" s="1"/>
  <c r="AR99" i="15"/>
  <c r="AQ99" i="15"/>
  <c r="X99" i="15"/>
  <c r="L99" i="15" s="1"/>
  <c r="W99" i="15"/>
  <c r="M99" i="15" s="1"/>
  <c r="AR98" i="15"/>
  <c r="AQ98" i="15"/>
  <c r="X98" i="15"/>
  <c r="N98" i="15" s="1"/>
  <c r="W98" i="15"/>
  <c r="Y98" i="15" s="1"/>
  <c r="AR97" i="15"/>
  <c r="AQ97" i="15"/>
  <c r="X97" i="15"/>
  <c r="L97" i="15" s="1"/>
  <c r="W97" i="15"/>
  <c r="O97" i="15" s="1"/>
  <c r="AR96" i="15"/>
  <c r="AQ96" i="15"/>
  <c r="X96" i="15"/>
  <c r="L96" i="15" s="1"/>
  <c r="W96" i="15"/>
  <c r="M96" i="15" s="1"/>
  <c r="AR95" i="15"/>
  <c r="AQ95" i="15"/>
  <c r="X95" i="15"/>
  <c r="W95" i="15"/>
  <c r="Z95" i="15" s="1"/>
  <c r="AR94" i="15"/>
  <c r="AQ94" i="15"/>
  <c r="X94" i="15"/>
  <c r="P94" i="15" s="1"/>
  <c r="W94" i="15"/>
  <c r="O94" i="15" s="1"/>
  <c r="AR93" i="15"/>
  <c r="AQ93" i="15"/>
  <c r="X93" i="15"/>
  <c r="L93" i="15" s="1"/>
  <c r="W93" i="15"/>
  <c r="M93" i="15" s="1"/>
  <c r="AR92" i="15"/>
  <c r="AQ92" i="15"/>
  <c r="X92" i="15"/>
  <c r="N92" i="15" s="1"/>
  <c r="W92" i="15"/>
  <c r="K92" i="15" s="1"/>
  <c r="AR91" i="15"/>
  <c r="AQ91" i="15"/>
  <c r="X91" i="15"/>
  <c r="L91" i="15" s="1"/>
  <c r="W91" i="15"/>
  <c r="O91" i="15" s="1"/>
  <c r="AR90" i="15"/>
  <c r="AQ90" i="15"/>
  <c r="X90" i="15"/>
  <c r="L90" i="15" s="1"/>
  <c r="W90" i="15"/>
  <c r="M90" i="15" s="1"/>
  <c r="AR89" i="15"/>
  <c r="AQ89" i="15"/>
  <c r="X89" i="15"/>
  <c r="P89" i="15" s="1"/>
  <c r="W89" i="15"/>
  <c r="K89" i="15" s="1"/>
  <c r="AR88" i="15"/>
  <c r="AQ88" i="15"/>
  <c r="X88" i="15"/>
  <c r="N88" i="15" s="1"/>
  <c r="W88" i="15"/>
  <c r="K88" i="15" s="1"/>
  <c r="AR87" i="15"/>
  <c r="AQ87" i="15"/>
  <c r="X87" i="15"/>
  <c r="W87" i="15"/>
  <c r="K87" i="15" s="1"/>
  <c r="O87" i="15"/>
  <c r="AR86" i="15"/>
  <c r="AQ86" i="15"/>
  <c r="X86" i="15"/>
  <c r="L86" i="15" s="1"/>
  <c r="W86" i="15"/>
  <c r="Z86" i="15" s="1"/>
  <c r="AR85" i="15"/>
  <c r="AQ85" i="15"/>
  <c r="X85" i="15"/>
  <c r="P85" i="15" s="1"/>
  <c r="W85" i="15"/>
  <c r="M85" i="15" s="1"/>
  <c r="O85" i="15"/>
  <c r="AR84" i="15"/>
  <c r="AQ84" i="15"/>
  <c r="Z84" i="15"/>
  <c r="Y84" i="15"/>
  <c r="X84" i="15"/>
  <c r="P84" i="15" s="1"/>
  <c r="W84" i="15"/>
  <c r="M84" i="15" s="1"/>
  <c r="AR83" i="15"/>
  <c r="AQ83" i="15"/>
  <c r="X83" i="15"/>
  <c r="P83" i="15" s="1"/>
  <c r="W83" i="15"/>
  <c r="K83" i="15" s="1"/>
  <c r="AR82" i="15"/>
  <c r="AQ82" i="15"/>
  <c r="X82" i="15"/>
  <c r="N82" i="15" s="1"/>
  <c r="W82" i="15"/>
  <c r="K82" i="15" s="1"/>
  <c r="AR81" i="15"/>
  <c r="AQ81" i="15"/>
  <c r="X81" i="15"/>
  <c r="P81" i="15" s="1"/>
  <c r="W81" i="15"/>
  <c r="K81" i="15" s="1"/>
  <c r="AR80" i="15"/>
  <c r="AQ80" i="15"/>
  <c r="X80" i="15"/>
  <c r="L80" i="15" s="1"/>
  <c r="W80" i="15"/>
  <c r="Z80" i="15" s="1"/>
  <c r="AR79" i="15"/>
  <c r="AQ79" i="15"/>
  <c r="X79" i="15"/>
  <c r="P79" i="15" s="1"/>
  <c r="W79" i="15"/>
  <c r="M79" i="15" s="1"/>
  <c r="AR78" i="15"/>
  <c r="AQ78" i="15"/>
  <c r="X78" i="15"/>
  <c r="P78" i="15" s="1"/>
  <c r="W78" i="15"/>
  <c r="M78" i="15" s="1"/>
  <c r="K78" i="15"/>
  <c r="AR77" i="15"/>
  <c r="AQ77" i="15"/>
  <c r="X77" i="15"/>
  <c r="P77" i="15" s="1"/>
  <c r="W77" i="15"/>
  <c r="K77" i="15" s="1"/>
  <c r="AR76" i="15"/>
  <c r="AQ76" i="15"/>
  <c r="X76" i="15"/>
  <c r="N76" i="15" s="1"/>
  <c r="W76" i="15"/>
  <c r="K76" i="15" s="1"/>
  <c r="AR75" i="15"/>
  <c r="AQ75" i="15"/>
  <c r="X75" i="15"/>
  <c r="P75" i="15" s="1"/>
  <c r="W75" i="15"/>
  <c r="K75" i="15" s="1"/>
  <c r="AR74" i="15"/>
  <c r="AQ74" i="15"/>
  <c r="X74" i="15"/>
  <c r="L74" i="15" s="1"/>
  <c r="W74" i="15"/>
  <c r="O74" i="15" s="1"/>
  <c r="AR73" i="15"/>
  <c r="AQ73" i="15"/>
  <c r="X73" i="15"/>
  <c r="N73" i="15" s="1"/>
  <c r="W73" i="15"/>
  <c r="M73" i="15" s="1"/>
  <c r="AR72" i="15"/>
  <c r="AQ72" i="15"/>
  <c r="X72" i="15"/>
  <c r="P72" i="15" s="1"/>
  <c r="W72" i="15"/>
  <c r="M72" i="15" s="1"/>
  <c r="AR71" i="15"/>
  <c r="AQ71" i="15"/>
  <c r="X71" i="15"/>
  <c r="P71" i="15" s="1"/>
  <c r="W71" i="15"/>
  <c r="K71" i="15" s="1"/>
  <c r="N71" i="15"/>
  <c r="AR70" i="15"/>
  <c r="AQ70" i="15"/>
  <c r="X70" i="15"/>
  <c r="N70" i="15" s="1"/>
  <c r="W70" i="15"/>
  <c r="K70" i="15" s="1"/>
  <c r="AR69" i="15"/>
  <c r="AQ69" i="15"/>
  <c r="X69" i="15"/>
  <c r="W69" i="15"/>
  <c r="O69" i="15" s="1"/>
  <c r="AR68" i="15"/>
  <c r="AQ68" i="15"/>
  <c r="X68" i="15"/>
  <c r="L68" i="15" s="1"/>
  <c r="W68" i="15"/>
  <c r="Z68" i="15" s="1"/>
  <c r="AR67" i="15"/>
  <c r="AQ67" i="15"/>
  <c r="X67" i="15"/>
  <c r="L67" i="15" s="1"/>
  <c r="W67" i="15"/>
  <c r="O67" i="15" s="1"/>
  <c r="AR66" i="15"/>
  <c r="AQ66" i="15"/>
  <c r="X66" i="15"/>
  <c r="L66" i="15" s="1"/>
  <c r="W66" i="15"/>
  <c r="M66" i="15" s="1"/>
  <c r="AR65" i="15"/>
  <c r="AQ65" i="15"/>
  <c r="X65" i="15"/>
  <c r="P65" i="15" s="1"/>
  <c r="W65" i="15"/>
  <c r="M65" i="15" s="1"/>
  <c r="AR64" i="15"/>
  <c r="AQ64" i="15"/>
  <c r="X64" i="15"/>
  <c r="N64" i="15" s="1"/>
  <c r="W64" i="15"/>
  <c r="Y64" i="15" s="1"/>
  <c r="AR63" i="15"/>
  <c r="AQ63" i="15"/>
  <c r="X63" i="15"/>
  <c r="L63" i="15" s="1"/>
  <c r="W63" i="15"/>
  <c r="M63" i="15" s="1"/>
  <c r="AR62" i="15"/>
  <c r="AQ62" i="15"/>
  <c r="X62" i="15"/>
  <c r="P62" i="15" s="1"/>
  <c r="W62" i="15"/>
  <c r="Y62" i="15" s="1"/>
  <c r="AR61" i="15"/>
  <c r="AQ61" i="15"/>
  <c r="X61" i="15"/>
  <c r="N61" i="15" s="1"/>
  <c r="W61" i="15"/>
  <c r="M61" i="15" s="1"/>
  <c r="AR60" i="15"/>
  <c r="AQ60" i="15"/>
  <c r="X60" i="15"/>
  <c r="L60" i="15" s="1"/>
  <c r="W60" i="15"/>
  <c r="K60" i="15" s="1"/>
  <c r="P60" i="15"/>
  <c r="AR59" i="15"/>
  <c r="AQ59" i="15"/>
  <c r="X59" i="15"/>
  <c r="N59" i="15" s="1"/>
  <c r="W59" i="15"/>
  <c r="M59" i="15" s="1"/>
  <c r="AR58" i="15"/>
  <c r="AQ58" i="15"/>
  <c r="X58" i="15"/>
  <c r="N58" i="15" s="1"/>
  <c r="W58" i="15"/>
  <c r="M58" i="15" s="1"/>
  <c r="AR57" i="15"/>
  <c r="AQ57" i="15"/>
  <c r="X57" i="15"/>
  <c r="N57" i="15" s="1"/>
  <c r="W57" i="15"/>
  <c r="M57" i="15" s="1"/>
  <c r="AR56" i="15"/>
  <c r="AQ56" i="15"/>
  <c r="X56" i="15"/>
  <c r="P56" i="15" s="1"/>
  <c r="W56" i="15"/>
  <c r="M56" i="15" s="1"/>
  <c r="AR55" i="15"/>
  <c r="AQ55" i="15"/>
  <c r="X55" i="15"/>
  <c r="N55" i="15" s="1"/>
  <c r="W55" i="15"/>
  <c r="M55" i="15" s="1"/>
  <c r="AR54" i="15"/>
  <c r="AQ54" i="15"/>
  <c r="X54" i="15"/>
  <c r="L54" i="15" s="1"/>
  <c r="W54" i="15"/>
  <c r="K54" i="15" s="1"/>
  <c r="AR53" i="15"/>
  <c r="AQ53" i="15"/>
  <c r="X53" i="15"/>
  <c r="P53" i="15" s="1"/>
  <c r="W53" i="15"/>
  <c r="M53" i="15" s="1"/>
  <c r="K53" i="15"/>
  <c r="AR52" i="15"/>
  <c r="AQ52" i="15"/>
  <c r="X52" i="15"/>
  <c r="N52" i="15" s="1"/>
  <c r="W52" i="15"/>
  <c r="AR51" i="15"/>
  <c r="AQ51" i="15"/>
  <c r="X51" i="15"/>
  <c r="P51" i="15" s="1"/>
  <c r="W51" i="15"/>
  <c r="M51" i="15" s="1"/>
  <c r="K51" i="15"/>
  <c r="AR50" i="15"/>
  <c r="AQ50" i="15"/>
  <c r="X50" i="15"/>
  <c r="P50" i="15" s="1"/>
  <c r="W50" i="15"/>
  <c r="Y50" i="15" s="1"/>
  <c r="AR49" i="15"/>
  <c r="AQ49" i="15"/>
  <c r="X49" i="15"/>
  <c r="N49" i="15" s="1"/>
  <c r="W49" i="15"/>
  <c r="M49" i="15" s="1"/>
  <c r="AR48" i="15"/>
  <c r="AQ48" i="15"/>
  <c r="X48" i="15"/>
  <c r="L48" i="15" s="1"/>
  <c r="W48" i="15"/>
  <c r="K48" i="15" s="1"/>
  <c r="AR47" i="15"/>
  <c r="AQ47" i="15"/>
  <c r="X47" i="15"/>
  <c r="P47" i="15" s="1"/>
  <c r="W47" i="15"/>
  <c r="M47" i="15" s="1"/>
  <c r="AR46" i="15"/>
  <c r="AQ46" i="15"/>
  <c r="X46" i="15"/>
  <c r="N46" i="15" s="1"/>
  <c r="W46" i="15"/>
  <c r="Y46" i="15" s="1"/>
  <c r="AR45" i="15"/>
  <c r="AQ45" i="15"/>
  <c r="X45" i="15"/>
  <c r="N45" i="15" s="1"/>
  <c r="W45" i="15"/>
  <c r="M45" i="15" s="1"/>
  <c r="AR44" i="15"/>
  <c r="AQ44" i="15"/>
  <c r="X44" i="15"/>
  <c r="P44" i="15" s="1"/>
  <c r="W44" i="15"/>
  <c r="Y44" i="15" s="1"/>
  <c r="AR43" i="15"/>
  <c r="AQ43" i="15"/>
  <c r="X43" i="15"/>
  <c r="N43" i="15" s="1"/>
  <c r="W43" i="15"/>
  <c r="M43" i="15" s="1"/>
  <c r="AR42" i="15"/>
  <c r="AQ42" i="15"/>
  <c r="X42" i="15"/>
  <c r="N42" i="15" s="1"/>
  <c r="W42" i="15"/>
  <c r="Y42" i="15" s="1"/>
  <c r="AR41" i="15"/>
  <c r="AQ41" i="15"/>
  <c r="X41" i="15"/>
  <c r="N41" i="15" s="1"/>
  <c r="W41" i="15"/>
  <c r="Y41" i="15" s="1"/>
  <c r="AR40" i="15"/>
  <c r="AQ40" i="15"/>
  <c r="X40" i="15"/>
  <c r="N40" i="15" s="1"/>
  <c r="W40" i="15"/>
  <c r="Y40" i="15" s="1"/>
  <c r="AR39" i="15"/>
  <c r="AQ39" i="15"/>
  <c r="X39" i="15"/>
  <c r="N39" i="15" s="1"/>
  <c r="W39" i="15"/>
  <c r="Y39" i="15" s="1"/>
  <c r="AR38" i="15"/>
  <c r="AQ38" i="15"/>
  <c r="X38" i="15"/>
  <c r="L38" i="15" s="1"/>
  <c r="W38" i="15"/>
  <c r="M38" i="15" s="1"/>
  <c r="AR37" i="15"/>
  <c r="AQ37" i="15"/>
  <c r="X37" i="15"/>
  <c r="N37" i="15" s="1"/>
  <c r="W37" i="15"/>
  <c r="M37" i="15" s="1"/>
  <c r="AR36" i="15"/>
  <c r="AQ36" i="15"/>
  <c r="X36" i="15"/>
  <c r="N36" i="15" s="1"/>
  <c r="W36" i="15"/>
  <c r="M36" i="15" s="1"/>
  <c r="P36" i="15"/>
  <c r="AR35" i="15"/>
  <c r="AQ35" i="15"/>
  <c r="X35" i="15"/>
  <c r="L35" i="15" s="1"/>
  <c r="W35" i="15"/>
  <c r="M35" i="15" s="1"/>
  <c r="AR34" i="15"/>
  <c r="AQ34" i="15"/>
  <c r="X34" i="15"/>
  <c r="P34" i="15" s="1"/>
  <c r="W34" i="15"/>
  <c r="K34" i="15" s="1"/>
  <c r="AR33" i="15"/>
  <c r="AQ33" i="15"/>
  <c r="X33" i="15"/>
  <c r="P33" i="15" s="1"/>
  <c r="W33" i="15"/>
  <c r="K33" i="15" s="1"/>
  <c r="AR32" i="15"/>
  <c r="AQ32" i="15"/>
  <c r="X32" i="15"/>
  <c r="P32" i="15" s="1"/>
  <c r="W32" i="15"/>
  <c r="Y32" i="15" s="1"/>
  <c r="AR31" i="15"/>
  <c r="AQ31" i="15"/>
  <c r="X31" i="15"/>
  <c r="N31" i="15" s="1"/>
  <c r="W31" i="15"/>
  <c r="O31" i="15" s="1"/>
  <c r="L31" i="15"/>
  <c r="AR30" i="15"/>
  <c r="AQ30" i="15"/>
  <c r="X30" i="15"/>
  <c r="N30" i="15" s="1"/>
  <c r="W30" i="15"/>
  <c r="O30" i="15" s="1"/>
  <c r="AR29" i="15"/>
  <c r="AQ29" i="15"/>
  <c r="X29" i="15"/>
  <c r="P29" i="15" s="1"/>
  <c r="W29" i="15"/>
  <c r="O29" i="15" s="1"/>
  <c r="N29" i="15"/>
  <c r="AR28" i="15"/>
  <c r="AQ28" i="15"/>
  <c r="X28" i="15"/>
  <c r="N28" i="15" s="1"/>
  <c r="W28" i="15"/>
  <c r="O28" i="15" s="1"/>
  <c r="AR27" i="15"/>
  <c r="AQ27" i="15"/>
  <c r="X27" i="15"/>
  <c r="P27" i="15" s="1"/>
  <c r="W27" i="15"/>
  <c r="Y27" i="15" s="1"/>
  <c r="AR26" i="15"/>
  <c r="AQ26" i="15"/>
  <c r="X26" i="15"/>
  <c r="P26" i="15" s="1"/>
  <c r="W26" i="15"/>
  <c r="Z26" i="15" s="1"/>
  <c r="AR25" i="15"/>
  <c r="AQ25" i="15"/>
  <c r="X25" i="15"/>
  <c r="P25" i="15" s="1"/>
  <c r="W25" i="15"/>
  <c r="M25" i="15" s="1"/>
  <c r="O25" i="15"/>
  <c r="AR24" i="15"/>
  <c r="AQ24" i="15"/>
  <c r="X24" i="15"/>
  <c r="P24" i="15" s="1"/>
  <c r="W24" i="15"/>
  <c r="M24" i="15" s="1"/>
  <c r="AR23" i="15"/>
  <c r="AQ23" i="15"/>
  <c r="X23" i="15"/>
  <c r="P23" i="15" s="1"/>
  <c r="W23" i="15"/>
  <c r="Y23" i="15" s="1"/>
  <c r="O23" i="15"/>
  <c r="AR22" i="15"/>
  <c r="AQ22" i="15"/>
  <c r="X22" i="15"/>
  <c r="P22" i="15" s="1"/>
  <c r="W22" i="15"/>
  <c r="Z22" i="15" s="1"/>
  <c r="AR21" i="15"/>
  <c r="AQ21" i="15"/>
  <c r="X21" i="15"/>
  <c r="P21" i="15" s="1"/>
  <c r="W21" i="15"/>
  <c r="M21" i="15" s="1"/>
  <c r="O21" i="15"/>
  <c r="AR20" i="15"/>
  <c r="AQ20" i="15"/>
  <c r="X20" i="15"/>
  <c r="N20" i="15" s="1"/>
  <c r="W20" i="15"/>
  <c r="O20" i="15" s="1"/>
  <c r="AR19" i="15"/>
  <c r="AQ19" i="15"/>
  <c r="X19" i="15"/>
  <c r="N19" i="15" s="1"/>
  <c r="W19" i="15"/>
  <c r="O19" i="15" s="1"/>
  <c r="AR18" i="15"/>
  <c r="AQ18" i="15"/>
  <c r="X18" i="15"/>
  <c r="N18" i="15" s="1"/>
  <c r="W18" i="15"/>
  <c r="O18" i="15" s="1"/>
  <c r="AR17" i="15"/>
  <c r="AQ17" i="15"/>
  <c r="X17" i="15"/>
  <c r="N17" i="15" s="1"/>
  <c r="W17" i="15"/>
  <c r="O17" i="15" s="1"/>
  <c r="AR16" i="15"/>
  <c r="AQ16" i="15"/>
  <c r="X16" i="15"/>
  <c r="N16" i="15" s="1"/>
  <c r="W16" i="15"/>
  <c r="M16" i="15" s="1"/>
  <c r="P16" i="15"/>
  <c r="AR15" i="15"/>
  <c r="AQ15" i="15"/>
  <c r="X15" i="15"/>
  <c r="P15" i="15" s="1"/>
  <c r="W15" i="15"/>
  <c r="M15" i="15" s="1"/>
  <c r="AR14" i="15"/>
  <c r="AQ14" i="15"/>
  <c r="X14" i="15"/>
  <c r="N14" i="15" s="1"/>
  <c r="W14" i="15"/>
  <c r="M14" i="15" s="1"/>
  <c r="AR13" i="15"/>
  <c r="AQ13" i="15"/>
  <c r="X13" i="15"/>
  <c r="L13" i="15" s="1"/>
  <c r="W13" i="15"/>
  <c r="M13" i="15" s="1"/>
  <c r="AR12" i="15"/>
  <c r="AQ12" i="15"/>
  <c r="X12" i="15"/>
  <c r="N12" i="15" s="1"/>
  <c r="W12" i="15"/>
  <c r="M12" i="15" s="1"/>
  <c r="AR11" i="15"/>
  <c r="AQ11" i="15"/>
  <c r="X11" i="15"/>
  <c r="N11" i="15" s="1"/>
  <c r="W11" i="15"/>
  <c r="M11" i="15" s="1"/>
  <c r="AR10" i="15"/>
  <c r="AQ10" i="15"/>
  <c r="X10" i="15"/>
  <c r="N10" i="15" s="1"/>
  <c r="W10" i="15"/>
  <c r="M10" i="15" s="1"/>
  <c r="AR9" i="15"/>
  <c r="AQ9" i="15"/>
  <c r="X9" i="15"/>
  <c r="N9" i="15" s="1"/>
  <c r="W9" i="15"/>
  <c r="Y9" i="15" s="1"/>
  <c r="P9" i="15"/>
  <c r="AR8" i="15"/>
  <c r="AQ8" i="15"/>
  <c r="X8" i="15"/>
  <c r="N8" i="15" s="1"/>
  <c r="W8" i="15"/>
  <c r="Y8" i="15" s="1"/>
  <c r="AR7" i="15"/>
  <c r="AQ7" i="15"/>
  <c r="X7" i="15"/>
  <c r="N7" i="15" s="1"/>
  <c r="W7" i="15"/>
  <c r="Y7" i="15" s="1"/>
  <c r="AR6" i="15"/>
  <c r="AQ6" i="15"/>
  <c r="X6" i="15"/>
  <c r="N6" i="15" s="1"/>
  <c r="W6" i="15"/>
  <c r="Y6" i="15" s="1"/>
  <c r="AR5" i="15"/>
  <c r="AQ5" i="15"/>
  <c r="X5" i="15"/>
  <c r="P5" i="15" s="1"/>
  <c r="W5" i="15"/>
  <c r="M5" i="15" s="1"/>
  <c r="AR4" i="15"/>
  <c r="AQ4" i="15"/>
  <c r="X4" i="15"/>
  <c r="P4" i="15" s="1"/>
  <c r="W4" i="15"/>
  <c r="M4" i="15" s="1"/>
  <c r="AR3" i="15"/>
  <c r="AQ3" i="15"/>
  <c r="X3" i="15"/>
  <c r="P3" i="15" s="1"/>
  <c r="W3" i="15"/>
  <c r="M3" i="15" s="1"/>
  <c r="O3" i="15"/>
  <c r="AR2" i="15"/>
  <c r="AQ2" i="15"/>
  <c r="AL2" i="15"/>
  <c r="X2" i="15"/>
  <c r="N2" i="15" s="1"/>
  <c r="W2" i="15"/>
  <c r="Y2" i="15" s="1"/>
  <c r="L4" i="15" l="1"/>
  <c r="N4" i="15"/>
  <c r="M50" i="15"/>
  <c r="L14" i="15"/>
  <c r="P14" i="15"/>
  <c r="P6" i="15"/>
  <c r="M9" i="15"/>
  <c r="K56" i="15"/>
  <c r="K189" i="15"/>
  <c r="K69" i="15"/>
  <c r="N83" i="15"/>
  <c r="N147" i="15"/>
  <c r="Y107" i="15"/>
  <c r="K3" i="15"/>
  <c r="L85" i="15"/>
  <c r="L3" i="15"/>
  <c r="N3" i="15"/>
  <c r="P38" i="15"/>
  <c r="P55" i="15"/>
  <c r="P108" i="15"/>
  <c r="K128" i="15"/>
  <c r="O133" i="15"/>
  <c r="P147" i="15"/>
  <c r="O93" i="15"/>
  <c r="Y183" i="15"/>
  <c r="Y208" i="15"/>
  <c r="Z208" i="15"/>
  <c r="Y101" i="15"/>
  <c r="Y111" i="15"/>
  <c r="Z111" i="15"/>
  <c r="Z172" i="15"/>
  <c r="Y96" i="15"/>
  <c r="P8" i="15"/>
  <c r="K49" i="15"/>
  <c r="K102" i="15"/>
  <c r="L6" i="15"/>
  <c r="L16" i="15"/>
  <c r="O32" i="15"/>
  <c r="P49" i="15"/>
  <c r="L76" i="15"/>
  <c r="N102" i="15"/>
  <c r="O218" i="15"/>
  <c r="Z122" i="15"/>
  <c r="Y172" i="15"/>
  <c r="Z72" i="15"/>
  <c r="K4" i="15"/>
  <c r="O6" i="15"/>
  <c r="L71" i="15"/>
  <c r="P76" i="15"/>
  <c r="P97" i="15"/>
  <c r="P102" i="15"/>
  <c r="N110" i="15"/>
  <c r="Z66" i="15"/>
  <c r="Z78" i="15"/>
  <c r="Z90" i="15"/>
  <c r="Z143" i="15"/>
  <c r="Z33" i="15"/>
  <c r="N67" i="15"/>
  <c r="K2" i="15"/>
  <c r="Z3" i="15"/>
  <c r="M27" i="15"/>
  <c r="K47" i="15"/>
  <c r="K62" i="15"/>
  <c r="L79" i="15"/>
  <c r="K84" i="15"/>
  <c r="P91" i="15"/>
  <c r="N96" i="15"/>
  <c r="K111" i="15"/>
  <c r="P121" i="15"/>
  <c r="Z128" i="15"/>
  <c r="L144" i="15"/>
  <c r="Z176" i="15"/>
  <c r="L182" i="15"/>
  <c r="L209" i="15"/>
  <c r="O27" i="15"/>
  <c r="M32" i="15"/>
  <c r="N34" i="15"/>
  <c r="L42" i="15"/>
  <c r="P57" i="15"/>
  <c r="O75" i="15"/>
  <c r="O79" i="15"/>
  <c r="O96" i="15"/>
  <c r="K116" i="15"/>
  <c r="N142" i="15"/>
  <c r="P182" i="15"/>
  <c r="P207" i="15"/>
  <c r="K8" i="15"/>
  <c r="L10" i="15"/>
  <c r="M23" i="15"/>
  <c r="K25" i="15"/>
  <c r="N32" i="15"/>
  <c r="M42" i="15"/>
  <c r="K55" i="15"/>
  <c r="N60" i="15"/>
  <c r="N116" i="15"/>
  <c r="M147" i="15"/>
  <c r="Y127" i="15"/>
  <c r="P145" i="15"/>
  <c r="O78" i="15"/>
  <c r="K90" i="15"/>
  <c r="M143" i="15"/>
  <c r="K197" i="15"/>
  <c r="Y24" i="15"/>
  <c r="Y31" i="15"/>
  <c r="Z41" i="15"/>
  <c r="Y76" i="15"/>
  <c r="P12" i="15"/>
  <c r="Z24" i="15"/>
  <c r="L44" i="15"/>
  <c r="P67" i="15"/>
  <c r="P93" i="15"/>
  <c r="P118" i="15"/>
  <c r="L157" i="15"/>
  <c r="Y176" i="15"/>
  <c r="Z125" i="15"/>
  <c r="Z23" i="15"/>
  <c r="O5" i="15"/>
  <c r="L9" i="15"/>
  <c r="P30" i="15"/>
  <c r="P35" i="15"/>
  <c r="P37" i="15"/>
  <c r="O39" i="15"/>
  <c r="K57" i="15"/>
  <c r="N93" i="15"/>
  <c r="P99" i="15"/>
  <c r="P103" i="15"/>
  <c r="O105" i="15"/>
  <c r="K110" i="15"/>
  <c r="N114" i="15"/>
  <c r="N131" i="15"/>
  <c r="M133" i="15"/>
  <c r="L137" i="15"/>
  <c r="K139" i="15"/>
  <c r="N145" i="15"/>
  <c r="K177" i="15"/>
  <c r="L186" i="15"/>
  <c r="L193" i="15"/>
  <c r="L201" i="15"/>
  <c r="M218" i="15"/>
  <c r="K125" i="15"/>
  <c r="P186" i="15"/>
  <c r="L191" i="15"/>
  <c r="P191" i="15"/>
  <c r="Y53" i="15"/>
  <c r="Z79" i="15"/>
  <c r="Z114" i="15"/>
  <c r="Z85" i="15"/>
  <c r="Y142" i="15"/>
  <c r="N144" i="15"/>
  <c r="K146" i="15"/>
  <c r="Y147" i="15"/>
  <c r="Y152" i="15"/>
  <c r="Y165" i="15"/>
  <c r="P187" i="15"/>
  <c r="L197" i="15"/>
  <c r="M219" i="15"/>
  <c r="L2" i="15"/>
  <c r="Z27" i="15"/>
  <c r="M31" i="15"/>
  <c r="Z32" i="15"/>
  <c r="L47" i="15"/>
  <c r="N54" i="15"/>
  <c r="L82" i="15"/>
  <c r="O84" i="15"/>
  <c r="O90" i="15"/>
  <c r="O111" i="15"/>
  <c r="M128" i="15"/>
  <c r="M134" i="15"/>
  <c r="P136" i="15"/>
  <c r="Z142" i="15"/>
  <c r="L146" i="15"/>
  <c r="Z152" i="15"/>
  <c r="Z165" i="15"/>
  <c r="Y185" i="15"/>
  <c r="K205" i="15"/>
  <c r="Y212" i="15"/>
  <c r="N219" i="15"/>
  <c r="M226" i="15"/>
  <c r="Y35" i="15"/>
  <c r="Z99" i="15"/>
  <c r="Z93" i="15"/>
  <c r="Y21" i="15"/>
  <c r="Z29" i="15"/>
  <c r="M2" i="15"/>
  <c r="Z8" i="15"/>
  <c r="K24" i="15"/>
  <c r="Y25" i="15"/>
  <c r="P31" i="15"/>
  <c r="K45" i="15"/>
  <c r="P54" i="15"/>
  <c r="P63" i="15"/>
  <c r="K72" i="15"/>
  <c r="O80" i="15"/>
  <c r="P82" i="15"/>
  <c r="P96" i="15"/>
  <c r="Z113" i="15"/>
  <c r="P115" i="15"/>
  <c r="K117" i="15"/>
  <c r="P128" i="15"/>
  <c r="Z132" i="15"/>
  <c r="Y157" i="15"/>
  <c r="L181" i="15"/>
  <c r="Z185" i="15"/>
  <c r="L205" i="15"/>
  <c r="Z212" i="15"/>
  <c r="O219" i="15"/>
  <c r="Y30" i="15"/>
  <c r="Y149" i="15"/>
  <c r="Z180" i="15"/>
  <c r="O2" i="15"/>
  <c r="L15" i="15"/>
  <c r="O24" i="15"/>
  <c r="L30" i="15"/>
  <c r="Z36" i="15"/>
  <c r="K41" i="15"/>
  <c r="L45" i="15"/>
  <c r="K66" i="15"/>
  <c r="P70" i="15"/>
  <c r="O72" i="15"/>
  <c r="Y78" i="15"/>
  <c r="P80" i="15"/>
  <c r="N86" i="15"/>
  <c r="P88" i="15"/>
  <c r="N117" i="15"/>
  <c r="L122" i="15"/>
  <c r="P134" i="15"/>
  <c r="Y99" i="15"/>
  <c r="Z139" i="15"/>
  <c r="Y180" i="15"/>
  <c r="Y116" i="15"/>
  <c r="Y3" i="15"/>
  <c r="L5" i="15"/>
  <c r="P13" i="15"/>
  <c r="N15" i="15"/>
  <c r="M30" i="15"/>
  <c r="M33" i="15"/>
  <c r="N35" i="15"/>
  <c r="L39" i="15"/>
  <c r="M41" i="15"/>
  <c r="L50" i="15"/>
  <c r="K59" i="15"/>
  <c r="K61" i="15"/>
  <c r="O66" i="15"/>
  <c r="P68" i="15"/>
  <c r="O86" i="15"/>
  <c r="K105" i="15"/>
  <c r="O122" i="15"/>
  <c r="M141" i="15"/>
  <c r="K143" i="15"/>
  <c r="L153" i="15"/>
  <c r="L203" i="15"/>
  <c r="Y105" i="15"/>
  <c r="Z9" i="15"/>
  <c r="Y29" i="15"/>
  <c r="N5" i="15"/>
  <c r="K9" i="15"/>
  <c r="O33" i="15"/>
  <c r="O35" i="15"/>
  <c r="M39" i="15"/>
  <c r="O41" i="15"/>
  <c r="P59" i="15"/>
  <c r="P86" i="15"/>
  <c r="K93" i="15"/>
  <c r="N99" i="15"/>
  <c r="N105" i="15"/>
  <c r="K114" i="15"/>
  <c r="P120" i="15"/>
  <c r="L127" i="15"/>
  <c r="L131" i="15"/>
  <c r="L133" i="15"/>
  <c r="K193" i="15"/>
  <c r="L218" i="15"/>
  <c r="O7" i="15"/>
  <c r="P11" i="15"/>
  <c r="K5" i="15"/>
  <c r="M6" i="15"/>
  <c r="P7" i="15"/>
  <c r="N13" i="15"/>
  <c r="Z21" i="15"/>
  <c r="K23" i="15"/>
  <c r="Z25" i="15"/>
  <c r="K27" i="15"/>
  <c r="P28" i="15"/>
  <c r="Z30" i="15"/>
  <c r="N38" i="15"/>
  <c r="Z39" i="15"/>
  <c r="P43" i="15"/>
  <c r="P48" i="15"/>
  <c r="K50" i="15"/>
  <c r="Y56" i="15"/>
  <c r="M60" i="15"/>
  <c r="N63" i="15"/>
  <c r="O65" i="15"/>
  <c r="Y66" i="15"/>
  <c r="O68" i="15"/>
  <c r="P73" i="15"/>
  <c r="Y79" i="15"/>
  <c r="O81" i="15"/>
  <c r="L83" i="15"/>
  <c r="Y85" i="15"/>
  <c r="N89" i="15"/>
  <c r="Y90" i="15"/>
  <c r="K96" i="15"/>
  <c r="Z101" i="15"/>
  <c r="O108" i="15"/>
  <c r="O120" i="15"/>
  <c r="Y125" i="15"/>
  <c r="K131" i="15"/>
  <c r="Y132" i="15"/>
  <c r="M136" i="15"/>
  <c r="L141" i="15"/>
  <c r="Y143" i="15"/>
  <c r="M145" i="15"/>
  <c r="P148" i="15"/>
  <c r="L161" i="15"/>
  <c r="P163" i="15"/>
  <c r="K201" i="15"/>
  <c r="L62" i="15"/>
  <c r="Z65" i="15"/>
  <c r="Y73" i="15"/>
  <c r="Z89" i="15"/>
  <c r="Y161" i="15"/>
  <c r="K22" i="15"/>
  <c r="L40" i="15"/>
  <c r="N47" i="15"/>
  <c r="O4" i="15"/>
  <c r="P10" i="15"/>
  <c r="L12" i="15"/>
  <c r="M22" i="15"/>
  <c r="M26" i="15"/>
  <c r="Z28" i="15"/>
  <c r="K37" i="15"/>
  <c r="P40" i="15"/>
  <c r="P45" i="15"/>
  <c r="L57" i="15"/>
  <c r="L59" i="15"/>
  <c r="M62" i="15"/>
  <c r="Z73" i="15"/>
  <c r="N77" i="15"/>
  <c r="N80" i="15"/>
  <c r="Y83" i="15"/>
  <c r="P105" i="15"/>
  <c r="Y108" i="15"/>
  <c r="O117" i="15"/>
  <c r="Y120" i="15"/>
  <c r="P126" i="15"/>
  <c r="K140" i="15"/>
  <c r="Y141" i="15"/>
  <c r="K153" i="15"/>
  <c r="Z161" i="15"/>
  <c r="Z187" i="15"/>
  <c r="Y201" i="15"/>
  <c r="Y203" i="15"/>
  <c r="L211" i="15"/>
  <c r="Z7" i="15"/>
  <c r="K26" i="15"/>
  <c r="Y28" i="15"/>
  <c r="Y48" i="15"/>
  <c r="Z6" i="15"/>
  <c r="O22" i="15"/>
  <c r="O26" i="15"/>
  <c r="M34" i="15"/>
  <c r="K44" i="15"/>
  <c r="M54" i="15"/>
  <c r="Y60" i="15"/>
  <c r="Y72" i="15"/>
  <c r="Z83" i="15"/>
  <c r="O102" i="15"/>
  <c r="Z108" i="15"/>
  <c r="Y110" i="15"/>
  <c r="P117" i="15"/>
  <c r="Z120" i="15"/>
  <c r="Y122" i="15"/>
  <c r="Z131" i="15"/>
  <c r="Z136" i="15"/>
  <c r="Z141" i="15"/>
  <c r="K169" i="15"/>
  <c r="K173" i="15"/>
  <c r="L177" i="15"/>
  <c r="Y189" i="15"/>
  <c r="Y193" i="15"/>
  <c r="Y197" i="15"/>
  <c r="K209" i="15"/>
  <c r="P211" i="15"/>
  <c r="L143" i="15"/>
  <c r="M153" i="15"/>
  <c r="P155" i="15"/>
  <c r="L169" i="15"/>
  <c r="P171" i="15"/>
  <c r="L173" i="15"/>
  <c r="K181" i="15"/>
  <c r="Y184" i="15"/>
  <c r="K226" i="15"/>
  <c r="P2" i="15"/>
  <c r="Y5" i="15"/>
  <c r="L8" i="15"/>
  <c r="O9" i="15"/>
  <c r="L29" i="15"/>
  <c r="O34" i="15"/>
  <c r="O42" i="15"/>
  <c r="M44" i="15"/>
  <c r="Y47" i="15"/>
  <c r="N66" i="15"/>
  <c r="N74" i="15"/>
  <c r="N79" i="15"/>
  <c r="N85" i="15"/>
  <c r="N90" i="15"/>
  <c r="Z96" i="15"/>
  <c r="K99" i="15"/>
  <c r="Y140" i="15"/>
  <c r="Z184" i="15"/>
  <c r="Z207" i="15"/>
  <c r="Z5" i="15"/>
  <c r="M8" i="15"/>
  <c r="Y22" i="15"/>
  <c r="Y26" i="15"/>
  <c r="M29" i="15"/>
  <c r="L56" i="15"/>
  <c r="Z105" i="15"/>
  <c r="P109" i="15"/>
  <c r="Y117" i="15"/>
  <c r="Z140" i="15"/>
  <c r="K142" i="15"/>
  <c r="N143" i="15"/>
  <c r="Y177" i="15"/>
  <c r="Y179" i="15"/>
  <c r="L183" i="15"/>
  <c r="Y200" i="15"/>
  <c r="Z219" i="15"/>
  <c r="Y4" i="15"/>
  <c r="Z4" i="15"/>
  <c r="L7" i="15"/>
  <c r="O8" i="15"/>
  <c r="L11" i="15"/>
  <c r="L28" i="15"/>
  <c r="O36" i="15"/>
  <c r="P39" i="15"/>
  <c r="L51" i="15"/>
  <c r="L53" i="15"/>
  <c r="Y59" i="15"/>
  <c r="P61" i="15"/>
  <c r="P66" i="15"/>
  <c r="L73" i="15"/>
  <c r="P74" i="15"/>
  <c r="L84" i="15"/>
  <c r="P90" i="15"/>
  <c r="O99" i="15"/>
  <c r="Y102" i="15"/>
  <c r="N111" i="15"/>
  <c r="Z117" i="15"/>
  <c r="L123" i="15"/>
  <c r="O125" i="15"/>
  <c r="K127" i="15"/>
  <c r="O132" i="15"/>
  <c r="M142" i="15"/>
  <c r="K152" i="15"/>
  <c r="Y153" i="15"/>
  <c r="Y169" i="15"/>
  <c r="Y173" i="15"/>
  <c r="P183" i="15"/>
  <c r="Y188" i="15"/>
  <c r="Y192" i="15"/>
  <c r="P194" i="15"/>
  <c r="Y196" i="15"/>
  <c r="Z200" i="15"/>
  <c r="K7" i="15"/>
  <c r="Z2" i="15"/>
  <c r="M7" i="15"/>
  <c r="M28" i="15"/>
  <c r="Z31" i="15"/>
  <c r="N33" i="15"/>
  <c r="Z34" i="15"/>
  <c r="K38" i="15"/>
  <c r="M48" i="15"/>
  <c r="N51" i="15"/>
  <c r="N53" i="15"/>
  <c r="Y54" i="15"/>
  <c r="K63" i="15"/>
  <c r="K65" i="15"/>
  <c r="Z71" i="15"/>
  <c r="L78" i="15"/>
  <c r="N84" i="15"/>
  <c r="Y93" i="15"/>
  <c r="Z102" i="15"/>
  <c r="Y104" i="15"/>
  <c r="K108" i="15"/>
  <c r="Y114" i="15"/>
  <c r="K120" i="15"/>
  <c r="Y128" i="15"/>
  <c r="Z133" i="15"/>
  <c r="Z153" i="15"/>
  <c r="L165" i="15"/>
  <c r="Y181" i="15"/>
  <c r="Z188" i="15"/>
  <c r="Z192" i="15"/>
  <c r="Z196" i="15"/>
  <c r="Y204" i="15"/>
  <c r="L206" i="15"/>
  <c r="Y218" i="15"/>
  <c r="N48" i="15"/>
  <c r="L65" i="15"/>
  <c r="N68" i="15"/>
  <c r="O73" i="15"/>
  <c r="L89" i="15"/>
  <c r="N108" i="15"/>
  <c r="P111" i="15"/>
  <c r="N120" i="15"/>
  <c r="P123" i="15"/>
  <c r="K141" i="15"/>
  <c r="N148" i="15"/>
  <c r="L185" i="15"/>
  <c r="Z204" i="15"/>
  <c r="P206" i="15"/>
  <c r="P221" i="15"/>
  <c r="L87" i="15"/>
  <c r="N87" i="15"/>
  <c r="O10" i="15"/>
  <c r="O11" i="15"/>
  <c r="O12" i="15"/>
  <c r="O13" i="15"/>
  <c r="O14" i="15"/>
  <c r="O15" i="15"/>
  <c r="O16" i="15"/>
  <c r="P17" i="15"/>
  <c r="P18" i="15"/>
  <c r="P19" i="15"/>
  <c r="P20" i="15"/>
  <c r="Y33" i="15"/>
  <c r="Y34" i="15"/>
  <c r="Z35" i="15"/>
  <c r="O40" i="15"/>
  <c r="Z42" i="15"/>
  <c r="P46" i="15"/>
  <c r="P52" i="15"/>
  <c r="P58" i="15"/>
  <c r="P64" i="15"/>
  <c r="Y65" i="15"/>
  <c r="M69" i="15"/>
  <c r="Y69" i="15"/>
  <c r="Z69" i="15"/>
  <c r="M80" i="15"/>
  <c r="K80" i="15"/>
  <c r="Y80" i="15"/>
  <c r="M87" i="15"/>
  <c r="Z87" i="15"/>
  <c r="Y87" i="15"/>
  <c r="K95" i="15"/>
  <c r="L101" i="15"/>
  <c r="N101" i="15"/>
  <c r="P101" i="15"/>
  <c r="L104" i="15"/>
  <c r="P104" i="15"/>
  <c r="Z107" i="15"/>
  <c r="N158" i="15"/>
  <c r="L158" i="15"/>
  <c r="P158" i="15"/>
  <c r="Z52" i="15"/>
  <c r="O52" i="15"/>
  <c r="N69" i="15"/>
  <c r="L69" i="15"/>
  <c r="M112" i="15"/>
  <c r="K112" i="15"/>
  <c r="Z112" i="15"/>
  <c r="Y112" i="15"/>
  <c r="O168" i="15"/>
  <c r="M168" i="15"/>
  <c r="K168" i="15"/>
  <c r="Z168" i="15"/>
  <c r="Y168" i="15"/>
  <c r="L95" i="15"/>
  <c r="N95" i="15"/>
  <c r="P95" i="15"/>
  <c r="Y17" i="15"/>
  <c r="Y18" i="15"/>
  <c r="Y19" i="15"/>
  <c r="Y20" i="15"/>
  <c r="K36" i="15"/>
  <c r="L37" i="15"/>
  <c r="L43" i="15"/>
  <c r="N44" i="15"/>
  <c r="Z45" i="15"/>
  <c r="O45" i="15"/>
  <c r="L49" i="15"/>
  <c r="N50" i="15"/>
  <c r="Z51" i="15"/>
  <c r="O51" i="15"/>
  <c r="Y52" i="15"/>
  <c r="L55" i="15"/>
  <c r="N56" i="15"/>
  <c r="Z57" i="15"/>
  <c r="O57" i="15"/>
  <c r="Y58" i="15"/>
  <c r="L61" i="15"/>
  <c r="N62" i="15"/>
  <c r="Z63" i="15"/>
  <c r="O63" i="15"/>
  <c r="M71" i="15"/>
  <c r="O71" i="15"/>
  <c r="N78" i="15"/>
  <c r="M82" i="15"/>
  <c r="Z82" i="15"/>
  <c r="O82" i="15"/>
  <c r="M89" i="15"/>
  <c r="O89" i="15"/>
  <c r="M92" i="15"/>
  <c r="Z92" i="15"/>
  <c r="O92" i="15"/>
  <c r="Y95" i="15"/>
  <c r="O138" i="15"/>
  <c r="K138" i="15"/>
  <c r="Z138" i="15"/>
  <c r="Y138" i="15"/>
  <c r="N199" i="15"/>
  <c r="L199" i="15"/>
  <c r="P199" i="15"/>
  <c r="Y222" i="15"/>
  <c r="O222" i="15"/>
  <c r="Z222" i="15"/>
  <c r="Z46" i="15"/>
  <c r="O46" i="15"/>
  <c r="Z64" i="15"/>
  <c r="O64" i="15"/>
  <c r="M124" i="15"/>
  <c r="K124" i="15"/>
  <c r="Z124" i="15"/>
  <c r="Y124" i="15"/>
  <c r="O124" i="15"/>
  <c r="Y10" i="15"/>
  <c r="Y11" i="15"/>
  <c r="Y12" i="15"/>
  <c r="Y13" i="15"/>
  <c r="Y14" i="15"/>
  <c r="Y15" i="15"/>
  <c r="Y16" i="15"/>
  <c r="Z17" i="15"/>
  <c r="Z18" i="15"/>
  <c r="Z19" i="15"/>
  <c r="Z20" i="15"/>
  <c r="K35" i="15"/>
  <c r="L36" i="15"/>
  <c r="O38" i="15"/>
  <c r="Z40" i="15"/>
  <c r="M68" i="15"/>
  <c r="K68" i="15"/>
  <c r="Y68" i="15"/>
  <c r="M75" i="15"/>
  <c r="Z75" i="15"/>
  <c r="Y75" i="15"/>
  <c r="M86" i="15"/>
  <c r="K86" i="15"/>
  <c r="Y86" i="15"/>
  <c r="L92" i="15"/>
  <c r="P92" i="15"/>
  <c r="M106" i="15"/>
  <c r="K106" i="15"/>
  <c r="Z106" i="15"/>
  <c r="Y106" i="15"/>
  <c r="M95" i="15"/>
  <c r="O95" i="15"/>
  <c r="O163" i="15"/>
  <c r="M163" i="15"/>
  <c r="K163" i="15"/>
  <c r="Z163" i="15"/>
  <c r="Y163" i="15"/>
  <c r="O174" i="15"/>
  <c r="M174" i="15"/>
  <c r="Z174" i="15"/>
  <c r="Y174" i="15"/>
  <c r="K174" i="15"/>
  <c r="L119" i="15"/>
  <c r="N119" i="15"/>
  <c r="P119" i="15"/>
  <c r="Z10" i="15"/>
  <c r="Z11" i="15"/>
  <c r="Z12" i="15"/>
  <c r="Z13" i="15"/>
  <c r="Z14" i="15"/>
  <c r="Z15" i="15"/>
  <c r="Z16" i="15"/>
  <c r="K29" i="15"/>
  <c r="K30" i="15"/>
  <c r="K31" i="15"/>
  <c r="L32" i="15"/>
  <c r="L33" i="15"/>
  <c r="L34" i="15"/>
  <c r="O37" i="15"/>
  <c r="K42" i="15"/>
  <c r="Z44" i="15"/>
  <c r="O44" i="15"/>
  <c r="Y45" i="15"/>
  <c r="Z50" i="15"/>
  <c r="O50" i="15"/>
  <c r="Y51" i="15"/>
  <c r="Z56" i="15"/>
  <c r="O56" i="15"/>
  <c r="Y57" i="15"/>
  <c r="Z62" i="15"/>
  <c r="O62" i="15"/>
  <c r="Y63" i="15"/>
  <c r="L70" i="15"/>
  <c r="Y71" i="15"/>
  <c r="L75" i="15"/>
  <c r="N75" i="15"/>
  <c r="L77" i="15"/>
  <c r="Y82" i="15"/>
  <c r="L88" i="15"/>
  <c r="Y89" i="15"/>
  <c r="Y92" i="15"/>
  <c r="M103" i="15"/>
  <c r="Y103" i="15"/>
  <c r="K103" i="15"/>
  <c r="Z103" i="15"/>
  <c r="L106" i="15"/>
  <c r="N106" i="15"/>
  <c r="M113" i="15"/>
  <c r="O113" i="15"/>
  <c r="K113" i="15"/>
  <c r="O130" i="15"/>
  <c r="M130" i="15"/>
  <c r="K130" i="15"/>
  <c r="Z130" i="15"/>
  <c r="O166" i="15"/>
  <c r="M166" i="15"/>
  <c r="Z166" i="15"/>
  <c r="Y166" i="15"/>
  <c r="K166" i="15"/>
  <c r="M109" i="15"/>
  <c r="Y109" i="15"/>
  <c r="O109" i="15"/>
  <c r="K109" i="15"/>
  <c r="Z109" i="15"/>
  <c r="M100" i="15"/>
  <c r="K100" i="15"/>
  <c r="Z100" i="15"/>
  <c r="Y100" i="15"/>
  <c r="L113" i="15"/>
  <c r="N113" i="15"/>
  <c r="P113" i="15"/>
  <c r="N130" i="15"/>
  <c r="L130" i="15"/>
  <c r="P130" i="15"/>
  <c r="Z135" i="15"/>
  <c r="O135" i="15"/>
  <c r="M135" i="15"/>
  <c r="K135" i="15"/>
  <c r="O144" i="15"/>
  <c r="Y144" i="15"/>
  <c r="M144" i="15"/>
  <c r="K144" i="15"/>
  <c r="P149" i="15"/>
  <c r="N149" i="15"/>
  <c r="L149" i="15"/>
  <c r="N166" i="15"/>
  <c r="L166" i="15"/>
  <c r="P166" i="15"/>
  <c r="O129" i="15"/>
  <c r="K129" i="15"/>
  <c r="Z129" i="15"/>
  <c r="Y129" i="15"/>
  <c r="O148" i="15"/>
  <c r="K148" i="15"/>
  <c r="Z148" i="15"/>
  <c r="Y148" i="15"/>
  <c r="M148" i="15"/>
  <c r="L112" i="15"/>
  <c r="N112" i="15"/>
  <c r="N174" i="15"/>
  <c r="L174" i="15"/>
  <c r="P174" i="15"/>
  <c r="K18" i="15"/>
  <c r="K19" i="15"/>
  <c r="K20" i="15"/>
  <c r="L21" i="15"/>
  <c r="L22" i="15"/>
  <c r="L23" i="15"/>
  <c r="L24" i="15"/>
  <c r="L25" i="15"/>
  <c r="L26" i="15"/>
  <c r="L27" i="15"/>
  <c r="Z43" i="15"/>
  <c r="O43" i="15"/>
  <c r="Z49" i="15"/>
  <c r="O49" i="15"/>
  <c r="Z55" i="15"/>
  <c r="O55" i="15"/>
  <c r="Z61" i="15"/>
  <c r="O61" i="15"/>
  <c r="M67" i="15"/>
  <c r="K67" i="15"/>
  <c r="M70" i="15"/>
  <c r="Z70" i="15"/>
  <c r="O70" i="15"/>
  <c r="M77" i="15"/>
  <c r="O77" i="15"/>
  <c r="M88" i="15"/>
  <c r="Z88" i="15"/>
  <c r="O88" i="15"/>
  <c r="M97" i="15"/>
  <c r="Y97" i="15"/>
  <c r="K97" i="15"/>
  <c r="Z97" i="15"/>
  <c r="L100" i="15"/>
  <c r="N100" i="15"/>
  <c r="N135" i="15"/>
  <c r="L135" i="15"/>
  <c r="P135" i="15"/>
  <c r="O155" i="15"/>
  <c r="M155" i="15"/>
  <c r="K155" i="15"/>
  <c r="Z155" i="15"/>
  <c r="Y155" i="15"/>
  <c r="O160" i="15"/>
  <c r="M160" i="15"/>
  <c r="K160" i="15"/>
  <c r="Z160" i="15"/>
  <c r="Y160" i="15"/>
  <c r="O171" i="15"/>
  <c r="M171" i="15"/>
  <c r="K171" i="15"/>
  <c r="Z171" i="15"/>
  <c r="Y171" i="15"/>
  <c r="N179" i="15"/>
  <c r="P179" i="15"/>
  <c r="L179" i="15"/>
  <c r="M98" i="15"/>
  <c r="Z98" i="15"/>
  <c r="O98" i="15"/>
  <c r="K11" i="15"/>
  <c r="K12" i="15"/>
  <c r="K13" i="15"/>
  <c r="K14" i="15"/>
  <c r="K15" i="15"/>
  <c r="K16" i="15"/>
  <c r="L17" i="15"/>
  <c r="L18" i="15"/>
  <c r="L19" i="15"/>
  <c r="L20" i="15"/>
  <c r="Y38" i="15"/>
  <c r="L41" i="15"/>
  <c r="K46" i="15"/>
  <c r="K52" i="15"/>
  <c r="K58" i="15"/>
  <c r="K64" i="15"/>
  <c r="N65" i="15"/>
  <c r="M74" i="15"/>
  <c r="K74" i="15"/>
  <c r="Y74" i="15"/>
  <c r="M81" i="15"/>
  <c r="Y81" i="15"/>
  <c r="Z81" i="15"/>
  <c r="M94" i="15"/>
  <c r="K94" i="15"/>
  <c r="Z94" i="15"/>
  <c r="Y94" i="15"/>
  <c r="N125" i="15"/>
  <c r="P125" i="15"/>
  <c r="L125" i="15"/>
  <c r="Y135" i="15"/>
  <c r="Z144" i="15"/>
  <c r="M119" i="15"/>
  <c r="O119" i="15"/>
  <c r="K119" i="15"/>
  <c r="Z119" i="15"/>
  <c r="M17" i="15"/>
  <c r="M18" i="15"/>
  <c r="M19" i="15"/>
  <c r="M20" i="15"/>
  <c r="N21" i="15"/>
  <c r="N22" i="15"/>
  <c r="N23" i="15"/>
  <c r="N24" i="15"/>
  <c r="N25" i="15"/>
  <c r="N26" i="15"/>
  <c r="N27" i="15"/>
  <c r="Y37" i="15"/>
  <c r="Z38" i="15"/>
  <c r="K40" i="15"/>
  <c r="P42" i="15"/>
  <c r="Y43" i="15"/>
  <c r="L46" i="15"/>
  <c r="Z48" i="15"/>
  <c r="O48" i="15"/>
  <c r="Y49" i="15"/>
  <c r="L52" i="15"/>
  <c r="Z54" i="15"/>
  <c r="O54" i="15"/>
  <c r="Y55" i="15"/>
  <c r="L58" i="15"/>
  <c r="Z60" i="15"/>
  <c r="O60" i="15"/>
  <c r="Y61" i="15"/>
  <c r="L64" i="15"/>
  <c r="Y67" i="15"/>
  <c r="Y70" i="15"/>
  <c r="Y77" i="15"/>
  <c r="N81" i="15"/>
  <c r="L81" i="15"/>
  <c r="Y88" i="15"/>
  <c r="M91" i="15"/>
  <c r="Y91" i="15"/>
  <c r="K91" i="15"/>
  <c r="Z91" i="15"/>
  <c r="L94" i="15"/>
  <c r="N94" i="15"/>
  <c r="M107" i="15"/>
  <c r="O107" i="15"/>
  <c r="M118" i="15"/>
  <c r="K118" i="15"/>
  <c r="Z118" i="15"/>
  <c r="Y118" i="15"/>
  <c r="N204" i="15"/>
  <c r="P204" i="15"/>
  <c r="L204" i="15"/>
  <c r="L98" i="15"/>
  <c r="P98" i="15"/>
  <c r="Y36" i="15"/>
  <c r="Z37" i="15"/>
  <c r="M46" i="15"/>
  <c r="M52" i="15"/>
  <c r="M64" i="15"/>
  <c r="Z67" i="15"/>
  <c r="L72" i="15"/>
  <c r="Z74" i="15"/>
  <c r="Z77" i="15"/>
  <c r="L107" i="15"/>
  <c r="N107" i="15"/>
  <c r="P107" i="15"/>
  <c r="O194" i="15"/>
  <c r="M194" i="15"/>
  <c r="Z194" i="15"/>
  <c r="Y194" i="15"/>
  <c r="K194" i="15"/>
  <c r="N202" i="15"/>
  <c r="P202" i="15"/>
  <c r="L202" i="15"/>
  <c r="Z58" i="15"/>
  <c r="O58" i="15"/>
  <c r="N124" i="15"/>
  <c r="L124" i="15"/>
  <c r="O199" i="15"/>
  <c r="M199" i="15"/>
  <c r="K199" i="15"/>
  <c r="Z199" i="15"/>
  <c r="Y199" i="15"/>
  <c r="M40" i="15"/>
  <c r="P41" i="15"/>
  <c r="Z47" i="15"/>
  <c r="O47" i="15"/>
  <c r="Z53" i="15"/>
  <c r="O53" i="15"/>
  <c r="Z59" i="15"/>
  <c r="O59" i="15"/>
  <c r="P69" i="15"/>
  <c r="N72" i="15"/>
  <c r="M76" i="15"/>
  <c r="Z76" i="15"/>
  <c r="O76" i="15"/>
  <c r="M83" i="15"/>
  <c r="O83" i="15"/>
  <c r="P87" i="15"/>
  <c r="K98" i="15"/>
  <c r="M101" i="15"/>
  <c r="O101" i="15"/>
  <c r="M104" i="15"/>
  <c r="Z104" i="15"/>
  <c r="O104" i="15"/>
  <c r="O112" i="15"/>
  <c r="M129" i="15"/>
  <c r="N152" i="15"/>
  <c r="L152" i="15"/>
  <c r="P152" i="15"/>
  <c r="O158" i="15"/>
  <c r="M158" i="15"/>
  <c r="Z158" i="15"/>
  <c r="Y158" i="15"/>
  <c r="K158" i="15"/>
  <c r="N176" i="15"/>
  <c r="P176" i="15"/>
  <c r="L176" i="15"/>
  <c r="K73" i="15"/>
  <c r="K85" i="15"/>
  <c r="Z115" i="15"/>
  <c r="N118" i="15"/>
  <c r="Z121" i="15"/>
  <c r="K123" i="15"/>
  <c r="Z126" i="15"/>
  <c r="L129" i="15"/>
  <c r="L134" i="15"/>
  <c r="Y136" i="15"/>
  <c r="P139" i="15"/>
  <c r="L139" i="15"/>
  <c r="L142" i="15"/>
  <c r="O149" i="15"/>
  <c r="M149" i="15"/>
  <c r="K149" i="15"/>
  <c r="L155" i="15"/>
  <c r="L163" i="15"/>
  <c r="L171" i="15"/>
  <c r="O179" i="15"/>
  <c r="M179" i="15"/>
  <c r="K179" i="15"/>
  <c r="N184" i="15"/>
  <c r="P184" i="15"/>
  <c r="L184" i="15"/>
  <c r="L194" i="15"/>
  <c r="O202" i="15"/>
  <c r="M202" i="15"/>
  <c r="Z202" i="15"/>
  <c r="Y202" i="15"/>
  <c r="N160" i="15"/>
  <c r="P160" i="15"/>
  <c r="L160" i="15"/>
  <c r="N168" i="15"/>
  <c r="P168" i="15"/>
  <c r="L168" i="15"/>
  <c r="O191" i="15"/>
  <c r="M191" i="15"/>
  <c r="K191" i="15"/>
  <c r="N196" i="15"/>
  <c r="P196" i="15"/>
  <c r="L196" i="15"/>
  <c r="O211" i="15"/>
  <c r="M211" i="15"/>
  <c r="K211" i="15"/>
  <c r="Z134" i="15"/>
  <c r="Y134" i="15"/>
  <c r="N138" i="15"/>
  <c r="L138" i="15"/>
  <c r="O151" i="15"/>
  <c r="M151" i="15"/>
  <c r="O186" i="15"/>
  <c r="M186" i="15"/>
  <c r="Z186" i="15"/>
  <c r="Y186" i="15"/>
  <c r="O206" i="15"/>
  <c r="M206" i="15"/>
  <c r="Z206" i="15"/>
  <c r="Y206" i="15"/>
  <c r="O110" i="15"/>
  <c r="K115" i="15"/>
  <c r="O116" i="15"/>
  <c r="K121" i="15"/>
  <c r="P122" i="15"/>
  <c r="M127" i="15"/>
  <c r="L132" i="15"/>
  <c r="N137" i="15"/>
  <c r="O147" i="15"/>
  <c r="K147" i="15"/>
  <c r="P151" i="15"/>
  <c r="L151" i="15"/>
  <c r="L154" i="15"/>
  <c r="L162" i="15"/>
  <c r="L170" i="15"/>
  <c r="L175" i="15"/>
  <c r="P178" i="15"/>
  <c r="O183" i="15"/>
  <c r="M183" i="15"/>
  <c r="K183" i="15"/>
  <c r="N188" i="15"/>
  <c r="P188" i="15"/>
  <c r="L188" i="15"/>
  <c r="Y191" i="15"/>
  <c r="L198" i="15"/>
  <c r="P203" i="15"/>
  <c r="Y211" i="15"/>
  <c r="K79" i="15"/>
  <c r="N91" i="15"/>
  <c r="N97" i="15"/>
  <c r="N103" i="15"/>
  <c r="N109" i="15"/>
  <c r="P110" i="15"/>
  <c r="N115" i="15"/>
  <c r="P116" i="15"/>
  <c r="N121" i="15"/>
  <c r="Y123" i="15"/>
  <c r="L126" i="15"/>
  <c r="P127" i="15"/>
  <c r="N132" i="15"/>
  <c r="L136" i="15"/>
  <c r="L140" i="15"/>
  <c r="N146" i="15"/>
  <c r="Y151" i="15"/>
  <c r="P154" i="15"/>
  <c r="L159" i="15"/>
  <c r="P162" i="15"/>
  <c r="L167" i="15"/>
  <c r="P170" i="15"/>
  <c r="P175" i="15"/>
  <c r="O178" i="15"/>
  <c r="M178" i="15"/>
  <c r="Z178" i="15"/>
  <c r="Y178" i="15"/>
  <c r="Z191" i="15"/>
  <c r="L195" i="15"/>
  <c r="P198" i="15"/>
  <c r="O203" i="15"/>
  <c r="M203" i="15"/>
  <c r="K203" i="15"/>
  <c r="N208" i="15"/>
  <c r="P208" i="15"/>
  <c r="L208" i="15"/>
  <c r="Z211" i="15"/>
  <c r="O115" i="15"/>
  <c r="O121" i="15"/>
  <c r="Z123" i="15"/>
  <c r="M126" i="15"/>
  <c r="O137" i="15"/>
  <c r="M137" i="15"/>
  <c r="P140" i="15"/>
  <c r="Z151" i="15"/>
  <c r="O154" i="15"/>
  <c r="M154" i="15"/>
  <c r="Z154" i="15"/>
  <c r="Y154" i="15"/>
  <c r="P159" i="15"/>
  <c r="O162" i="15"/>
  <c r="M162" i="15"/>
  <c r="Z162" i="15"/>
  <c r="Y162" i="15"/>
  <c r="P167" i="15"/>
  <c r="O170" i="15"/>
  <c r="M170" i="15"/>
  <c r="Z170" i="15"/>
  <c r="Y170" i="15"/>
  <c r="O175" i="15"/>
  <c r="M175" i="15"/>
  <c r="K175" i="15"/>
  <c r="N180" i="15"/>
  <c r="P180" i="15"/>
  <c r="L180" i="15"/>
  <c r="L190" i="15"/>
  <c r="P195" i="15"/>
  <c r="O198" i="15"/>
  <c r="M198" i="15"/>
  <c r="Z198" i="15"/>
  <c r="Y198" i="15"/>
  <c r="L210" i="15"/>
  <c r="O146" i="15"/>
  <c r="Z146" i="15"/>
  <c r="O150" i="15"/>
  <c r="K150" i="15"/>
  <c r="O156" i="15"/>
  <c r="M156" i="15"/>
  <c r="K156" i="15"/>
  <c r="O159" i="15"/>
  <c r="M159" i="15"/>
  <c r="O164" i="15"/>
  <c r="M164" i="15"/>
  <c r="K164" i="15"/>
  <c r="O167" i="15"/>
  <c r="M167" i="15"/>
  <c r="L187" i="15"/>
  <c r="P190" i="15"/>
  <c r="O195" i="15"/>
  <c r="M195" i="15"/>
  <c r="K195" i="15"/>
  <c r="N200" i="15"/>
  <c r="P200" i="15"/>
  <c r="L200" i="15"/>
  <c r="L207" i="15"/>
  <c r="P210" i="15"/>
  <c r="N150" i="15"/>
  <c r="L150" i="15"/>
  <c r="N156" i="15"/>
  <c r="P156" i="15"/>
  <c r="L156" i="15"/>
  <c r="N164" i="15"/>
  <c r="P164" i="15"/>
  <c r="L164" i="15"/>
  <c r="N172" i="15"/>
  <c r="P172" i="15"/>
  <c r="L172" i="15"/>
  <c r="O190" i="15"/>
  <c r="M190" i="15"/>
  <c r="Z190" i="15"/>
  <c r="Y190" i="15"/>
  <c r="O210" i="15"/>
  <c r="M210" i="15"/>
  <c r="Z210" i="15"/>
  <c r="Y210" i="15"/>
  <c r="P226" i="15"/>
  <c r="N226" i="15"/>
  <c r="L226" i="15"/>
  <c r="Z110" i="15"/>
  <c r="Z116" i="15"/>
  <c r="Z127" i="15"/>
  <c r="M131" i="15"/>
  <c r="O131" i="15"/>
  <c r="Z137" i="15"/>
  <c r="Y146" i="15"/>
  <c r="Y150" i="15"/>
  <c r="Y156" i="15"/>
  <c r="Y159" i="15"/>
  <c r="Y164" i="15"/>
  <c r="Y167" i="15"/>
  <c r="Z175" i="15"/>
  <c r="O187" i="15"/>
  <c r="M187" i="15"/>
  <c r="K187" i="15"/>
  <c r="N192" i="15"/>
  <c r="P192" i="15"/>
  <c r="L192" i="15"/>
  <c r="O207" i="15"/>
  <c r="M207" i="15"/>
  <c r="K207" i="15"/>
  <c r="Y115" i="15"/>
  <c r="Y121" i="15"/>
  <c r="Y126" i="15"/>
  <c r="K134" i="15"/>
  <c r="O139" i="15"/>
  <c r="M139" i="15"/>
  <c r="O145" i="15"/>
  <c r="Z145" i="15"/>
  <c r="Y145" i="15"/>
  <c r="Z150" i="15"/>
  <c r="Z156" i="15"/>
  <c r="Z159" i="15"/>
  <c r="Z164" i="15"/>
  <c r="Z167" i="15"/>
  <c r="O182" i="15"/>
  <c r="M182" i="15"/>
  <c r="Z182" i="15"/>
  <c r="Y182" i="15"/>
  <c r="Z195" i="15"/>
  <c r="N212" i="15"/>
  <c r="P212" i="15"/>
  <c r="L212" i="15"/>
  <c r="O221" i="15"/>
  <c r="Z221" i="15"/>
  <c r="Y221" i="15"/>
  <c r="M221" i="15"/>
  <c r="M140" i="15"/>
  <c r="N141" i="15"/>
  <c r="M152" i="15"/>
  <c r="P153" i="15"/>
  <c r="P157" i="15"/>
  <c r="P161" i="15"/>
  <c r="P165" i="15"/>
  <c r="P169" i="15"/>
  <c r="P173" i="15"/>
  <c r="P177" i="15"/>
  <c r="P181" i="15"/>
  <c r="P185" i="15"/>
  <c r="P189" i="15"/>
  <c r="P193" i="15"/>
  <c r="P197" i="15"/>
  <c r="P201" i="15"/>
  <c r="P205" i="15"/>
  <c r="P209" i="15"/>
  <c r="O157" i="15"/>
  <c r="M157" i="15"/>
  <c r="O161" i="15"/>
  <c r="M161" i="15"/>
  <c r="O165" i="15"/>
  <c r="M165" i="15"/>
  <c r="O169" i="15"/>
  <c r="M169" i="15"/>
  <c r="O173" i="15"/>
  <c r="M173" i="15"/>
  <c r="O177" i="15"/>
  <c r="M177" i="15"/>
  <c r="O181" i="15"/>
  <c r="M181" i="15"/>
  <c r="O185" i="15"/>
  <c r="M185" i="15"/>
  <c r="O189" i="15"/>
  <c r="M189" i="15"/>
  <c r="O193" i="15"/>
  <c r="M193" i="15"/>
  <c r="O197" i="15"/>
  <c r="M197" i="15"/>
  <c r="O201" i="15"/>
  <c r="M201" i="15"/>
  <c r="O205" i="15"/>
  <c r="M205" i="15"/>
  <c r="O209" i="15"/>
  <c r="M209" i="15"/>
  <c r="O172" i="15"/>
  <c r="M172" i="15"/>
  <c r="O176" i="15"/>
  <c r="M176" i="15"/>
  <c r="O180" i="15"/>
  <c r="M180" i="15"/>
  <c r="O184" i="15"/>
  <c r="M184" i="15"/>
  <c r="O188" i="15"/>
  <c r="M188" i="15"/>
  <c r="O192" i="15"/>
  <c r="M192" i="15"/>
  <c r="O196" i="15"/>
  <c r="M196" i="15"/>
  <c r="O200" i="15"/>
  <c r="M200" i="15"/>
  <c r="O204" i="15"/>
  <c r="M204" i="15"/>
  <c r="Z205" i="15"/>
  <c r="O208" i="15"/>
  <c r="M208" i="15"/>
  <c r="Z209" i="15"/>
  <c r="O212" i="15"/>
  <c r="M212" i="15"/>
  <c r="O226" i="15"/>
  <c r="Y226" i="15"/>
</calcChain>
</file>

<file path=xl/sharedStrings.xml><?xml version="1.0" encoding="utf-8"?>
<sst xmlns="http://schemas.openxmlformats.org/spreadsheetml/2006/main" count="6345" uniqueCount="1383">
  <si>
    <t>Scenario</t>
  </si>
  <si>
    <t>Username</t>
  </si>
  <si>
    <t>Password</t>
  </si>
  <si>
    <t>Number</t>
  </si>
  <si>
    <t>Holding ID</t>
  </si>
  <si>
    <t>Product</t>
  </si>
  <si>
    <t>Products</t>
  </si>
  <si>
    <t>Amount</t>
  </si>
  <si>
    <t>Allocate Full Amount Index</t>
  </si>
  <si>
    <t>POSB Account Number</t>
  </si>
  <si>
    <t>MethodType</t>
  </si>
  <si>
    <t>IBAN_Number</t>
  </si>
  <si>
    <t>IBAN_Added_Status</t>
  </si>
  <si>
    <t>Savings Certificate</t>
  </si>
  <si>
    <t>Savings Bond - 3 Year</t>
  </si>
  <si>
    <t>null</t>
  </si>
  <si>
    <t>Reinvest-Repay</t>
  </si>
  <si>
    <t>SIT-Test-User61@mailinator.com</t>
  </si>
  <si>
    <t>Saving Bond</t>
  </si>
  <si>
    <t>NSB 4 Year</t>
  </si>
  <si>
    <t>NSB 10 Year</t>
  </si>
  <si>
    <t>National Solidarity Bond - 10 Year</t>
  </si>
  <si>
    <t>Prize Bonds</t>
  </si>
  <si>
    <t>Childcare Plus</t>
  </si>
  <si>
    <t>020-8000076</t>
  </si>
  <si>
    <t>Installment Savings</t>
  </si>
  <si>
    <t>Savings Certificate - 5 Year</t>
  </si>
  <si>
    <t>2107547912</t>
  </si>
  <si>
    <t>2310657786</t>
  </si>
  <si>
    <t xml:space="preserve">null </t>
  </si>
  <si>
    <t>Cash-In</t>
  </si>
  <si>
    <t>Yes</t>
  </si>
  <si>
    <t>Journey</t>
  </si>
  <si>
    <t>visible</t>
  </si>
  <si>
    <t>IbanDetails</t>
  </si>
  <si>
    <t>NSB Repay_Reinvest_Indicator</t>
  </si>
  <si>
    <t>Prize Bond Range</t>
  </si>
  <si>
    <t>Prize Amount</t>
  </si>
  <si>
    <t>Delay</t>
  </si>
  <si>
    <t>GB33BUKB20201555555555</t>
  </si>
  <si>
    <t>Change_IBAN-Profile_And_Setting</t>
  </si>
  <si>
    <t>valid</t>
  </si>
  <si>
    <t>yes</t>
  </si>
  <si>
    <t>TC_04</t>
  </si>
  <si>
    <t>200</t>
  </si>
  <si>
    <t>TC_05</t>
  </si>
  <si>
    <t>TC_31</t>
  </si>
  <si>
    <t>no</t>
  </si>
  <si>
    <t>Reinvest</t>
  </si>
  <si>
    <t>TC_02</t>
  </si>
  <si>
    <t>nulll</t>
  </si>
  <si>
    <t>TC_01</t>
  </si>
  <si>
    <t>Prize Bond</t>
  </si>
  <si>
    <t>100</t>
  </si>
  <si>
    <t>TC_03</t>
  </si>
  <si>
    <t>ChangeIBAN</t>
  </si>
  <si>
    <t>Dummy!2022</t>
  </si>
  <si>
    <t>020-8099906</t>
  </si>
  <si>
    <t>IE64IRCE92050112345678</t>
  </si>
  <si>
    <t>AddIBAN</t>
  </si>
  <si>
    <t>Dummy!0000</t>
  </si>
  <si>
    <t>Add_IBAN-Prompt</t>
  </si>
  <si>
    <t>TC_04_SSA</t>
  </si>
  <si>
    <t>UATAUTOCHANGED-WF-User2@mailinator.com</t>
  </si>
  <si>
    <t>020-8030002</t>
  </si>
  <si>
    <t xml:space="preserve">DK9520000123456789
</t>
  </si>
  <si>
    <t>SSA</t>
  </si>
  <si>
    <t>50</t>
  </si>
  <si>
    <t>PreProd-TestUser9@mailinator.com</t>
  </si>
  <si>
    <t>020-8099909</t>
  </si>
  <si>
    <t xml:space="preserve">AT483200000012345864
</t>
  </si>
  <si>
    <t>ADDIBANCASHINMATURED</t>
  </si>
  <si>
    <t>No</t>
  </si>
  <si>
    <t>TC_06</t>
  </si>
  <si>
    <t>PreProd-TestUser8@mailinator.com</t>
  </si>
  <si>
    <t>Dummy!2024</t>
  </si>
  <si>
    <t>020-8099908</t>
  </si>
  <si>
    <t>IE64IRCE920501123456789</t>
  </si>
  <si>
    <t>Savings Certificate - 5 Year,Savings Bond - 3 Year</t>
  </si>
  <si>
    <t>TC_31_No_IBAN</t>
  </si>
  <si>
    <t>TC_02Multiple</t>
  </si>
  <si>
    <t>500</t>
  </si>
  <si>
    <t>TC_09</t>
  </si>
  <si>
    <t>95.25</t>
  </si>
  <si>
    <t>PB_Range_1</t>
  </si>
  <si>
    <t>PB_Range_2</t>
  </si>
  <si>
    <t>TC_11</t>
  </si>
  <si>
    <t>100,100</t>
  </si>
  <si>
    <t>1</t>
  </si>
  <si>
    <t>TC_07</t>
  </si>
  <si>
    <t>3000,3000</t>
  </si>
  <si>
    <t>PreProd-TestUser6@mailinator.com</t>
  </si>
  <si>
    <t>Dummy!2025</t>
  </si>
  <si>
    <t>RebrandAutomationUser4@mailinator.com</t>
  </si>
  <si>
    <t>020-8890061</t>
  </si>
  <si>
    <t>AddIBAN(P&amp;S)</t>
  </si>
  <si>
    <t>RebrandAutomationUser7@mailinator.com</t>
  </si>
  <si>
    <t>020-8890066</t>
  </si>
  <si>
    <t>Add_IBAN-Profile_And_Setting</t>
  </si>
  <si>
    <t>Perf-Test-User-10247@mailinator.com</t>
  </si>
  <si>
    <t>Dummy!0026</t>
  </si>
  <si>
    <t>020-8900089</t>
  </si>
  <si>
    <t>ChangeName</t>
  </si>
  <si>
    <t>RebrandAutomationUser5@mailinator.com</t>
  </si>
  <si>
    <t>020-8890062</t>
  </si>
  <si>
    <t>ChangePassword</t>
  </si>
  <si>
    <t>Perf-Test-User-10250@mailinator.com</t>
  </si>
  <si>
    <t>020-8010240</t>
  </si>
  <si>
    <t>50620718</t>
  </si>
  <si>
    <t>4019974101</t>
  </si>
  <si>
    <t>980.49</t>
  </si>
  <si>
    <t>4019515000</t>
  </si>
  <si>
    <t>RebrandAutomationUser2@mailinator.com</t>
  </si>
  <si>
    <t>020-8890059</t>
  </si>
  <si>
    <t>4201761444</t>
  </si>
  <si>
    <t>Perf-Test-User-10182@mailinator.com</t>
  </si>
  <si>
    <t>020-8900086</t>
  </si>
  <si>
    <t>4017638066</t>
  </si>
  <si>
    <t>9922</t>
  </si>
  <si>
    <t>4019987131</t>
  </si>
  <si>
    <t>Savings Certificate - 5 Year,Savings Bond - 3 Year,Prize Bonds,National Solidarity Bond - 10 Year,Deposit Account</t>
  </si>
  <si>
    <t>200,200,200,200,100</t>
  </si>
  <si>
    <t>RebrandAutomationUser6@mailinator.com</t>
  </si>
  <si>
    <t>020-8890065</t>
  </si>
  <si>
    <t>AAK583198 - AAK583205</t>
  </si>
  <si>
    <t>AAK518904 - AAK518911</t>
  </si>
  <si>
    <t>ChooseAmountEditOrderReinvest</t>
  </si>
  <si>
    <t>RangeEditOrder</t>
  </si>
  <si>
    <t>GB33BUKB2020155555864</t>
  </si>
  <si>
    <t>225</t>
  </si>
  <si>
    <t>SC753456 - SC753491</t>
  </si>
  <si>
    <t>TC_31Multiple</t>
  </si>
  <si>
    <t>4018953208</t>
  </si>
  <si>
    <t>200,200,200,200,532.97</t>
  </si>
  <si>
    <t>3</t>
  </si>
  <si>
    <t>TC_05AllocateModal</t>
  </si>
  <si>
    <t>4019430527</t>
  </si>
  <si>
    <t>TC_31Allocate</t>
  </si>
  <si>
    <t xml:space="preserve">MC5810096180790123456789085
</t>
  </si>
  <si>
    <t>2</t>
  </si>
  <si>
    <t>ChooseAmountEditOrder</t>
  </si>
  <si>
    <t>Perf-Test-User-10242@mailinator.com</t>
  </si>
  <si>
    <t>020-8010236</t>
  </si>
  <si>
    <t>2106119941</t>
  </si>
  <si>
    <t>67532212</t>
  </si>
  <si>
    <t>BondRangeeditorder</t>
  </si>
  <si>
    <t>Perf-Test-User-9917@mailinator.com</t>
  </si>
  <si>
    <t>020-8009917</t>
  </si>
  <si>
    <t>2105797539</t>
  </si>
  <si>
    <t>LU120010001234567891</t>
  </si>
  <si>
    <t>ACT680689 - ACT680700</t>
  </si>
  <si>
    <t>TC_02Allocatetocash</t>
  </si>
  <si>
    <t>TC_02AllocateFullamount</t>
  </si>
  <si>
    <t>4019889473</t>
  </si>
  <si>
    <t>GB33BUKB20201555550203</t>
  </si>
  <si>
    <t>ADDIBANREPAYREINVEST</t>
  </si>
  <si>
    <t>RebrandAutomationUser1@mailinator.com</t>
  </si>
  <si>
    <t>020-8890058</t>
  </si>
  <si>
    <t>4019805652</t>
  </si>
  <si>
    <t>2000.02</t>
  </si>
  <si>
    <t>Notice_UAT_NSB_4_Matured</t>
  </si>
  <si>
    <t>PreProd-ECRUser2@mailinator.com</t>
  </si>
  <si>
    <t>020-8070001</t>
  </si>
  <si>
    <t>4202037022</t>
  </si>
  <si>
    <t>GB33BUKB202015555678</t>
  </si>
  <si>
    <t>Notice_UAT_NSB_4_Non_Matured</t>
  </si>
  <si>
    <t>AutoTest!2024</t>
  </si>
  <si>
    <t>4202592182</t>
  </si>
  <si>
    <t>Notice_UAT_NSB_4_Flushed</t>
  </si>
  <si>
    <t>Dummy!2021</t>
  </si>
  <si>
    <t>4202083407</t>
  </si>
  <si>
    <t>Notice_UAT_NSB_10_Matured</t>
  </si>
  <si>
    <t>PreProd-TestUser5@mailinator.com</t>
  </si>
  <si>
    <t>020-8080102</t>
  </si>
  <si>
    <t>4100189656</t>
  </si>
  <si>
    <t>Notice_UAT_NSB_10_Non_Matured</t>
  </si>
  <si>
    <t>4201819159</t>
  </si>
  <si>
    <t>Notice_UAT_NSB_10_Flushed</t>
  </si>
  <si>
    <t>4101080721</t>
  </si>
  <si>
    <t>Notice_UAT_NSB_10_Non_Matured_Other</t>
  </si>
  <si>
    <t>UAT-WF-User26@mailinator.com</t>
  </si>
  <si>
    <t>020-8030026</t>
  </si>
  <si>
    <t>4201237800</t>
  </si>
  <si>
    <t>Notice_UAT_Child_Donor</t>
  </si>
  <si>
    <t>1002880</t>
  </si>
  <si>
    <t>Notice_UAT_Child_Matured</t>
  </si>
  <si>
    <t>2106653611</t>
  </si>
  <si>
    <t>10378293</t>
  </si>
  <si>
    <t>Notice_UAT_Child_Non_Matured</t>
  </si>
  <si>
    <t>2108035753</t>
  </si>
  <si>
    <t>10028808</t>
  </si>
  <si>
    <t>Notice_UAT_Install_Donor</t>
  </si>
  <si>
    <t>67528977</t>
  </si>
  <si>
    <t>67278541</t>
  </si>
  <si>
    <t>Notice_UAT_Install_Matured</t>
  </si>
  <si>
    <t>UAT-WF-User45@mailinator.com</t>
  </si>
  <si>
    <t>020-8030045</t>
  </si>
  <si>
    <t>Notice_UAT_Install_Non_Matured</t>
  </si>
  <si>
    <t>UAT-WF-User13@mailinator.com</t>
  </si>
  <si>
    <t>020-8030013</t>
  </si>
  <si>
    <t>2108039333</t>
  </si>
  <si>
    <t>2302170971</t>
  </si>
  <si>
    <t>Notice_UAT_Install_Flushed</t>
  </si>
  <si>
    <t>2107399379</t>
  </si>
  <si>
    <t>2313718409</t>
  </si>
  <si>
    <t>Notice_Saving_Bond_Matured</t>
  </si>
  <si>
    <t>4017833535</t>
  </si>
  <si>
    <t>Notice_Saving_Bond_Non_Matured</t>
  </si>
  <si>
    <t>4019425558</t>
  </si>
  <si>
    <t>Notice_Savings_Certificate_Matured</t>
  </si>
  <si>
    <t>4019895911</t>
  </si>
  <si>
    <t>Notice_Savings_Ceritificate_Non_Matured</t>
  </si>
  <si>
    <t>4019415374</t>
  </si>
  <si>
    <t>Notice_SSA</t>
  </si>
  <si>
    <t>50107914</t>
  </si>
  <si>
    <t>Notice_Prior_2014</t>
  </si>
  <si>
    <t>Perf-Test-User-9986@mailinator.com</t>
  </si>
  <si>
    <t>Dummy!2032</t>
  </si>
  <si>
    <t>020-8009986</t>
  </si>
  <si>
    <t>2216484285</t>
  </si>
  <si>
    <t>Generic User</t>
  </si>
  <si>
    <t>Perf-Test-User-10224@mailinator.com</t>
  </si>
  <si>
    <t>020-8010218</t>
  </si>
  <si>
    <t>RepayReinvest User</t>
  </si>
  <si>
    <t>4018623267</t>
  </si>
  <si>
    <t>ChangeEmail</t>
  </si>
  <si>
    <t>UATAuto-WF-User44@mailinator.com</t>
  </si>
  <si>
    <t>50122575</t>
  </si>
  <si>
    <t>UAT-WF-User77@mailinator.com</t>
  </si>
  <si>
    <t>TC_20</t>
  </si>
  <si>
    <t>Savings Bond - 3 Year,National Solidarity Bond - 10 Year</t>
  </si>
  <si>
    <t>020-8010138</t>
  </si>
  <si>
    <t>75</t>
  </si>
  <si>
    <t>ACH805545 - ACH805552</t>
  </si>
  <si>
    <t>ACH637837 - ACH637844</t>
  </si>
  <si>
    <t>Savings Certificate - 5 Year,Prize Bonds</t>
  </si>
  <si>
    <t>4202589041</t>
  </si>
  <si>
    <t>SSCN</t>
  </si>
  <si>
    <t>FirstName</t>
  </si>
  <si>
    <t>SecondName</t>
  </si>
  <si>
    <t>DOB</t>
  </si>
  <si>
    <t>EmailAddress</t>
  </si>
  <si>
    <t>Re-EnterEmailAddress</t>
  </si>
  <si>
    <t>PIN</t>
  </si>
  <si>
    <t>MobileNumber</t>
  </si>
  <si>
    <t>prefix</t>
  </si>
  <si>
    <t>Re-EnterMobileNumber</t>
  </si>
  <si>
    <t>Prefix re-enter</t>
  </si>
  <si>
    <t>otpNumber</t>
  </si>
  <si>
    <t>addressLine1</t>
  </si>
  <si>
    <t>addressLine2</t>
  </si>
  <si>
    <t>town</t>
  </si>
  <si>
    <t>eircode</t>
  </si>
  <si>
    <t>countyCode</t>
  </si>
  <si>
    <t>countryCode</t>
  </si>
  <si>
    <t>Country_State_Region</t>
  </si>
  <si>
    <t>country</t>
  </si>
  <si>
    <t>registrationType</t>
  </si>
  <si>
    <t>otpIndicator</t>
  </si>
  <si>
    <t>Token</t>
  </si>
  <si>
    <t>PIN_Web</t>
  </si>
  <si>
    <t>+353</t>
  </si>
  <si>
    <t>DONEGAL</t>
  </si>
  <si>
    <t>IRELAND</t>
  </si>
  <si>
    <t>WATERFORD</t>
  </si>
  <si>
    <t>OTP</t>
  </si>
  <si>
    <t>Error Message</t>
  </si>
  <si>
    <t>Blank Username Pwd</t>
  </si>
  <si>
    <t>Please enter your email address,Please enter your password</t>
  </si>
  <si>
    <t>Invalid Username Pwd</t>
  </si>
  <si>
    <t>Perf-Test-User10224@mailinator.co</t>
  </si>
  <si>
    <t>Dummy!</t>
  </si>
  <si>
    <t>Incorrect email address and/or password. Please try again.</t>
  </si>
  <si>
    <t>Invalid Username Valid Pwd</t>
  </si>
  <si>
    <t>Valid Username Invalid Pwd</t>
  </si>
  <si>
    <t>Perf-Test-User10224@mailinator.com</t>
  </si>
  <si>
    <t>Dummy</t>
  </si>
  <si>
    <t>Warning! You have entered your details incorrectly once. Your account will be locked after three failed attempts.</t>
  </si>
  <si>
    <t>Pending Registration</t>
  </si>
  <si>
    <t>Perf-Test-User-10261@mailinator.com</t>
  </si>
  <si>
    <t>A registration is in progress for these details.</t>
  </si>
  <si>
    <t>Blank Verification Code</t>
  </si>
  <si>
    <t>Please enter your verification code</t>
  </si>
  <si>
    <t>Wrong Verification Code</t>
  </si>
  <si>
    <t>020-8010219</t>
  </si>
  <si>
    <t>dffdfd</t>
  </si>
  <si>
    <t>Verification code is invalid or has expired. Please try again.</t>
  </si>
  <si>
    <t>Expired Verification Code</t>
  </si>
  <si>
    <t>020-8010220</t>
  </si>
  <si>
    <t>020-8010221</t>
  </si>
  <si>
    <t>Please enter the six-digit verification code sent to your registered mobile number</t>
  </si>
  <si>
    <t>Multiple Failed Logins</t>
  </si>
  <si>
    <t>Perf-Test-User-10132@mailinator.com</t>
  </si>
  <si>
    <t>FWP-Blank Email</t>
  </si>
  <si>
    <t>Please enter your email address</t>
  </si>
  <si>
    <t>FWP-Invalid Email</t>
  </si>
  <si>
    <t>PerfTestUSer</t>
  </si>
  <si>
    <t>Please enter a valid email address</t>
  </si>
  <si>
    <t>FWP-Pending Registration</t>
  </si>
  <si>
    <t>A registration is still in progress for these details. If you believe this to be incorrect, or if you did not register your details, please contact Ireland State Savings by calling 0818 20 50 60 or 01 705 7200 and we will assist you.</t>
  </si>
  <si>
    <t>FWP-Locked User</t>
  </si>
  <si>
    <t>Perf-Test-User-10133@mailinator.com</t>
  </si>
  <si>
    <t>Your account has been temporarily locked. Please try again later.</t>
  </si>
  <si>
    <t>CE-Blank</t>
  </si>
  <si>
    <t>Please enter your new email address</t>
  </si>
  <si>
    <t>CE-SameEmail</t>
  </si>
  <si>
    <t>The email address needs to be different from your current email address</t>
  </si>
  <si>
    <t>CE-Invalid</t>
  </si>
  <si>
    <t>AnpostNTMA</t>
  </si>
  <si>
    <t>Please enter a valid email</t>
  </si>
  <si>
    <t>CE-AlreadyRegistered</t>
  </si>
  <si>
    <t>Change of email cannot be completed using the email address you have entered. Please use another one.</t>
  </si>
  <si>
    <t>CP-InvalidOldPassword</t>
  </si>
  <si>
    <t>You have entered your details incorrectly once. Your account will be locked after three failed attempts.</t>
  </si>
  <si>
    <t>CP-SamePassword</t>
  </si>
  <si>
    <t>Please choose a password that you haven't used before.</t>
  </si>
  <si>
    <t>CP-BlankOldPassword</t>
  </si>
  <si>
    <t>Please enter your old password</t>
  </si>
  <si>
    <t>IBAN-Blank</t>
  </si>
  <si>
    <t>MigrationWorkflowTest1Changed@mailinator.com</t>
  </si>
  <si>
    <t>020-8030038</t>
  </si>
  <si>
    <t>Please enter a value for your IBAN.</t>
  </si>
  <si>
    <t>IBAN-Invalid</t>
  </si>
  <si>
    <t>GB94BARC20201530093459 </t>
  </si>
  <si>
    <t>This is not a valid IBAN. A valid IBAN consists of a two letter country code followed by two check digits and up to 35 alphanumeric characters.</t>
  </si>
  <si>
    <t>IBAN-Non Sepa</t>
  </si>
  <si>
    <t>AL35202111090000000001234567</t>
  </si>
  <si>
    <t>The IBAN entered is a not a SEPA IBAN. Only SEPA IBAN can be used for cash in from Ireland State Savings. Please contact the Ireland State Savings Team to arrange international payment</t>
  </si>
  <si>
    <t>IBAN-ConsentError</t>
  </si>
  <si>
    <t>Please Confirm</t>
  </si>
  <si>
    <t>no product selected</t>
  </si>
  <si>
    <t>Please Select a Product to add to your account</t>
  </si>
  <si>
    <t>PB-no amount entered</t>
  </si>
  <si>
    <t>Please enter amount for investment.</t>
  </si>
  <si>
    <t>FT-no amount entered</t>
  </si>
  <si>
    <t>FT-below minimum purchase</t>
  </si>
  <si>
    <t>The minimum purchase value for this Ireland State Savings Product is €50.</t>
  </si>
  <si>
    <t>PB-below minimum purchase</t>
  </si>
  <si>
    <t>The minimum purchase value for Prize Bonds is €25.</t>
  </si>
  <si>
    <t>DA-below minimum purchase</t>
  </si>
  <si>
    <t>The minimum purchase value for this Ireland State Savings Product is €0.01.</t>
  </si>
  <si>
    <t>DA-account number and amount error</t>
  </si>
  <si>
    <t>Please enter account number.,Please enter amount for investment.</t>
  </si>
  <si>
    <t>DA-account number error</t>
  </si>
  <si>
    <t>The account number is, one letter followed by a 6-digit number OR a 10-digit number</t>
  </si>
  <si>
    <t>Repayment-Blank</t>
  </si>
  <si>
    <t>Enter an amount or select 'Allocate full amount'.</t>
  </si>
  <si>
    <t>Repayment-Invalid</t>
  </si>
  <si>
    <t>Invalid amount entered.</t>
  </si>
  <si>
    <t>ChooseAmount-Blank</t>
  </si>
  <si>
    <t>ChooseAmount-MoreThanAvailable</t>
  </si>
  <si>
    <t>BondRange-Checkbox</t>
  </si>
  <si>
    <t>Please select the bond range(s) from the list below.</t>
  </si>
  <si>
    <t>MONAGHAN</t>
  </si>
  <si>
    <t>WESTMEATH</t>
  </si>
  <si>
    <t>CARLOW</t>
  </si>
  <si>
    <t>SLIGO</t>
  </si>
  <si>
    <t>CLARE</t>
  </si>
  <si>
    <t>GALWAY</t>
  </si>
  <si>
    <t>DUBLIN</t>
  </si>
  <si>
    <t>TC10</t>
  </si>
  <si>
    <t>LAOIS</t>
  </si>
  <si>
    <t>TC11</t>
  </si>
  <si>
    <t>KERRY</t>
  </si>
  <si>
    <t>Web_1</t>
  </si>
  <si>
    <t>Oranmore</t>
  </si>
  <si>
    <t>onlineRegistration</t>
  </si>
  <si>
    <t>Web_2</t>
  </si>
  <si>
    <t>Elna</t>
  </si>
  <si>
    <t>Killick</t>
  </si>
  <si>
    <t>12-10-1946</t>
  </si>
  <si>
    <t>90102 Anzinger Crossing</t>
  </si>
  <si>
    <t>Dublin</t>
  </si>
  <si>
    <t>116189</t>
  </si>
  <si>
    <t>Web_3</t>
  </si>
  <si>
    <t>Nikoletta</t>
  </si>
  <si>
    <t>Sankey</t>
  </si>
  <si>
    <t>19-01-1985</t>
  </si>
  <si>
    <t>65469 Schiller Circle</t>
  </si>
  <si>
    <t>Edenderry</t>
  </si>
  <si>
    <t>KILDARE</t>
  </si>
  <si>
    <t>https://ss-uat.dev-anpost.com/your-savings/register/create-password?token=lS7jglTeYEUhdtN%2BI3ev%2F5rXU5DU8LauWFxKq2x115ZBxQnjTbB%2BtewMAGYs3fnWkCT%2BWKeyBM7cB0AKzfOC6DOorbDvvgvNblPY1pneReo%3D</t>
  </si>
  <si>
    <t>484930</t>
  </si>
  <si>
    <t>Web_4</t>
  </si>
  <si>
    <t>Christie</t>
  </si>
  <si>
    <t>Jacquemy</t>
  </si>
  <si>
    <t>24-07-1976</t>
  </si>
  <si>
    <t>4148 Village Terrace</t>
  </si>
  <si>
    <t>Waterford</t>
  </si>
  <si>
    <t>https://ss-uat.dev-anpost.com/your-savings/register/create-password?token=NXsGpFZNlXVN9GjLQb5XyJK9JEH6ch%2FuBEVbFUD44XTRplT%2BI5H9YVcG%2F9gnZ%2FEv%2BKaX4A0gbe5XtMOFkFQxsjSoiHXIy1x3O39%2BfMk5mR8%3D</t>
  </si>
  <si>
    <t>277706</t>
  </si>
  <si>
    <t>Web_5</t>
  </si>
  <si>
    <t>Coletta</t>
  </si>
  <si>
    <t>Géttens</t>
  </si>
  <si>
    <t>25-06-1953</t>
  </si>
  <si>
    <t>839 Mockingbird Junction</t>
  </si>
  <si>
    <t>Kells</t>
  </si>
  <si>
    <t>MEATH</t>
  </si>
  <si>
    <t>https://ss-uat.dev-anpost.com/your-savings/register/create-password?token=fM1bszC8CWpHNERBIY5WWXVTztf2ANazrPsk6QgZyBJ3g6DycjmF8qCCkfLHPH6K407fsssxGiDn8kNG6BS%2BusTB%2FOui%2BLLf3L2%2BQ3ufyvo%3D</t>
  </si>
  <si>
    <t>275010</t>
  </si>
  <si>
    <t>Web_6</t>
  </si>
  <si>
    <t>Web_7</t>
  </si>
  <si>
    <t>Ursula</t>
  </si>
  <si>
    <t>Paal</t>
  </si>
  <si>
    <t>24-05-1973</t>
  </si>
  <si>
    <t>5758 Kim Road</t>
  </si>
  <si>
    <t>Dundalk</t>
  </si>
  <si>
    <t>https://ss-uat.dev-anpost.com/your-savings/register/create-password?token=YDJVOPp4hRUb2zWzmXjLx6OhHQZcjg4ydEckd0LkC54K%2FolTZUtjp1TI87%2B7mKt4NVbRghXkQtSot%2FPG5wd%2BiLLTLOls99lP%2B2BO2xr2W0Y%3D</t>
  </si>
  <si>
    <t>Web_8</t>
  </si>
  <si>
    <t>Carmel</t>
  </si>
  <si>
    <t>Drake</t>
  </si>
  <si>
    <t>26-03-1966</t>
  </si>
  <si>
    <t>2921 Meadow Vale Court</t>
  </si>
  <si>
    <t>Athy</t>
  </si>
  <si>
    <t>https://ss-uat.dev-anpost.com/your-savings/register/create-password?token=1fmh6AWeVCYX7RASubkGV64WDEkmgZGYiLOO4NNpTzrI6TD5BcZ6dxAt9tSDurojtXH8wVlqWQ4uLLcfkUdnWvoUQNOUN%2BTWmNWJ%2FHJPiF4%3D</t>
  </si>
  <si>
    <t>Web_9</t>
  </si>
  <si>
    <t>Cathryn</t>
  </si>
  <si>
    <t>Oiseau</t>
  </si>
  <si>
    <t>08-09-1984</t>
  </si>
  <si>
    <t>5972 Declaration Place</t>
  </si>
  <si>
    <t>Greystones</t>
  </si>
  <si>
    <t>MAYO</t>
  </si>
  <si>
    <t>https://ss-uat.dev-anpost.com/your-savings/register/create-password?token=Qh90CBDbyGKV2G2CPWtC2zhfPe%2F1VKTJLO0%2FBNAQDhXLmJCM%2Bakk%2BfJAjP2xalUQuPtwUAIijpp1JnFuH7Jnjpu8BdTPpveD8of75rO%2BRI0%3D</t>
  </si>
  <si>
    <t>994441</t>
  </si>
  <si>
    <t>Web_10</t>
  </si>
  <si>
    <t>Alisander</t>
  </si>
  <si>
    <t>Franks</t>
  </si>
  <si>
    <t>02-06-1963</t>
  </si>
  <si>
    <t>380 Harper Pass</t>
  </si>
  <si>
    <t>Ratoath</t>
  </si>
  <si>
    <t>https://ss-uat.dev-anpost.com/your-savings/register/create-password?token=RSLP5hhtg%2BBwL2FKMXuQXFXM62glswyMp7fhkzdHLYFKAvZ5mQ%2F4tOX3N0AD6IPwR8Y84F6wDu49Xop7MfRok7xXIlcdy%2BXUgJ8bCO0mkC0%3D</t>
  </si>
  <si>
    <t>Web_11</t>
  </si>
  <si>
    <t>Web_12</t>
  </si>
  <si>
    <t>Celbridge</t>
  </si>
  <si>
    <t>Web_13</t>
  </si>
  <si>
    <t>Web_14</t>
  </si>
  <si>
    <t>Web_15</t>
  </si>
  <si>
    <t>WEXFORD</t>
  </si>
  <si>
    <t>Web_16</t>
  </si>
  <si>
    <t>Austina</t>
  </si>
  <si>
    <t>MacCallister</t>
  </si>
  <si>
    <t>23-07-1976</t>
  </si>
  <si>
    <t>385 Gina Park</t>
  </si>
  <si>
    <t>Wicklow</t>
  </si>
  <si>
    <t>https://ss-uat.dev-anpost.com/your-savings/register/create-password?token=jmguHHa3nAY3q5zcrHE5MxIvYezLJq65ySIiLAtcO%2Bg9fGwjBLagBtPMTmUqy824HCcOM6vWcRUd815C9b%2FeAUW3t3b0nvvgDVoVK3k16og%3D</t>
  </si>
  <si>
    <t>Web_17</t>
  </si>
  <si>
    <t>Web_18</t>
  </si>
  <si>
    <t>Dorothy</t>
  </si>
  <si>
    <t>McSweeney</t>
  </si>
  <si>
    <t>09-05-1956</t>
  </si>
  <si>
    <t>6131 Dunning Crossing</t>
  </si>
  <si>
    <t>Port Laoise</t>
  </si>
  <si>
    <t>https://ss-uat.dev-anpost.com/your-savings/register/create-password?token=KCxEGFRh1IMYuKStJLUqlb%2FKISuKDPuXFqFtj9P93gAd%2FLosobYW7eObpHD%2BUDFUpkEXpzDqtNt44WRci04t3vDAxHU7EBzj6kVPnaKU8IU%3D</t>
  </si>
  <si>
    <t>Web_19</t>
  </si>
  <si>
    <t>Web_20</t>
  </si>
  <si>
    <t>Web_21</t>
  </si>
  <si>
    <t>Brigitta</t>
  </si>
  <si>
    <t>Flawn</t>
  </si>
  <si>
    <t>15-10-1957</t>
  </si>
  <si>
    <t>65469 Valley Edge Road</t>
  </si>
  <si>
    <t>Skerries</t>
  </si>
  <si>
    <t>https://ss-uat.dev-anpost.com/your-savings/register/create-password?token=3SAjnT83VzBCNrxU66sSzCfhZ3V1WFfm4Xt1s%2FyEtE3qGtj8PLmfsNDT%2FjEORs9spbWcRAOCsNX8J8s4lyCkglcZlHvhgnFk3FNReSaZ6Do%3D</t>
  </si>
  <si>
    <t>Web_22</t>
  </si>
  <si>
    <t>Timmie</t>
  </si>
  <si>
    <t>Clancey</t>
  </si>
  <si>
    <t>05-03-1989</t>
  </si>
  <si>
    <t>197 Hermina Pass</t>
  </si>
  <si>
    <t>Castlebar</t>
  </si>
  <si>
    <t>TIPPERARY</t>
  </si>
  <si>
    <t>https://ss-uat.dev-anpost.com/your-savings/register/create-password?token=3hd26TEfW9uC8qZFlIaDEC4paRmvc8ip8MndXUcZIPywdkPIeLVxve7fpuc6%2BP6vMzqi%2F%2BUDTRUGlJv565Tt%2FuLOFxgaxNSfNCPJI4sveso%3D</t>
  </si>
  <si>
    <t>Web_23</t>
  </si>
  <si>
    <t>Jaquelyn</t>
  </si>
  <si>
    <t>Fallis</t>
  </si>
  <si>
    <t>22-12-1962</t>
  </si>
  <si>
    <t>45011 Paget Pass</t>
  </si>
  <si>
    <t>Fermoy</t>
  </si>
  <si>
    <t>LIMERICK</t>
  </si>
  <si>
    <t>https://ss-uat.dev-anpost.com/your-savings/register/create-password?token=0W47JpyslgHBRNjkPLmCma26N8k0am4Cqr6EZFNoHNigbE3SYHlQRXJLeZDEI9HLlHoSyDQXgIdQKxQe%2Fo9zn%2FEK7lAjbMeKvJs8Rlg0QrY%3D</t>
  </si>
  <si>
    <t>Web_24</t>
  </si>
  <si>
    <t>Donabate</t>
  </si>
  <si>
    <t>CORK</t>
  </si>
  <si>
    <t>Web_25</t>
  </si>
  <si>
    <t>Zea</t>
  </si>
  <si>
    <t>Fortnon</t>
  </si>
  <si>
    <t>22-04-1983</t>
  </si>
  <si>
    <t>0833 Talisman Park</t>
  </si>
  <si>
    <t>Ballinasloe</t>
  </si>
  <si>
    <t>https://ss-uat.dev-anpost.com/your-savings/register/create-password?token=fPIa4gGBUiOumYDPWNBPrbqgJZ1az0yn0FwFU8dS0dq2iNm407qLcTvzYADXGKJBioauq8j1ejVxBI7gxbrHLptAvEk4E8cZF1nTTw%2FodM8%3D</t>
  </si>
  <si>
    <t>Web_26</t>
  </si>
  <si>
    <t>Dawn</t>
  </si>
  <si>
    <t>Pardue</t>
  </si>
  <si>
    <t>12-04-1979</t>
  </si>
  <si>
    <t>85 Hintze Crossing</t>
  </si>
  <si>
    <t>https://ss-uat.dev-anpost.com/your-savings/register/create-password?token=4yMFcF3qT5OsjLdVahBflSlavO6fnycuxqUbVEwCA1%2F5EUUiuQnbtxdPAk5HLhpEHJWB73GUwWP9WrKBlmaEdb%2BWH7Qf7ZOkhtTqM9lA65U%3D</t>
  </si>
  <si>
    <t>Web_27</t>
  </si>
  <si>
    <t>Corri</t>
  </si>
  <si>
    <t>Musterd</t>
  </si>
  <si>
    <t>18-09-1965</t>
  </si>
  <si>
    <t>2479 Sheridan Street</t>
  </si>
  <si>
    <t>Nenagh</t>
  </si>
  <si>
    <t>https://ss-uat.dev-anpost.com/your-savings/register/create-password?token=k%2F4W4ViCg6t5nFenqMB1Xw8tuXuVU0ejKWo1f%2F1BGe2SYON2hfgMuPiIvxXv40fpZOCb3f%2BakltjFrSkUFSu6RI1Mrf%2B6sduQ8K4h9GYpWs%3D</t>
  </si>
  <si>
    <t>Web_28</t>
  </si>
  <si>
    <t>Jobie</t>
  </si>
  <si>
    <t>Hansley</t>
  </si>
  <si>
    <t>07-02-1999</t>
  </si>
  <si>
    <t>084 Oak Valley Point</t>
  </si>
  <si>
    <t>Galway</t>
  </si>
  <si>
    <t>LONGFORD</t>
  </si>
  <si>
    <t>https://ss-uat.dev-anpost.com/your-savings/register/create-password?token=V6oShhJ%2FtyPjoQn8KTWOSZWikxWb5rY6Cbd7vmBT8fTWzx%2FvlnoTyf4ArSWMSYYzTcJNXa%2BWkq8Gj6cnpPX%2BqJoAZDC5oyVJqZx7KAxsVVY%3D</t>
  </si>
  <si>
    <t>Web_29</t>
  </si>
  <si>
    <t>Web_30</t>
  </si>
  <si>
    <t>Deeanne</t>
  </si>
  <si>
    <t>Sturgeon</t>
  </si>
  <si>
    <t>04-01-1980</t>
  </si>
  <si>
    <t>1530 Fisk Parkway</t>
  </si>
  <si>
    <t>Web_31</t>
  </si>
  <si>
    <t>Web_32</t>
  </si>
  <si>
    <t>Helen elizabeth</t>
  </si>
  <si>
    <t>Titmuss</t>
  </si>
  <si>
    <t>12-02-1983</t>
  </si>
  <si>
    <t>46 Butterfield Crossing</t>
  </si>
  <si>
    <t>Clane</t>
  </si>
  <si>
    <t>Lise</t>
  </si>
  <si>
    <t>Arboin</t>
  </si>
  <si>
    <t>08-02-1983</t>
  </si>
  <si>
    <t>403 Bultman Plaza</t>
  </si>
  <si>
    <t>Jonell</t>
  </si>
  <si>
    <t>McBean</t>
  </si>
  <si>
    <t>22-02-1993</t>
  </si>
  <si>
    <t>59 Spaight Crossing</t>
  </si>
  <si>
    <t>Newcastle West</t>
  </si>
  <si>
    <t>ROSCOMMON</t>
  </si>
  <si>
    <t>https://ss-uat.dev-anpost.com/your-savings/register/create-password?token=PFl6KXHVXT7rI5iwbv%2F0iH9tuf4r23A4cH4iBGqnp8FclV6eVnr%2F%2FyRSfA5r0YEtU1MjXul3cyCRyEXab5n4eWZMYhFxYG1VAysTYJpOXjY%3D</t>
  </si>
  <si>
    <t>Allianora</t>
  </si>
  <si>
    <t>Lumber</t>
  </si>
  <si>
    <t>27-05-1987</t>
  </si>
  <si>
    <t>69059 Warrior Junction</t>
  </si>
  <si>
    <t>Portarlington</t>
  </si>
  <si>
    <t>https://ss-uat.dev-anpost.com/your-savings/register/create-password?token=xeumtsAVafKX7sv%2BIbDOs9jR9h30D%2BX8RoR4Q3NKBM87k52DdKed5THdPj2zqdC5r1F3gkwcGzbGBhxMGkQuyx62CShYabvCgxnYi9OTt9U%3D</t>
  </si>
  <si>
    <t>Nada</t>
  </si>
  <si>
    <t>Weight</t>
  </si>
  <si>
    <t>12-10-1971</t>
  </si>
  <si>
    <t>92 Vera Street</t>
  </si>
  <si>
    <t>https://ss-uat.dev-anpost.com/your-savings/register/create-password?token=C4JN27zeQynsQ9t0fnSApJ%2Bi2%2BUqY%2FgSEPmuw48mXaz7q1JUqQ9jUcM3CmOjDHOT0GpZ6g3NafN2TWOUGy5G%2BMjzOhTL8AO8lSl9QYjSMlU%3D</t>
  </si>
  <si>
    <t>Web_39</t>
  </si>
  <si>
    <t>Edi</t>
  </si>
  <si>
    <t>Giacomoni</t>
  </si>
  <si>
    <t>21-09-1980</t>
  </si>
  <si>
    <t>208008039</t>
  </si>
  <si>
    <t>20-8008039</t>
  </si>
  <si>
    <t>78 Goodland Way</t>
  </si>
  <si>
    <t>Carrick-on-Suir</t>
  </si>
  <si>
    <t>https://ss-uat.dev-anpost.com/your-savings/register/create-password?token=%2FaKj6A8X8cGfzD716VyimxkvCgF4yVWJB3cArvbz3OVPCxkd6Tb%2FMlVuM6Rc%2FimEbK%2FJuBMo6Dx2gng7RrUZwWhkrKuizDLKN6NoEw3xUFg%3D</t>
  </si>
  <si>
    <t>LOUTH</t>
  </si>
  <si>
    <t>Web_43</t>
  </si>
  <si>
    <t>Mar</t>
  </si>
  <si>
    <t>Santore</t>
  </si>
  <si>
    <t>25-06-19606</t>
  </si>
  <si>
    <t>208008043</t>
  </si>
  <si>
    <t>20-8008043</t>
  </si>
  <si>
    <t>5 Russell Junction</t>
  </si>
  <si>
    <t>https://ss-uat.dev-anpost.com/your-savings/register/create-password?token=sFU38hNGfyO8BE8w3IZI%2BW7FbCnxIKxb5KJzcazhtXkZEo5xpdueLwmDhL50%2Fopl9JyK9TZi3B0oqz%2Fhdht1UYtuJBeK5mUCJyDZRLbmWY4%3D</t>
  </si>
  <si>
    <t>Listowel</t>
  </si>
  <si>
    <t>KILKENNY</t>
  </si>
  <si>
    <t>CAVAN</t>
  </si>
  <si>
    <t>Gustav</t>
  </si>
  <si>
    <t>Hector</t>
  </si>
  <si>
    <t>22-09-1995</t>
  </si>
  <si>
    <t>08343 Veith Place</t>
  </si>
  <si>
    <t>https://ss-uat.dev-anpost.com/your-savings/register/create-password?token=z7DpAGEWZr3kHmdEuQZnR4HPbyHXRfhcKBS%2FIJWbiBGWnhPHX1Z3lRHvgFZexp8EO8cwpkq3lUUz2KdbekBkX134MLPfjSRrP7tRQxpN668%3D</t>
  </si>
  <si>
    <t>Nicola</t>
  </si>
  <si>
    <t>Laffling</t>
  </si>
  <si>
    <t>05-11-2003</t>
  </si>
  <si>
    <t>0 Rutledge Road</t>
  </si>
  <si>
    <t>Tuam</t>
  </si>
  <si>
    <t>Lazarus</t>
  </si>
  <si>
    <t>Lenox</t>
  </si>
  <si>
    <t>11-05-1990</t>
  </si>
  <si>
    <t>9 Ridgeway Park</t>
  </si>
  <si>
    <t>https://ss-uat.dev-anpost.com/your-savings/register/create-password?token=4EhlJOWgcS7g4LtVsiHophugKmO1xHGXTqEVSlKJizXhWjN%2FlqKdRg74JIZuJLMiNuA6gZKvsWYY9FW4yY7bMryhTRw84gLHUT42AWeKE3M%3D</t>
  </si>
  <si>
    <t>Shana</t>
  </si>
  <si>
    <t>Powdrill</t>
  </si>
  <si>
    <t>07-08-1972</t>
  </si>
  <si>
    <t>50 Village Crossing</t>
  </si>
  <si>
    <t>New Ross</t>
  </si>
  <si>
    <t>https://ss-uat.dev-anpost.com/your-savings/register/create-password?token=sQDSAyHsIR1ep0Xy5Ca%2B6rsS3ehEQlrK2zEXq%2Fg4q8%2FnxRo2zs5PCZ9GmTjE6ONdPbtFt5%2B5qQ021LjO935DdJ4XOp%2FCcFz3GisQB7qDrrk%3D</t>
  </si>
  <si>
    <t>WICKLOW</t>
  </si>
  <si>
    <t>Tuesday</t>
  </si>
  <si>
    <t>Daintrey</t>
  </si>
  <si>
    <t>21-08-1975</t>
  </si>
  <si>
    <t>6138 Dapin Lane</t>
  </si>
  <si>
    <t>https://ss-uat.dev-anpost.com/your-savings/register/create-password?token=1dMo7n0OOH5BvbgEj8QjsWTKZuIYaBHn6JABozCwVqDPo9SgwXhyPFvojewyqdwNew2pFIeg2tkiGw4PiaGodQToajHoeojj53enfS3wGOw%3D</t>
  </si>
  <si>
    <t>OFFALY</t>
  </si>
  <si>
    <t>Thekla</t>
  </si>
  <si>
    <t>Iwanowicz</t>
  </si>
  <si>
    <t>06-09-1947</t>
  </si>
  <si>
    <t>9157 Kinsman Court</t>
  </si>
  <si>
    <t>https://ss-uat.dev-anpost.com/your-savings/register/create-password?token=LCzpyw50k9tSpjzu6gadVdozAYpZN3VyuA1U2dfwwf5ccnjbsg5sE3WXMY4CeFjq2nSa7CfXLSzQkJPxYFMClFhGWgLyrFarMZr6PHqYkVQ%3D</t>
  </si>
  <si>
    <t>Shellie</t>
  </si>
  <si>
    <t>Zanassi</t>
  </si>
  <si>
    <t>16-07-1966</t>
  </si>
  <si>
    <t>87196 Stephen Plaza</t>
  </si>
  <si>
    <t>https://ss-uat.dev-anpost.com/your-savings/register/create-password?token=F8Fz6jVoj6BzO15zXy8Kto3FVP5KM6XB%2BlhwrffL89NgjF786L%2F%2B49VMGcSxoh2YAykNop4gji4hS%2FCjQGj%2FIXvahYeYG6goBceGjLOUbmM%3D</t>
  </si>
  <si>
    <t>Lotti</t>
  </si>
  <si>
    <t>Jeavons</t>
  </si>
  <si>
    <t>06-12-1958</t>
  </si>
  <si>
    <t>9595 Daystar Junction</t>
  </si>
  <si>
    <t>https://ss-uat.dev-anpost.com/your-savings/register/create-password?token=e6OA9YCRvV6PShCdlcZH7WxOJpkys3exZGhrbJZz%2B6%2Fe0x4RbNGBDlexA5odarF92fx4K4jBjRXsIS8%2FnZVQScR9btvbGGNS0fg1s408T0g%3D</t>
  </si>
  <si>
    <t>Web_73</t>
  </si>
  <si>
    <t>Hobey</t>
  </si>
  <si>
    <t>Jellyman</t>
  </si>
  <si>
    <t>12-12-1955</t>
  </si>
  <si>
    <t>208008073</t>
  </si>
  <si>
    <t>20-8008073</t>
  </si>
  <si>
    <t>5 Westport Park</t>
  </si>
  <si>
    <t/>
  </si>
  <si>
    <t>TC12</t>
  </si>
  <si>
    <t>PreProd-Web-Auth71@mailinator.com</t>
  </si>
  <si>
    <t>208008768</t>
  </si>
  <si>
    <t>20-8008768</t>
  </si>
  <si>
    <t>ANTRIM</t>
  </si>
  <si>
    <t>UNITED KINGDOM</t>
  </si>
  <si>
    <t>PreProd-Web-Auth49@mailinator.com</t>
  </si>
  <si>
    <t>208008769</t>
  </si>
  <si>
    <t>20-8008769</t>
  </si>
  <si>
    <t>ARMAGH</t>
  </si>
  <si>
    <t>PreProd-Web-Auth50@mailinator.com</t>
  </si>
  <si>
    <t>208008770</t>
  </si>
  <si>
    <t>20-8008770</t>
  </si>
  <si>
    <t>PreProd-Web-Auth51@mailinator.com</t>
  </si>
  <si>
    <t>208008771</t>
  </si>
  <si>
    <t>20-8008771</t>
  </si>
  <si>
    <t>PreProd-Web-Auth52@mailinator.com</t>
  </si>
  <si>
    <t>208008772</t>
  </si>
  <si>
    <t>20-8008772</t>
  </si>
  <si>
    <t>PreProd-Web-Auth2@mailinator.com</t>
  </si>
  <si>
    <t>208008773</t>
  </si>
  <si>
    <t>20-8008773</t>
  </si>
  <si>
    <t>https://ss-uat.dev-anpost.com/your-savings/register/create-password?token=G7xkduakTTxNRPQqt5PvJVJQ5sLDRPTCiw%2FXmv9Nihsrou4vSx2r0Mq6ucf1okh2fie46znn2RtH3I20v5b8Jy%2FPxmL%2BmmSwXfpBG3X0RXg%3D</t>
  </si>
  <si>
    <t>PreProd-Web-Auth3@mailinator.com</t>
  </si>
  <si>
    <t>208008774</t>
  </si>
  <si>
    <t>20-8008774</t>
  </si>
  <si>
    <t>DERRY</t>
  </si>
  <si>
    <t>PreProd-Web-Auth55@mailinator.com</t>
  </si>
  <si>
    <t>208008775</t>
  </si>
  <si>
    <t>20-8008775</t>
  </si>
  <si>
    <t>PreProd-Web-Auth4@mailinator.com</t>
  </si>
  <si>
    <t>208008776</t>
  </si>
  <si>
    <t>20-8008776</t>
  </si>
  <si>
    <t>DOWN</t>
  </si>
  <si>
    <t>PreProd-Web-Auth5@mailinator.com</t>
  </si>
  <si>
    <t>208008777</t>
  </si>
  <si>
    <t>20-8008777</t>
  </si>
  <si>
    <t>PreProd-Web-Auth58@mailinator.com</t>
  </si>
  <si>
    <t>208008778</t>
  </si>
  <si>
    <t>20-8008778</t>
  </si>
  <si>
    <t>FERMANAGH</t>
  </si>
  <si>
    <t>PreProd-Web-Auth7@mailinator.com</t>
  </si>
  <si>
    <t>208008779</t>
  </si>
  <si>
    <t>20-8008779</t>
  </si>
  <si>
    <t>PreProd-Web-Auth61@mailinator.com</t>
  </si>
  <si>
    <t>208008780</t>
  </si>
  <si>
    <t>20-8008780</t>
  </si>
  <si>
    <t>PreProd-Web-Auth16@mailinator.com</t>
  </si>
  <si>
    <t>208008781</t>
  </si>
  <si>
    <t>20-8008781</t>
  </si>
  <si>
    <t>PreProd-Web-Auth8@mailinator.com</t>
  </si>
  <si>
    <t>208008782</t>
  </si>
  <si>
    <t>20-8008782</t>
  </si>
  <si>
    <t>PreProd-Web-Auth18@mailinator.com</t>
  </si>
  <si>
    <t>208008783</t>
  </si>
  <si>
    <t>20-8008783</t>
  </si>
  <si>
    <t>PreProd-Web-Auth39@mailinator.com</t>
  </si>
  <si>
    <t>208008784</t>
  </si>
  <si>
    <t>20-8008784</t>
  </si>
  <si>
    <t>LEITRIM</t>
  </si>
  <si>
    <t>PreProd-Web-Auth21@mailinator.com</t>
  </si>
  <si>
    <t>208008785</t>
  </si>
  <si>
    <t>20-8008785</t>
  </si>
  <si>
    <t>PreProd-Web-Auth22@mailinator.com</t>
  </si>
  <si>
    <t>208008786</t>
  </si>
  <si>
    <t>20-8008786</t>
  </si>
  <si>
    <t>PreProd-Web-Auth23@mailinator.com</t>
  </si>
  <si>
    <t>208008787</t>
  </si>
  <si>
    <t>20-8008787</t>
  </si>
  <si>
    <t>PreProd-Web-Auth9@mailinator.com</t>
  </si>
  <si>
    <t>208008788</t>
  </si>
  <si>
    <t>20-8008788</t>
  </si>
  <si>
    <t>PreProd-Web-Auth25@mailinator.com</t>
  </si>
  <si>
    <t>208008789</t>
  </si>
  <si>
    <t>20-8008789</t>
  </si>
  <si>
    <t>PreProd-Web-Auth26@mailinator.com</t>
  </si>
  <si>
    <t>208008790</t>
  </si>
  <si>
    <t>20-8008790</t>
  </si>
  <si>
    <t>PreProd-Web-Auth27@mailinator.com</t>
  </si>
  <si>
    <t>208008791</t>
  </si>
  <si>
    <t>20-8008791</t>
  </si>
  <si>
    <t>PreProd-Web-Auth28@mailinator.com</t>
  </si>
  <si>
    <t>208008792</t>
  </si>
  <si>
    <t>20-8008792</t>
  </si>
  <si>
    <t>PreProd-Web-Auth30@mailinator.com</t>
  </si>
  <si>
    <t>208008793</t>
  </si>
  <si>
    <t>20-8008793</t>
  </si>
  <si>
    <t>PreProd-Web-Auth10@mailinator.com</t>
  </si>
  <si>
    <t>208008794</t>
  </si>
  <si>
    <t>20-8008794</t>
  </si>
  <si>
    <t>PreProd-Web-Auth32@mailinator.com</t>
  </si>
  <si>
    <t>208008795</t>
  </si>
  <si>
    <t>20-8008795</t>
  </si>
  <si>
    <t>TYRONE</t>
  </si>
  <si>
    <t>PreProd-Web-Auth33@mailinator.com</t>
  </si>
  <si>
    <t>208008796</t>
  </si>
  <si>
    <t>20-8008796</t>
  </si>
  <si>
    <t>PreProd-Web-Auth34@mailinator.com</t>
  </si>
  <si>
    <t>208008797</t>
  </si>
  <si>
    <t>20-8008797</t>
  </si>
  <si>
    <t>PreProd-Web-Auth35@mailinator.com</t>
  </si>
  <si>
    <t>208008798</t>
  </si>
  <si>
    <t>20-8008798</t>
  </si>
  <si>
    <t>PreProd-Web-Auth37@mailinator.com</t>
  </si>
  <si>
    <t>208008799</t>
  </si>
  <si>
    <t>20-8008799</t>
  </si>
  <si>
    <t>PreProd-Web-Auth43@mailinator.com</t>
  </si>
  <si>
    <t>PreProd-Web-Auth73@mailinator.com</t>
  </si>
  <si>
    <t>Incorrect Verification Code Length</t>
  </si>
  <si>
    <t>TC65</t>
  </si>
  <si>
    <t>TC66</t>
  </si>
  <si>
    <t>TC67</t>
  </si>
  <si>
    <t>TC62</t>
  </si>
  <si>
    <t>TC63</t>
  </si>
  <si>
    <t>TC70</t>
  </si>
  <si>
    <t>TC71</t>
  </si>
  <si>
    <t>TC37</t>
  </si>
  <si>
    <t>TC38</t>
  </si>
  <si>
    <t>TC31</t>
  </si>
  <si>
    <t>TC32</t>
  </si>
  <si>
    <t>TC33</t>
  </si>
  <si>
    <t>TC34</t>
  </si>
  <si>
    <t>TC35</t>
  </si>
  <si>
    <t>TC36</t>
  </si>
  <si>
    <t>TC40</t>
  </si>
  <si>
    <t>TC41</t>
  </si>
  <si>
    <t>TC42</t>
  </si>
  <si>
    <t>TC72</t>
  </si>
  <si>
    <t>TC24</t>
  </si>
  <si>
    <t>TC105</t>
  </si>
  <si>
    <t>TC47</t>
  </si>
  <si>
    <t>TC317</t>
  </si>
  <si>
    <t>TC329</t>
  </si>
  <si>
    <t>TC1</t>
  </si>
  <si>
    <t>TC2</t>
  </si>
  <si>
    <t>TC3</t>
  </si>
  <si>
    <t>TC4</t>
  </si>
  <si>
    <t>TC5</t>
  </si>
  <si>
    <t>TC6</t>
  </si>
  <si>
    <t>TC8</t>
  </si>
  <si>
    <t>TC21</t>
  </si>
  <si>
    <t>TC22</t>
  </si>
  <si>
    <t>TC23</t>
  </si>
  <si>
    <t>TC25</t>
  </si>
  <si>
    <t>TC26</t>
  </si>
  <si>
    <t>TC27</t>
  </si>
  <si>
    <t>TC28</t>
  </si>
  <si>
    <t>TC48</t>
  </si>
  <si>
    <t>TC115</t>
  </si>
  <si>
    <t>TC116</t>
  </si>
  <si>
    <t>TC120</t>
  </si>
  <si>
    <t>TC122</t>
  </si>
  <si>
    <t>TC123</t>
  </si>
  <si>
    <t>TC126</t>
  </si>
  <si>
    <t>TC127</t>
  </si>
  <si>
    <t>TC128</t>
  </si>
  <si>
    <t>TC129</t>
  </si>
  <si>
    <t>TC76</t>
  </si>
  <si>
    <t>TC13</t>
  </si>
  <si>
    <t>TC118</t>
  </si>
  <si>
    <t>TC117</t>
  </si>
  <si>
    <t>TC43</t>
  </si>
  <si>
    <t>TC45</t>
  </si>
  <si>
    <t>TC53</t>
  </si>
  <si>
    <t>TC68</t>
  </si>
  <si>
    <t>TC52</t>
  </si>
  <si>
    <t>TC54</t>
  </si>
  <si>
    <t>TC124</t>
  </si>
  <si>
    <t>TC1_NV</t>
  </si>
  <si>
    <t>TC2_NV</t>
  </si>
  <si>
    <t>TC3_NV</t>
  </si>
  <si>
    <t>TC7_NV_SB</t>
  </si>
  <si>
    <t>TC51</t>
  </si>
  <si>
    <t>TC_21_PB</t>
  </si>
  <si>
    <t>TC28_ForgotPassword</t>
  </si>
  <si>
    <t>TC48_ReinvestSingle</t>
  </si>
  <si>
    <t>TC58_AllocateToCash</t>
  </si>
  <si>
    <t>TC39_AddIban</t>
  </si>
  <si>
    <t>TC46_PBCashin</t>
  </si>
  <si>
    <t>TC55_Edit</t>
  </si>
  <si>
    <t>TC57_Multiple</t>
  </si>
  <si>
    <t>TC47_Range</t>
  </si>
  <si>
    <t>TC59 FullAmount</t>
  </si>
  <si>
    <t>SingleTC56</t>
  </si>
  <si>
    <t>TC50_ReinvestMultiple</t>
  </si>
  <si>
    <t>TC49</t>
  </si>
  <si>
    <t>TC119</t>
  </si>
  <si>
    <t>TC29</t>
  </si>
  <si>
    <t>TC30</t>
  </si>
  <si>
    <t>TC39</t>
  </si>
  <si>
    <t>TC44</t>
  </si>
  <si>
    <t>TC253_EditCashIn</t>
  </si>
  <si>
    <t>100,200</t>
  </si>
  <si>
    <t>TC290_EditProdAndAmount</t>
  </si>
  <si>
    <t>TC306_Posb</t>
  </si>
  <si>
    <t>Savings Certificate - 5 Year,Deposit Account</t>
  </si>
  <si>
    <t>TC310_AllProduct</t>
  </si>
  <si>
    <t>Savings Bond - 3 Year,Savings Certificate - 5 Year,National Solidarity Bond - 10 Year,Deposit Account,Prize Bonds</t>
  </si>
  <si>
    <t>TC70_MessageDisabled</t>
  </si>
  <si>
    <t>TC71_AlertDisabled</t>
  </si>
  <si>
    <t>NewTC11_BuynowDashboard</t>
  </si>
  <si>
    <t>Repayment-MoreThan</t>
  </si>
  <si>
    <t>0</t>
  </si>
  <si>
    <t>FT-NSB-below minimum purchase</t>
  </si>
  <si>
    <t>TC319_NSBReinvestMultipleLessAmount</t>
  </si>
  <si>
    <t>TC318_ReinvestCashInError</t>
  </si>
  <si>
    <t>20,300,20,200</t>
  </si>
  <si>
    <t>You must tick the box to proceed.</t>
  </si>
  <si>
    <t>TickContent</t>
  </si>
  <si>
    <t>PB FT-below minimum purchase</t>
  </si>
  <si>
    <t>DA-No account number and Invalid amount error</t>
  </si>
  <si>
    <t>Please enter account number.,The minimum purchase value for this Ireland State Savings Product is €0.01.</t>
  </si>
  <si>
    <t>FT-below minimum purchase amount</t>
  </si>
  <si>
    <t>Please enter a valid SSCN or PPSN number</t>
  </si>
  <si>
    <t>EnterRandomSSCN</t>
  </si>
  <si>
    <t>We cannot match your details.</t>
  </si>
  <si>
    <t>PPSN</t>
  </si>
  <si>
    <t>PPSN_SSCN</t>
  </si>
  <si>
    <t>JointApplicantSCD-N</t>
  </si>
  <si>
    <t>InvalidSSCNJoint</t>
  </si>
  <si>
    <t>InvalidSSCNPrimaryJoint</t>
  </si>
  <si>
    <t>MinorDOB</t>
  </si>
  <si>
    <t>According to your Date of Birth you are under 18. Please download and complete the standard application form evidencing parental/guardian consent.</t>
  </si>
  <si>
    <t>InvalidEmail</t>
  </si>
  <si>
    <t>InvalidSSCN</t>
  </si>
  <si>
    <t>InvalidEmailPbGift</t>
  </si>
  <si>
    <t>SameApplicants</t>
  </si>
  <si>
    <t>First and Second Applicant details cannot be the same customer</t>
  </si>
  <si>
    <t>InvalidDOB</t>
  </si>
  <si>
    <t>Please enter a valid date of birth</t>
  </si>
  <si>
    <t>InvalidEmailPrimarySec</t>
  </si>
  <si>
    <t>PrepopulatedAmount</t>
  </si>
  <si>
    <t>Minimum: €50.00 Maximum: €120000.00</t>
  </si>
  <si>
    <t>SameApplicantsJoint</t>
  </si>
  <si>
    <t>SecInvalidDOB</t>
  </si>
  <si>
    <t>SecInvalidEmail</t>
  </si>
  <si>
    <t>PrepopulatedAmountJoint</t>
  </si>
  <si>
    <t>Minimum: €50.00 Maximum: €240000.00</t>
  </si>
  <si>
    <t>PBInvalidDOB</t>
  </si>
  <si>
    <t>InvalidDOBPBTwoHolders</t>
  </si>
  <si>
    <t>PBMiniMax</t>
  </si>
  <si>
    <t>Minimum: 4 Maximum: 40000</t>
  </si>
  <si>
    <t>Minimum: 4 Maximum: 80000</t>
  </si>
  <si>
    <t>PBMiniMaxJoint</t>
  </si>
  <si>
    <t>Your Ireland State Savings Online service has been temporarily locked.,
There have been consecutive failed login attempts, so we have locked your service temporarily for your security. If you have forgotten your password, click ‘Forgot your password?’ on the Sign in screen.,
Please try again in 20 minutes,
Back to Sign in,
Help &amp; Support</t>
  </si>
  <si>
    <t>Invalid DOB</t>
  </si>
  <si>
    <t>00-01-1986,
01-00-1986,
01-08-0000,
29-2-2024,
32-01-1987,
01-13-1989</t>
  </si>
  <si>
    <t>ChangePasswordNoOTP</t>
  </si>
  <si>
    <t>Dummy!2011</t>
  </si>
  <si>
    <t>00-01-1986,
01-13-1989
01-00-1986,
32-01-1987,
01-08-0000,
29-2-2024</t>
  </si>
  <si>
    <t>4016733944</t>
  </si>
  <si>
    <t>500,512.64</t>
  </si>
  <si>
    <t>4019480028</t>
  </si>
  <si>
    <t>Perf-Test-User-10284@mailinator.com</t>
  </si>
  <si>
    <t>020-8900098</t>
  </si>
  <si>
    <t>Perf-Test-User-10285@mailinator.com</t>
  </si>
  <si>
    <t>Perf-Test-User-10148@mailinator.com</t>
  </si>
  <si>
    <t>Dummy!2027</t>
  </si>
  <si>
    <t>020-8900099</t>
  </si>
  <si>
    <t>Perf-Test-User-9962@mailinator.com</t>
  </si>
  <si>
    <t>020-8009962</t>
  </si>
  <si>
    <t>4018349840</t>
  </si>
  <si>
    <t>50,234.48</t>
  </si>
  <si>
    <t>Dummy!2026</t>
  </si>
  <si>
    <t>PreProd-TestUser11@mailinator.com</t>
  </si>
  <si>
    <t>020-8099901</t>
  </si>
  <si>
    <t xml:space="preserve">DK9520000123456789_x000D_
</t>
  </si>
  <si>
    <t>Perf-Test-User-10296@mailinator.com</t>
  </si>
  <si>
    <t>RebrandAutomationUser91@mailinator.com</t>
  </si>
  <si>
    <t>020-8900076</t>
  </si>
  <si>
    <t>020-8010286</t>
  </si>
  <si>
    <t>Perf-Test-User-10271@mailinator.com</t>
  </si>
  <si>
    <t>020-8900097</t>
  </si>
  <si>
    <t>Perf-Test-User-10297@mailinator.com</t>
  </si>
  <si>
    <t>020-8900100</t>
  </si>
  <si>
    <t>CE-AlreadyRegistered_PP</t>
  </si>
  <si>
    <t>Perf-Test-User-10113@mailinator.com</t>
  </si>
  <si>
    <t>020-8010103</t>
  </si>
  <si>
    <t>4020028788</t>
  </si>
  <si>
    <t>50,50,50,50,50,697.01</t>
  </si>
  <si>
    <t>4019906491</t>
  </si>
  <si>
    <t>4020009899</t>
  </si>
  <si>
    <t>4019997691</t>
  </si>
  <si>
    <t>4019987122</t>
  </si>
  <si>
    <t>800</t>
  </si>
  <si>
    <t>4200955466</t>
  </si>
  <si>
    <t>2314741234</t>
  </si>
  <si>
    <t>4019625913</t>
  </si>
  <si>
    <t>444.845,444.845</t>
  </si>
  <si>
    <t>4019617759</t>
  </si>
  <si>
    <t>889.69</t>
  </si>
  <si>
    <t>RebrandAutomationUser12c@mailinator.com</t>
  </si>
  <si>
    <t>020-8900077</t>
  </si>
  <si>
    <t>PREPROD-Test-User14@mailinator.com</t>
  </si>
  <si>
    <t>020-8010226</t>
  </si>
  <si>
    <t>4017283870</t>
  </si>
  <si>
    <t>3500016723</t>
  </si>
  <si>
    <t>2314723511</t>
  </si>
  <si>
    <t>4019533024</t>
  </si>
  <si>
    <t>480.43,480.43</t>
  </si>
  <si>
    <t>020-8900083</t>
  </si>
  <si>
    <t>TC55_Editc</t>
  </si>
  <si>
    <t>260,200</t>
  </si>
  <si>
    <t>Dummy!2028</t>
  </si>
  <si>
    <t>4019820295</t>
  </si>
  <si>
    <t>4019409366</t>
  </si>
  <si>
    <t>7085.26</t>
  </si>
  <si>
    <t>43.75</t>
  </si>
  <si>
    <t>PPUser4-Test-User-123@mailinator.com</t>
  </si>
  <si>
    <t>020-8033334</t>
  </si>
  <si>
    <t>TC_01PP</t>
  </si>
  <si>
    <t>PPAddIban1@mailinator.com</t>
  </si>
  <si>
    <t>020-8055551</t>
  </si>
  <si>
    <t>PPAddIban2@mailinator.com</t>
  </si>
  <si>
    <t>020-8055552</t>
  </si>
  <si>
    <t>TC379</t>
  </si>
  <si>
    <t>TC37P&amp;S</t>
  </si>
  <si>
    <t>4018416563</t>
  </si>
  <si>
    <t>PPAddIban5@mailinator.com</t>
  </si>
  <si>
    <t>020-8055555</t>
  </si>
  <si>
    <t>PPAddIban8@mailinator.com</t>
  </si>
  <si>
    <t>020-8055558</t>
  </si>
  <si>
    <t>4200748347</t>
  </si>
  <si>
    <t>PPAddIban10@mailinator.com</t>
  </si>
  <si>
    <t>020-8055510</t>
  </si>
  <si>
    <t>3500012523</t>
  </si>
  <si>
    <t>Perf-Test-User-10164@mailinator.com</t>
  </si>
  <si>
    <t>PPAddIban9@mailinator.com</t>
  </si>
  <si>
    <t>020-8055559</t>
  </si>
  <si>
    <t>2320030263</t>
  </si>
  <si>
    <t>1010.00</t>
  </si>
  <si>
    <t>020-8010154</t>
  </si>
  <si>
    <t>4019883718</t>
  </si>
  <si>
    <t>4019978263</t>
  </si>
  <si>
    <t>4019962308</t>
  </si>
  <si>
    <t>4019927898</t>
  </si>
  <si>
    <t>4019526664</t>
  </si>
  <si>
    <t>4020040770</t>
  </si>
  <si>
    <t>4010827394</t>
  </si>
  <si>
    <t>89.70</t>
  </si>
  <si>
    <t>PPAddIban19@mailinator.com</t>
  </si>
  <si>
    <t>020-8055519</t>
  </si>
  <si>
    <t>TestCaseName</t>
  </si>
  <si>
    <t>Entrypoint</t>
  </si>
  <si>
    <t>Aml_Indicator</t>
  </si>
  <si>
    <t>PB_Holder_Joint</t>
  </si>
  <si>
    <t>Source of Funds</t>
  </si>
  <si>
    <t>Purpose of Account</t>
  </si>
  <si>
    <t>Firstname</t>
  </si>
  <si>
    <t>Surname</t>
  </si>
  <si>
    <t>Surname2</t>
  </si>
  <si>
    <t>DOB2</t>
  </si>
  <si>
    <t>SSCN2</t>
  </si>
  <si>
    <t>PB_Holder_Fname</t>
  </si>
  <si>
    <t>PB_Holder_Surname</t>
  </si>
  <si>
    <t>PB_Holder_Address</t>
  </si>
  <si>
    <t>PB_Holder_Fname2</t>
  </si>
  <si>
    <t>PB_Holder_Surname2</t>
  </si>
  <si>
    <t>Address</t>
  </si>
  <si>
    <t>Email</t>
  </si>
  <si>
    <t>Email2</t>
  </si>
  <si>
    <t>Mobilenumber</t>
  </si>
  <si>
    <t>CDE</t>
  </si>
  <si>
    <t>Paymnt_Details</t>
  </si>
  <si>
    <t>Carousel</t>
  </si>
  <si>
    <t>Savings Bonds</t>
  </si>
  <si>
    <t>Guest</t>
  </si>
  <si>
    <t>Y</t>
  </si>
  <si>
    <t>Charity / Fund Raising</t>
  </si>
  <si>
    <t>Savings</t>
  </si>
  <si>
    <t>Automation Test,4539791001730106,1226,000,BROCKY,BILLSON,1 HANSON AVENUE,ENNIS,UAT-WF-User28@mailinator.com</t>
  </si>
  <si>
    <t>N</t>
  </si>
  <si>
    <t>PPAddIban6@mailinator.com</t>
  </si>
  <si>
    <t>242600948</t>
  </si>
  <si>
    <t>RIGNALL</t>
  </si>
  <si>
    <t>020-8055556</t>
  </si>
  <si>
    <t>OurProducts</t>
  </si>
  <si>
    <t>Gambling Winnings</t>
  </si>
  <si>
    <t>PPAddIban7@mailinator.com</t>
  </si>
  <si>
    <t>242600999</t>
  </si>
  <si>
    <t>CICCHETTO</t>
  </si>
  <si>
    <t>National Solidarity Bonds,Savings Bonds,Savings Certificates</t>
  </si>
  <si>
    <t>Gift</t>
  </si>
  <si>
    <t>Rainy Day Account</t>
  </si>
  <si>
    <t>1000,2500,1500</t>
  </si>
  <si>
    <t>PPAddIban16@mailinator.com</t>
  </si>
  <si>
    <t>242599915</t>
  </si>
  <si>
    <t>BOURNE</t>
  </si>
  <si>
    <t>020-8055516</t>
  </si>
  <si>
    <t>Savings Bonds,Prize Bonds</t>
  </si>
  <si>
    <t>Inheritance</t>
  </si>
  <si>
    <t>Bills</t>
  </si>
  <si>
    <t>20000,100</t>
  </si>
  <si>
    <t>242596037</t>
  </si>
  <si>
    <t>DE GLANVILLE</t>
  </si>
  <si>
    <t>Prize Bonds as a Gift</t>
  </si>
  <si>
    <t>Pension / Gov. / Welfare</t>
  </si>
  <si>
    <t>Jenifer</t>
  </si>
  <si>
    <t>Lopez</t>
  </si>
  <si>
    <t>Alan</t>
  </si>
  <si>
    <t>Walker</t>
  </si>
  <si>
    <t>6 Eliot Street,Downtown</t>
  </si>
  <si>
    <t>Dimitri</t>
  </si>
  <si>
    <t>Vegas</t>
  </si>
  <si>
    <t>62 downtown,loyola street</t>
  </si>
  <si>
    <t>National Solidarity Bonds,Prize Bonds as a Gift,Savings Bonds,Savings Certificates,Prize Bonds</t>
  </si>
  <si>
    <t>Proceeds of Sale</t>
  </si>
  <si>
    <t>Aisling</t>
  </si>
  <si>
    <t>Kelly</t>
  </si>
  <si>
    <t>9th Main Street,Green Estate</t>
  </si>
  <si>
    <t>MM/DD/YYYY</t>
  </si>
  <si>
    <t>TC7</t>
  </si>
  <si>
    <t>Prize Bonds,Prize Bonds as a Gift</t>
  </si>
  <si>
    <t>Property / Rental Inc</t>
  </si>
  <si>
    <t>Nenny</t>
  </si>
  <si>
    <t>Paul</t>
  </si>
  <si>
    <t>Savings Bonds,Prize Bonds as a Gift</t>
  </si>
  <si>
    <t>Salary</t>
  </si>
  <si>
    <t>20000,8</t>
  </si>
  <si>
    <t>TC9</t>
  </si>
  <si>
    <t>Afghanistan,Afghanistan,Full Time Employee,Accountant / Solicitor,17771</t>
  </si>
  <si>
    <t>Åland Islands,Åland Islands,Homemaker,Adult Entertainment,25393</t>
  </si>
  <si>
    <t>TC14</t>
  </si>
  <si>
    <t>Albania,Albania,Part Time Employee,Agriculture,36884</t>
  </si>
  <si>
    <t>TC15</t>
  </si>
  <si>
    <t>Algeria,Algeria,Retired,Arms Related,21605</t>
  </si>
  <si>
    <t>TC16</t>
  </si>
  <si>
    <t>American Samoa,American Samoa,Self Employed,Aviation Leasing,14443</t>
  </si>
  <si>
    <t>TC17</t>
  </si>
  <si>
    <t>Andorra,Andorra,Student,Bureau de Change,38846</t>
  </si>
  <si>
    <t>TC18</t>
  </si>
  <si>
    <t>4 Eliot Street,Downtown</t>
  </si>
  <si>
    <t>Angola,Angola,Unemployed,Charity - Registered,53939</t>
  </si>
  <si>
    <t>TC19</t>
  </si>
  <si>
    <t>5 Eliot Street,Downtown</t>
  </si>
  <si>
    <t>Anguilla,Anguilla,Full Time Employee,Charity - Registered Overseas,19895</t>
  </si>
  <si>
    <t>TC20</t>
  </si>
  <si>
    <t>Antarctica,Antarctica,Homemaker,Charity - Unregistered,14629</t>
  </si>
  <si>
    <t>7 Eliot Street,Downtown</t>
  </si>
  <si>
    <t>Antigua &amp; Barbuda,Antigua &amp; Barbuda,Part Time Employee,Construction Industry / Builders Providers,30326</t>
  </si>
  <si>
    <t>8 Eliot Street,Downtown</t>
  </si>
  <si>
    <t>Argentina,Argentina,Retired,Cultural and Sporting Organisations,25786</t>
  </si>
  <si>
    <t>SignIn</t>
  </si>
  <si>
    <t>Like</t>
  </si>
  <si>
    <t>Mike</t>
  </si>
  <si>
    <t>Armenia,Armenia,Self Employed,Delivery / Storage Services,48392</t>
  </si>
  <si>
    <t>Aruba,Aruba,Student,Doctor / Dentist,29986</t>
  </si>
  <si>
    <t>Australia,Australia,Unemployed,Education,30824</t>
  </si>
  <si>
    <t>Austria,Austria,Full Time Employee,Embassy / Consular Services,19007</t>
  </si>
  <si>
    <t>Azerbaijan,Azerbaijan,Homemaker,Energy and Water Supply,26972</t>
  </si>
  <si>
    <t>Bahamas,Bahamas,Part Time Employee,Engineering Services,16457</t>
  </si>
  <si>
    <t>Bahrain,Bahrain,Retired,Estate Agents and Auctioneers,14644</t>
  </si>
  <si>
    <t>Bangladesh,Bangladesh,Self Employed,Financial - Banking / Insurance,46991</t>
  </si>
  <si>
    <t>Barbados,Barbados,Student,Financial - Debt Collection / Factoring,50904</t>
  </si>
  <si>
    <t>Belarus,Belarus,Unemployed,Financial - Fund Management,48918</t>
  </si>
  <si>
    <t>Belgium,Belgium,Full Time Employee,Financial - Money Lenders,56662</t>
  </si>
  <si>
    <t>SignInJoint</t>
  </si>
  <si>
    <t>Y,Y</t>
  </si>
  <si>
    <t>TC46</t>
  </si>
  <si>
    <t>TC50</t>
  </si>
  <si>
    <t>N,N</t>
  </si>
  <si>
    <t>Ghana,Ghana,Part Time Employee,Energy and Water Supply,Gibraltar,Gibraltar,Retired,Engineering Services,58163,15346</t>
  </si>
  <si>
    <t>TC55</t>
  </si>
  <si>
    <t>Greece,Greece,Self Employed,Estate Agents and Auctioneers,Greenland,Greenland,Student,Financial - Banking / Insurance,29288,21218</t>
  </si>
  <si>
    <t>TC56</t>
  </si>
  <si>
    <t>Grenada,Grenada,Unemployed,Financial - Debt Collection / Factoring,Guadeloupe,Guadeloupe,Full Time Employee,Financial - Fund Management,57865,24662</t>
  </si>
  <si>
    <t>TC57</t>
  </si>
  <si>
    <t>Guam,Guam,Homemaker,Financial - Money Lenders,Guatemala,Guatemala,Part Time Employee,Financial - Money Services Businesses,14635,23250</t>
  </si>
  <si>
    <t>TC58</t>
  </si>
  <si>
    <t>Guernsey,Guernsey,Retired,Financial - Mortgage and Deposit Intermediaries,Guinea,Guinea,Self Employed,Financial - Pay Day Loans,24725,37498</t>
  </si>
  <si>
    <t>TC59</t>
  </si>
  <si>
    <t>Guinea-Bissau,Guinea-Bissau,Student,Financial - Retail Credit Firms,Guyana,Guyana,Unemployed,Fishing and Forestry ,11737,38495</t>
  </si>
  <si>
    <t>TC60</t>
  </si>
  <si>
    <t>Haiti,Haiti,Full Time Employee,Freight and Haulage ,Heard &amp; McDonald Islands,Heard &amp; McDonald Islands,Homemaker,Fuel Distributors / Retailers,13004,49343</t>
  </si>
  <si>
    <t>TC61</t>
  </si>
  <si>
    <t>Honduras,Honduras,Part Time Employee,Gambling - Casinos &amp; Gaming,Hong Kong SAR China,Hong Kong SAR China,Retired,Gambling - Online Gambling &amp; Betting,31965,37747</t>
  </si>
  <si>
    <t>Hungary,Hungary,Self Employed,Garda and Defence Forces,Iceland,Iceland,Student,Gold Jewellery Recycling,42888,28850</t>
  </si>
  <si>
    <t>Y,N</t>
  </si>
  <si>
    <t>Belize,Belize,Homemaker,Financial - Money Services Businesses,28152</t>
  </si>
  <si>
    <t>TC64</t>
  </si>
  <si>
    <t>Benin,Benin,Part Time Employee,Financial - Mortgage and Deposit Intermediaries,56609</t>
  </si>
  <si>
    <t>Bermuda,Bermuda,Retired,Financial - Pay Day Loans,11936</t>
  </si>
  <si>
    <t>Bhutan,Bhutan,Self Employed,Financial - Retail Credit Firms,30917</t>
  </si>
  <si>
    <t>Bolivia,Bolivia,Student,Fishing and Forestry ,15102</t>
  </si>
  <si>
    <t>Bosnia &amp; Herzegovina,Bosnia &amp; Herzegovina,Unemployed,Freight and Haulage ,45482</t>
  </si>
  <si>
    <t>TC69</t>
  </si>
  <si>
    <t>Botswana,Botswana,Full Time Employee,Fuel Distributors / Retailers,20424</t>
  </si>
  <si>
    <t>Bouvet Island,Bouvet Island,Homemaker,Gambling - Casinos &amp; Gaming,48892</t>
  </si>
  <si>
    <t>Brazil,Brazil,Part Time Employee,Gambling - Online Gambling &amp; Betting,12873</t>
  </si>
  <si>
    <t>N,Y</t>
  </si>
  <si>
    <t>British Indian Ocean Territory,British Indian Ocean Territory,Retired,Garda and Defence Forces,55640</t>
  </si>
  <si>
    <t>TC73</t>
  </si>
  <si>
    <t>British Virgin Islands,British Virgin Islands,Self Employed,Gold Jewellery Recycling,20262</t>
  </si>
  <si>
    <t>TC74</t>
  </si>
  <si>
    <t>Brunei,Brunei,Student,Goods Import / Export Co,50651</t>
  </si>
  <si>
    <t>TC75</t>
  </si>
  <si>
    <t>Bulgaria,Bulgaria,Unemployed,Government (Central and Local),53877</t>
  </si>
  <si>
    <t>Burkina Faso,Burkina Faso,Full Time Employee,Green Energy / Environmental Services,34532</t>
  </si>
  <si>
    <t>TC77</t>
  </si>
  <si>
    <t>Burundi,Burundi,Homemaker,Health Services,26602</t>
  </si>
  <si>
    <t>TC78</t>
  </si>
  <si>
    <t>Cambodia,Cambodia,Part Time Employee,Homemaker,21761</t>
  </si>
  <si>
    <t>TC79</t>
  </si>
  <si>
    <t>Cameroon,Cameroon,Retired,Hotels and Restaurants,36063</t>
  </si>
  <si>
    <t>TC80</t>
  </si>
  <si>
    <t>Canada,Canada,Self Employed,Health Services,54176</t>
  </si>
  <si>
    <t>TC81</t>
  </si>
  <si>
    <t>GuestJoint</t>
  </si>
  <si>
    <t>TC82</t>
  </si>
  <si>
    <t>TC83</t>
  </si>
  <si>
    <t>TC84</t>
  </si>
  <si>
    <t>TC85</t>
  </si>
  <si>
    <t>TC86</t>
  </si>
  <si>
    <t>TC87</t>
  </si>
  <si>
    <t>TC88</t>
  </si>
  <si>
    <t>TC89</t>
  </si>
  <si>
    <t>TC90</t>
  </si>
  <si>
    <t>India,India,Unemployed,Goods Import / Export Co,Indonesia,Indonesia,Full Time Employee,Government (Central and Local),34098,27652</t>
  </si>
  <si>
    <t>TC91</t>
  </si>
  <si>
    <t>Iran,Iran,Homemaker,Green Energy / Environmental Services,Iraq,Iraq,Part Time Employee,Health Services,59073,11876</t>
  </si>
  <si>
    <t>TC92</t>
  </si>
  <si>
    <t>Ireland,Ireland,Retired,Homemaker,Isle of Man,Isle of Man,Self Employed,Hotels and Restaurants,28002,19189</t>
  </si>
  <si>
    <t>TC93</t>
  </si>
  <si>
    <t>Israel,Israel,Student,Health Services,Italy,Italy,Unemployed,Jewellers / Fine Art Auctioneers ,14032,22500</t>
  </si>
  <si>
    <t>TC94</t>
  </si>
  <si>
    <t>Jamaica,Jamaica,Full Time Employee,Pharmaceuticals,Japan,Japan,Homemaker,Manufacturing / Fabrication,17009,50633</t>
  </si>
  <si>
    <t>TC95</t>
  </si>
  <si>
    <t>Jersey,Jersey,Part Time Employee,Marketing,Jordan,Jordan,Retired,Pubs and Off-Licences,52028,50770</t>
  </si>
  <si>
    <t>TC96</t>
  </si>
  <si>
    <t>Kazakhstan,Kazakhstan,Self Employed,Mining, Quarrying, Oil and Logging,Kenya,Kenya,Student,Motor Vehicle Distribution, Sales and Repairs ,44165,47439</t>
  </si>
  <si>
    <t>TC97</t>
  </si>
  <si>
    <t>Kiribati,Kiribati,Unemployed,Non-for-Profit Organisations,Kosovo,Kosovo,Full Time Employee,Other High Risk Industry,37484,34237</t>
  </si>
  <si>
    <t>TC98</t>
  </si>
  <si>
    <t>Kuwait,Kuwait,Homemaker,Pawn Broker,Kyrgyzstan,Kyrgyzstan,Part Time Employee,Pharmaceuticals ,34288,59877</t>
  </si>
  <si>
    <t>TC99</t>
  </si>
  <si>
    <t>Cape Verde,Cape Verde,Student,Jewellers / Fine Art Auctioneers ,37748</t>
  </si>
  <si>
    <t>TC100</t>
  </si>
  <si>
    <t>Caribbean Netherlands,Caribbean Netherlands,Unemployed,Pharmaceuticals,39250</t>
  </si>
  <si>
    <t>TC101</t>
  </si>
  <si>
    <t>Cayman Islands,Cayman Islands,Full Time Employee,Manufacturing / Fabrication,10347</t>
  </si>
  <si>
    <t>TC102</t>
  </si>
  <si>
    <t>Central African Republic,Central African Republic,Homemaker,Marketing,30246</t>
  </si>
  <si>
    <t>TC103</t>
  </si>
  <si>
    <t>Chad,Chad,Part Time Employee,Pubs and Off-Licences,41940</t>
  </si>
  <si>
    <t>TC104</t>
  </si>
  <si>
    <t>Chile,Chile,Retired,Mining, Quarrying, Oil and Logging,53935</t>
  </si>
  <si>
    <t>China,China,Self Employed,Motor Vehicle Distribution, Sales and Repairs ,37259</t>
  </si>
  <si>
    <t>TC106</t>
  </si>
  <si>
    <t>Christmas Island,Christmas Island,Student,Non-for-Profit Organisations,22377</t>
  </si>
  <si>
    <t>TC107</t>
  </si>
  <si>
    <t>Cocos (Keeling) Islands,Cocos (Keeling) Islands,Unemployed,Other High Risk Industry,33849</t>
  </si>
  <si>
    <t>TC108</t>
  </si>
  <si>
    <t>Colombia,Colombia,Full Time Employee,Pawn Broker,29666</t>
  </si>
  <si>
    <t>TC109</t>
  </si>
  <si>
    <t>Comoros,Comoros,Homemaker,Pharmaceuticals ,13790</t>
  </si>
  <si>
    <t>TC110</t>
  </si>
  <si>
    <t>Congo - Brazzaville,Congo - Brazzaville,Part Time Employee,Printing and Signage,37599</t>
  </si>
  <si>
    <t>TC111</t>
  </si>
  <si>
    <t>Congo - Kinshasa,Congo - Kinshasa,Retired,Professional / Member Associations ,23098</t>
  </si>
  <si>
    <t>TC112</t>
  </si>
  <si>
    <t>Cook Islands,Cook Islands,Self Employed,Professional / Member Associations, 16423</t>
  </si>
  <si>
    <t>TC113</t>
  </si>
  <si>
    <t>Costa Rica,Costa Rica,Student,Public Relations,45112</t>
  </si>
  <si>
    <t>TC114</t>
  </si>
  <si>
    <t>Côte d’Ivoire,Côte d’Ivoire,Unemployed,Pubs and Off-Licences,33232</t>
  </si>
  <si>
    <t>Croatia,Croatia,Full Time Employee,Real Estate Mgt. Company,29964</t>
  </si>
  <si>
    <t>Cuba,Cuba,Homemaker,Recruitment and HR Consultancy,22199</t>
  </si>
  <si>
    <t>TC121</t>
  </si>
  <si>
    <t>TC125</t>
  </si>
  <si>
    <t>Ethiopia,Ethiopia,Part Time Employee,Adult Entertainment,22086</t>
  </si>
  <si>
    <t>Cyprus,Cyprus,Retired,Retired,16452</t>
  </si>
  <si>
    <t>TC130</t>
  </si>
  <si>
    <t>Czechia,Czechia,Self Employed,Second Hand Dealer,29814</t>
  </si>
  <si>
    <t>TC131</t>
  </si>
  <si>
    <t>Denmark,Denmark,Student,Security Services,37569</t>
  </si>
  <si>
    <t>TC132</t>
  </si>
  <si>
    <t>Djibouti,Djibouti,Unemployed,Semi-State Organisation,49699</t>
  </si>
  <si>
    <t>TC133</t>
  </si>
  <si>
    <t>Dominica,Dominica,Full Time Employee,Sports and Leisure,21728</t>
  </si>
  <si>
    <t>TC134</t>
  </si>
  <si>
    <t>Dominican Republic,Dominican Republic,Homemaker,Student ,32215</t>
  </si>
  <si>
    <t>TC135</t>
  </si>
  <si>
    <t>Ecuador,Ecuador,Part Time Employee,Taxi / Hackney / Private Cars,45518</t>
  </si>
  <si>
    <t>TC136</t>
  </si>
  <si>
    <t>Egypt,Egypt,Retired,Transportation and Storage Services,59321</t>
  </si>
  <si>
    <t>TC137</t>
  </si>
  <si>
    <t>El Salvador,El Salvador,Self Employed,Trust and Company Service Providers,33355</t>
  </si>
  <si>
    <t>TC138</t>
  </si>
  <si>
    <t>Equatorial Guinea,Equatorial Guinea,Student,Unemployed,40353</t>
  </si>
  <si>
    <t>TC139</t>
  </si>
  <si>
    <t>TC140</t>
  </si>
  <si>
    <t>TC141</t>
  </si>
  <si>
    <t>TC142</t>
  </si>
  <si>
    <t>TC143</t>
  </si>
  <si>
    <t>TC144</t>
  </si>
  <si>
    <t>TC145</t>
  </si>
  <si>
    <t>TC146</t>
  </si>
  <si>
    <t>TC147</t>
  </si>
  <si>
    <t>TC148</t>
  </si>
  <si>
    <t>Laos,Laos,Retired,Printing and Signage,Latvia,Latvia,Self Employed,Professional / Member Associations ,16924,16695</t>
  </si>
  <si>
    <t>TC149</t>
  </si>
  <si>
    <t>Lebanon,Lebanon,Student,Professional, Scientific and Technical Activities,Lesotho,Lesotho,Unemployed,Public Relations,20504,47054</t>
  </si>
  <si>
    <t>TC150</t>
  </si>
  <si>
    <t>Liberia,Liberia,Full Time Employee,Pubs and Off-Licences,Libya,Libya,Homemaker,Real Estate Mgt. Company,39233,27426</t>
  </si>
  <si>
    <t>TC151</t>
  </si>
  <si>
    <t>Liechtenstein,Liechtenstein,Part Time Employee,Recruitment and HR Consultancy,Lithuania,Lithuania,Retired,Retail,18505,41894</t>
  </si>
  <si>
    <t>TC152</t>
  </si>
  <si>
    <t>Luxembourg,Luxembourg,Self Employed,Retired,Macao SAR China,Macao SAR China,Student,Second Hand Dealer,26660,53852</t>
  </si>
  <si>
    <t>TC153</t>
  </si>
  <si>
    <t>Madagascar,Madagascar,Unemployed,Security Services,Malawi,Malawi,Full Time Employee,Semi-State Organisation,38859,15587</t>
  </si>
  <si>
    <t>TC154</t>
  </si>
  <si>
    <t>Malaysia,Malaysia,Homemaker,Sports and Leisure,Maldives,Maldives,Part Time Employee,Student ,19972,57437</t>
  </si>
  <si>
    <t>TC155</t>
  </si>
  <si>
    <t>Mali,Mali,Retired,Taxi / Hackney / Private Cars,Malta,Malta,Self Employed,Transportation and Storage Services,44128,33913</t>
  </si>
  <si>
    <t>TC156</t>
  </si>
  <si>
    <t>Marshall Islands,Marshall Islands,Student,Trust and Company Service Providers,Martinique,Martinique,Unemployed,Unemployed,22172,12355</t>
  </si>
  <si>
    <t>TC157</t>
  </si>
  <si>
    <t>Eritrea,Eritrea,Unemployed,Pubs and Off-Licences,29038</t>
  </si>
  <si>
    <t>TC158</t>
  </si>
  <si>
    <t>Estonia,Estonia,Full Time Employee,Wholesalers,10781</t>
  </si>
  <si>
    <t>TC159</t>
  </si>
  <si>
    <t>Eswatini,Eswatini,Homemaker,Accountant / Solicitor,23313</t>
  </si>
  <si>
    <t>TC160</t>
  </si>
  <si>
    <t>Ethiopia,Ethiopia,Part Time Employee,Adult Entertainment,28208</t>
  </si>
  <si>
    <t>TC161</t>
  </si>
  <si>
    <t>Nauru,Nauru,Full Time Employee,Doctor / Dentist,25093</t>
  </si>
  <si>
    <t>TC162</t>
  </si>
  <si>
    <t>Falkland Islands,Falkland Islands,Self Employed,Arms Related,33054</t>
  </si>
  <si>
    <t>TC163</t>
  </si>
  <si>
    <t>Faroe Islands,Faroe Islands,Student,Aviation Leasing,34374</t>
  </si>
  <si>
    <t>TC164</t>
  </si>
  <si>
    <t>Fiji,Fiji,Unemployed,Bureau de Change,19930</t>
  </si>
  <si>
    <t>TC165</t>
  </si>
  <si>
    <t>Finland,Finland,Full Time Employee,Charity - Registered,26637</t>
  </si>
  <si>
    <t>TC166</t>
  </si>
  <si>
    <t>France,France,Homemaker,Charity - Registered Overseas,26803</t>
  </si>
  <si>
    <t>TC167</t>
  </si>
  <si>
    <t>French Guiana,French Guiana,Part Time Employee,Charity - Unregistered,10467</t>
  </si>
  <si>
    <t>TC168</t>
  </si>
  <si>
    <t>French Guiana,French Guiana,Part Time Employee,Charity - Unregistered,42169</t>
  </si>
  <si>
    <t>TC169</t>
  </si>
  <si>
    <t>French Polynesia,French Polynesia,Retired,Construction Industry / Builders Providers,30188</t>
  </si>
  <si>
    <t>TC170</t>
  </si>
  <si>
    <t>French Southern Territories,French Southern Territories,Self Employed,Cultural and Sporting Organisations,13445</t>
  </si>
  <si>
    <t>TC171</t>
  </si>
  <si>
    <t>Gabon,Gabon,Student,Delivery / Storage Services,15630</t>
  </si>
  <si>
    <t>TC172</t>
  </si>
  <si>
    <t>Gambia,Gambia,Unemployed,Doctor / Dentist,24254</t>
  </si>
  <si>
    <t>TC173</t>
  </si>
  <si>
    <t>Georgia,Georgia,Full Time Employee,Education,46851</t>
  </si>
  <si>
    <t>TC174</t>
  </si>
  <si>
    <t>Germany,Germany,Homemaker,Embassy / Consular Services,52939</t>
  </si>
  <si>
    <t>TC175</t>
  </si>
  <si>
    <t>Prize Bonds as a Gift,Savings Certificates</t>
  </si>
  <si>
    <t>8,20000</t>
  </si>
  <si>
    <t>ZOLLIE</t>
  </si>
  <si>
    <t>TC176</t>
  </si>
  <si>
    <t>Prize Bonds as a Gift,Savings Bonds</t>
  </si>
  <si>
    <t>TC177</t>
  </si>
  <si>
    <t>Prize Bonds as a Gift,Prize Bonds</t>
  </si>
  <si>
    <t>7,20001</t>
  </si>
  <si>
    <t>TC178</t>
  </si>
  <si>
    <t>8,2500</t>
  </si>
  <si>
    <t>GAMALIEL</t>
  </si>
  <si>
    <t>TC179</t>
  </si>
  <si>
    <t>Estonia,Estonia,Full Time Employee,Wholesalers,29070</t>
  </si>
  <si>
    <t>TC180</t>
  </si>
  <si>
    <t>TC181</t>
  </si>
  <si>
    <t>TC182</t>
  </si>
  <si>
    <t>8,2000</t>
  </si>
  <si>
    <t>TC183</t>
  </si>
  <si>
    <t>TC184</t>
  </si>
  <si>
    <t>TC185</t>
  </si>
  <si>
    <t>TC186</t>
  </si>
  <si>
    <t>TC187</t>
  </si>
  <si>
    <t>TC188</t>
  </si>
  <si>
    <t>TC189</t>
  </si>
  <si>
    <t>TC190</t>
  </si>
  <si>
    <t>TC191</t>
  </si>
  <si>
    <t>TC192</t>
  </si>
  <si>
    <t>TC193</t>
  </si>
  <si>
    <t>TC194</t>
  </si>
  <si>
    <t>63 downtown,loyola street</t>
  </si>
  <si>
    <t>TC195</t>
  </si>
  <si>
    <t>64 downtown,loyola street</t>
  </si>
  <si>
    <t>TC196</t>
  </si>
  <si>
    <t>65 downtown,loyola street</t>
  </si>
  <si>
    <t>TC197</t>
  </si>
  <si>
    <t>66 downtown,loyola street</t>
  </si>
  <si>
    <t>Bangladesh,Bangladesh,Self Employed,Financial - Banking / Insurance,46992</t>
  </si>
  <si>
    <t>TC198</t>
  </si>
  <si>
    <t>67 downtown,loyola street</t>
  </si>
  <si>
    <t>TC199</t>
  </si>
  <si>
    <t>68 downtown,loyola street</t>
  </si>
  <si>
    <t>TC200</t>
  </si>
  <si>
    <t>69 downtown,loyola street</t>
  </si>
  <si>
    <t>TC201</t>
  </si>
  <si>
    <t>70 downtown,loyola street</t>
  </si>
  <si>
    <t>TC202</t>
  </si>
  <si>
    <t>71 downtown,loyola street</t>
  </si>
  <si>
    <t>TC203</t>
  </si>
  <si>
    <t>72 downtown,loyola street</t>
  </si>
  <si>
    <t>TC204</t>
  </si>
  <si>
    <t>73 downtown,loyola street</t>
  </si>
  <si>
    <t>TC205</t>
  </si>
  <si>
    <t>74 downtown,loyola street</t>
  </si>
  <si>
    <t>TC206</t>
  </si>
  <si>
    <t>75 downtown,loyola street</t>
  </si>
  <si>
    <t>TC207</t>
  </si>
  <si>
    <t>76 downtown,loyola street</t>
  </si>
  <si>
    <t>TC208</t>
  </si>
  <si>
    <t>77 downtown,loyola street</t>
  </si>
  <si>
    <t>TC209</t>
  </si>
  <si>
    <t>78 downtown,loyola street</t>
  </si>
  <si>
    <t>TC210</t>
  </si>
  <si>
    <t>79 downtown,loyola street</t>
  </si>
  <si>
    <t>TC92RemoveDefaultAmount</t>
  </si>
  <si>
    <t>TC102_SameApplicants</t>
  </si>
  <si>
    <t>WALBURN</t>
  </si>
  <si>
    <t>27-03-1968</t>
  </si>
  <si>
    <t>242597050</t>
  </si>
  <si>
    <t>TC103_SecApplicantMinorDOB</t>
  </si>
  <si>
    <t>DEGLANVILLE</t>
  </si>
  <si>
    <t>27-03-2015</t>
  </si>
  <si>
    <t>TC104_SecApplicantInvalidDOB</t>
  </si>
  <si>
    <t>27-00-1988</t>
  </si>
  <si>
    <t>TC105_SecApplicantInvalidSSCN</t>
  </si>
  <si>
    <t>27-02-1988</t>
  </si>
  <si>
    <t>2425960374</t>
  </si>
  <si>
    <t>TC106_SecApplicantInvalidEmail</t>
  </si>
  <si>
    <t>RebrandAutomationUser</t>
  </si>
  <si>
    <t>TC77_PBGiftInvalidDOB</t>
  </si>
  <si>
    <t>27-00-1999</t>
  </si>
  <si>
    <t>TC93MinMax</t>
  </si>
  <si>
    <t>49</t>
  </si>
  <si>
    <t>TC107Remove</t>
  </si>
  <si>
    <t>14-02-1975</t>
  </si>
  <si>
    <t>TC98_SignInPBGiftInvalidDOB</t>
  </si>
  <si>
    <t>37-04-1999</t>
  </si>
  <si>
    <t>TC100_SignJoint</t>
  </si>
  <si>
    <t>00-03-1988</t>
  </si>
  <si>
    <t>03-00-1998</t>
  </si>
  <si>
    <t>TC223PPSN</t>
  </si>
  <si>
    <t>03-08-1952</t>
  </si>
  <si>
    <t>1105015PA</t>
  </si>
  <si>
    <t>NewTC_11</t>
  </si>
  <si>
    <t>Dashboard</t>
  </si>
  <si>
    <t>DD//MM/YYYY</t>
  </si>
  <si>
    <t>SanityLogin</t>
  </si>
  <si>
    <t>2108.24</t>
  </si>
  <si>
    <t>Dummy!2029</t>
  </si>
  <si>
    <t>4013522497</t>
  </si>
  <si>
    <t>413.47</t>
  </si>
  <si>
    <t>4020041237</t>
  </si>
  <si>
    <t>Workflow</t>
  </si>
  <si>
    <t>Perf-Test-User-112803@mailinator.com</t>
  </si>
  <si>
    <t>020-8030000</t>
  </si>
  <si>
    <t>Name</t>
  </si>
  <si>
    <t>HON AURELIE BURGOYNE (SECONDARY)</t>
  </si>
  <si>
    <t>3500013406</t>
  </si>
  <si>
    <t>HON FIRSTNAMEMIS GULVE (PRIMARY)</t>
  </si>
  <si>
    <t>RebrandAutomationUser13@mailinator.com</t>
  </si>
  <si>
    <t>020-8900078</t>
  </si>
  <si>
    <t>4202596099</t>
  </si>
  <si>
    <t>OldWebRegPP-PS1@mailinator.com</t>
  </si>
  <si>
    <t>020-8010341</t>
  </si>
  <si>
    <t>93.75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</si>
</sst>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3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font>
    <font>
      <b/>
      <sz val="14"/>
      <color rgb="FF0C0C0C"/>
      <name val="Calibri"/>
      <family val="2"/>
    </font>
    <font>
      <b/>
      <sz val="14"/>
      <color theme="1"/>
      <name val="Times New Roman"/>
      <family val="1"/>
    </font>
    <font>
      <b/>
      <i/>
      <sz val="14"/>
      <color rgb="FF629755"/>
      <name val="Times New Roman"/>
      <family val="1"/>
    </font>
    <font>
      <b/>
      <sz val="14"/>
      <color rgb="FF297BDE"/>
      <name val="Times New Roman"/>
      <family val="1"/>
    </font>
    <font>
      <b/>
      <sz val="14"/>
      <color theme="1"/>
      <name val="Calibri"/>
      <family val="2"/>
    </font>
    <font>
      <b/>
      <i/>
      <sz val="14"/>
      <color rgb="FF629755"/>
      <name val="Consolas"/>
      <family val="3"/>
    </font>
    <font>
      <b/>
      <sz val="14"/>
      <color rgb="FF297BDE"/>
      <name val="Consolas"/>
      <family val="3"/>
    </font>
    <font>
      <sz val="11"/>
      <color theme="1"/>
      <name val="Quattrocento Sans"/>
      <family val="2"/>
    </font>
    <font>
      <u/>
      <sz val="11"/>
      <color theme="1"/>
      <name val="Quattrocento Sans"/>
      <family val="2"/>
    </font>
    <font>
      <sz val="11"/>
      <color rgb="FF000000"/>
      <name val="Calibri"/>
      <family val="2"/>
    </font>
    <font>
      <sz val="11"/>
      <color rgb="FF0070C0"/>
      <name val="Calibri"/>
      <family val="2"/>
    </font>
    <font>
      <u/>
      <sz val="11"/>
      <color theme="10"/>
      <name val="Calibri"/>
      <family val="2"/>
      <scheme val="minor"/>
    </font>
    <font>
      <sz val="8"/>
      <name val="Calibri"/>
      <family val="2"/>
      <scheme val="minor"/>
    </font>
    <font>
      <b/>
      <sz val="14"/>
      <color rgb="FFFF0000"/>
      <name val="Calibri"/>
      <family val="2"/>
    </font>
    <font>
      <sz val="8"/>
      <name val="Calibri"/>
      <family val="2"/>
      <scheme val="minor"/>
    </font>
    <font>
      <sz val="11"/>
      <color theme="1"/>
      <name val="Calibri"/>
      <family val="2"/>
      <scheme val="minor"/>
    </font>
    <font>
      <sz val="11"/>
      <color theme="1"/>
      <name val="Calibri"/>
      <scheme val="minor"/>
    </font>
    <font>
      <b/>
      <sz val="11"/>
      <color rgb="FFFFFF00"/>
      <name val="Tisa Offc Serif Pro"/>
    </font>
    <font>
      <sz val="11"/>
      <color theme="1"/>
      <name val="Verdana"/>
      <family val="2"/>
    </font>
  </fonts>
  <fills count="14">
    <fill>
      <patternFill patternType="none"/>
    </fill>
    <fill>
      <patternFill patternType="gray125"/>
    </fill>
    <fill>
      <patternFill patternType="solid">
        <fgColor rgb="FFF4B083"/>
        <bgColor rgb="FFF4B083"/>
      </patternFill>
    </fill>
    <fill>
      <patternFill patternType="solid">
        <fgColor rgb="FFDEEAF6"/>
        <bgColor rgb="FFDEEAF6"/>
      </patternFill>
    </fill>
    <fill>
      <patternFill patternType="solid">
        <fgColor theme="4" tint="0.79998168889431442"/>
        <bgColor indexed="64"/>
      </patternFill>
    </fill>
    <fill>
      <patternFill patternType="solid">
        <fgColor rgb="FFD9E2F3"/>
        <bgColor rgb="FFD9E2F3"/>
      </patternFill>
    </fill>
    <fill>
      <patternFill patternType="solid">
        <fgColor theme="0"/>
        <bgColor indexed="64"/>
      </patternFill>
    </fill>
    <fill>
      <patternFill patternType="solid">
        <fgColor theme="0"/>
        <bgColor rgb="FFDEEAF6"/>
      </patternFill>
    </fill>
    <fill>
      <patternFill patternType="solid">
        <fgColor rgb="FFFFC000"/>
        <bgColor indexed="64"/>
      </patternFill>
    </fill>
    <fill>
      <patternFill patternType="solid">
        <fgColor rgb="FFFF0000"/>
        <bgColor indexed="64"/>
      </patternFill>
    </fill>
    <fill>
      <patternFill patternType="solid">
        <fgColor theme="5"/>
        <bgColor indexed="64"/>
      </patternFill>
    </fill>
    <fill>
      <patternFill patternType="solid">
        <fgColor theme="8" tint="0.59999389629810485"/>
        <bgColor indexed="64"/>
      </patternFill>
    </fill>
    <fill>
      <patternFill patternType="solid">
        <fgColor rgb="FF7030A0"/>
        <bgColor indexed="64"/>
      </patternFill>
    </fill>
    <fill>
      <patternFill patternType="solid">
        <fgColor theme="5"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0" fontId="24" fillId="0" borderId="0" applyNumberFormat="0" applyFill="0" applyBorder="0" applyAlignment="0" applyProtection="0"/>
    <xf numFmtId="0" fontId="10" fillId="0" borderId="2"/>
    <xf numFmtId="0" fontId="24" fillId="0" borderId="2" applyNumberFormat="0" applyFill="0" applyBorder="0" applyAlignment="0" applyProtection="0"/>
    <xf numFmtId="0" fontId="28" fillId="0" borderId="2"/>
    <xf numFmtId="0" fontId="29" fillId="0" borderId="2"/>
    <xf numFmtId="0" fontId="3" fillId="0" borderId="2"/>
    <xf numFmtId="0" fontId="3" fillId="0" borderId="2"/>
    <xf numFmtId="0" fontId="1" fillId="0" borderId="2"/>
    <xf numFmtId="0" fontId="1" fillId="0" borderId="2"/>
  </cellStyleXfs>
  <cellXfs count="139">
    <xf numFmtId="0" fontId="0" fillId="0" borderId="0" xfId="0"/>
    <xf numFmtId="0" fontId="11" fillId="0" borderId="1" xfId="0" applyFont="1" applyBorder="1" applyAlignment="1">
      <alignment horizontal="left" vertical="top" wrapText="1"/>
    </xf>
    <xf numFmtId="0" fontId="14" fillId="3" borderId="1" xfId="0" applyFont="1" applyFill="1" applyBorder="1" applyAlignment="1">
      <alignment horizontal="left" vertical="top" wrapText="1"/>
    </xf>
    <xf numFmtId="0" fontId="18" fillId="3" borderId="1" xfId="0" applyFont="1" applyFill="1" applyBorder="1" applyAlignment="1">
      <alignment horizontal="left" vertical="top" wrapText="1"/>
    </xf>
    <xf numFmtId="0" fontId="17" fillId="3" borderId="1" xfId="0" applyFont="1" applyFill="1" applyBorder="1" applyAlignment="1">
      <alignment horizontal="left" vertical="top" wrapText="1"/>
    </xf>
    <xf numFmtId="0" fontId="16" fillId="3" borderId="1" xfId="0" applyFont="1" applyFill="1" applyBorder="1" applyAlignment="1">
      <alignment horizontal="left" vertical="top" wrapText="1"/>
    </xf>
    <xf numFmtId="0" fontId="15" fillId="3" borderId="1" xfId="0" applyFont="1" applyFill="1" applyBorder="1" applyAlignment="1">
      <alignment horizontal="left" vertical="top" wrapText="1"/>
    </xf>
    <xf numFmtId="0" fontId="0" fillId="0" borderId="0" xfId="0" applyAlignment="1">
      <alignment horizontal="left" vertical="top"/>
    </xf>
    <xf numFmtId="0" fontId="13" fillId="2" borderId="1" xfId="0" applyFont="1" applyFill="1" applyBorder="1" applyAlignment="1">
      <alignment horizontal="left" vertical="top" wrapText="1"/>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8" fillId="3" borderId="1" xfId="0" quotePrefix="1" applyFont="1" applyFill="1" applyBorder="1" applyAlignment="1">
      <alignment horizontal="left" vertical="top" wrapText="1"/>
    </xf>
    <xf numFmtId="0" fontId="18" fillId="0" borderId="1" xfId="0" quotePrefix="1" applyFont="1" applyBorder="1" applyAlignment="1">
      <alignment horizontal="left" vertical="top" wrapText="1"/>
    </xf>
    <xf numFmtId="0" fontId="17" fillId="0" borderId="1" xfId="0" quotePrefix="1" applyFont="1" applyBorder="1" applyAlignment="1">
      <alignment horizontal="left" vertical="top" wrapText="1"/>
    </xf>
    <xf numFmtId="0" fontId="16" fillId="0" borderId="1" xfId="0" applyFont="1" applyBorder="1" applyAlignment="1">
      <alignment horizontal="left" vertical="top" wrapText="1"/>
    </xf>
    <xf numFmtId="0" fontId="11" fillId="0" borderId="1" xfId="0" applyFont="1" applyBorder="1" applyAlignment="1">
      <alignment horizontal="left" vertical="top"/>
    </xf>
    <xf numFmtId="0" fontId="19" fillId="3" borderId="1" xfId="0" applyFont="1" applyFill="1" applyBorder="1" applyAlignment="1">
      <alignment horizontal="left" vertical="top" wrapText="1"/>
    </xf>
    <xf numFmtId="0" fontId="17" fillId="3" borderId="1" xfId="0" quotePrefix="1" applyFont="1" applyFill="1" applyBorder="1" applyAlignment="1">
      <alignment horizontal="left" vertical="top" wrapText="1"/>
    </xf>
    <xf numFmtId="0" fontId="19" fillId="0" borderId="1" xfId="0" quotePrefix="1" applyFont="1" applyBorder="1" applyAlignment="1">
      <alignment horizontal="left" vertical="top" wrapText="1"/>
    </xf>
    <xf numFmtId="3" fontId="17" fillId="0" borderId="1" xfId="0" quotePrefix="1" applyNumberFormat="1" applyFont="1" applyBorder="1" applyAlignment="1">
      <alignment horizontal="left" vertical="top" wrapText="1"/>
    </xf>
    <xf numFmtId="0" fontId="19" fillId="3" borderId="1" xfId="0" quotePrefix="1" applyFont="1" applyFill="1" applyBorder="1" applyAlignment="1">
      <alignment horizontal="left" vertical="top" wrapText="1"/>
    </xf>
    <xf numFmtId="0" fontId="23" fillId="0" borderId="1" xfId="0" applyFont="1" applyBorder="1" applyAlignment="1">
      <alignment horizontal="left" vertical="top"/>
    </xf>
    <xf numFmtId="0" fontId="24" fillId="4" borderId="1" xfId="1" applyFill="1" applyBorder="1" applyAlignment="1">
      <alignment horizontal="left" vertical="top"/>
    </xf>
    <xf numFmtId="0" fontId="0" fillId="0" borderId="2" xfId="0" applyBorder="1"/>
    <xf numFmtId="0" fontId="24" fillId="0" borderId="2" xfId="1" applyBorder="1"/>
    <xf numFmtId="0" fontId="17" fillId="0" borderId="6" xfId="0" applyFont="1" applyBorder="1" applyAlignment="1">
      <alignment horizontal="left" vertical="top" wrapText="1"/>
    </xf>
    <xf numFmtId="0" fontId="24" fillId="0" borderId="8" xfId="1" applyBorder="1"/>
    <xf numFmtId="0" fontId="23" fillId="0" borderId="7" xfId="0" applyFont="1" applyBorder="1" applyAlignment="1">
      <alignment horizontal="left" vertical="top"/>
    </xf>
    <xf numFmtId="0" fontId="0" fillId="0" borderId="8" xfId="0" applyBorder="1"/>
    <xf numFmtId="49" fontId="24" fillId="0" borderId="1" xfId="1" applyNumberFormat="1" applyBorder="1" applyAlignment="1">
      <alignment horizontal="left" vertical="top"/>
    </xf>
    <xf numFmtId="0" fontId="17" fillId="6" borderId="1" xfId="0" applyFont="1" applyFill="1" applyBorder="1" applyAlignment="1">
      <alignment horizontal="left" vertical="top" wrapText="1"/>
    </xf>
    <xf numFmtId="0" fontId="17" fillId="7" borderId="1" xfId="0" applyFont="1" applyFill="1" applyBorder="1" applyAlignment="1">
      <alignment horizontal="left" vertical="top" wrapText="1"/>
    </xf>
    <xf numFmtId="0" fontId="24" fillId="0" borderId="1" xfId="1" applyBorder="1" applyAlignment="1">
      <alignment horizontal="left" vertical="top"/>
    </xf>
    <xf numFmtId="0" fontId="24" fillId="3" borderId="5" xfId="1" applyFill="1" applyBorder="1" applyAlignment="1">
      <alignment horizontal="left" vertical="top"/>
    </xf>
    <xf numFmtId="0" fontId="17" fillId="4" borderId="1" xfId="0" applyFont="1" applyFill="1" applyBorder="1" applyAlignment="1">
      <alignment horizontal="left" vertical="top" wrapText="1"/>
    </xf>
    <xf numFmtId="0" fontId="24" fillId="5" borderId="9" xfId="1" applyFill="1" applyBorder="1"/>
    <xf numFmtId="0" fontId="24" fillId="0" borderId="11" xfId="1" applyBorder="1"/>
    <xf numFmtId="0" fontId="13" fillId="2" borderId="1" xfId="0" applyFont="1" applyFill="1" applyBorder="1" applyAlignment="1">
      <alignment horizontal="left" vertical="top"/>
    </xf>
    <xf numFmtId="0" fontId="14" fillId="3" borderId="1" xfId="0" applyFont="1" applyFill="1" applyBorder="1" applyAlignment="1">
      <alignment horizontal="left" vertical="top"/>
    </xf>
    <xf numFmtId="0" fontId="24" fillId="0" borderId="9" xfId="1" applyBorder="1" applyAlignment="1"/>
    <xf numFmtId="0" fontId="18" fillId="3" borderId="1" xfId="0" applyFont="1" applyFill="1" applyBorder="1" applyAlignment="1">
      <alignment horizontal="left" vertical="top"/>
    </xf>
    <xf numFmtId="0" fontId="17" fillId="3" borderId="1" xfId="0" applyFont="1" applyFill="1" applyBorder="1" applyAlignment="1">
      <alignment horizontal="left" vertical="top"/>
    </xf>
    <xf numFmtId="0" fontId="15" fillId="3" borderId="1" xfId="0" applyFont="1" applyFill="1" applyBorder="1" applyAlignment="1">
      <alignment horizontal="left" vertical="top"/>
    </xf>
    <xf numFmtId="0" fontId="16" fillId="3" borderId="1" xfId="0" applyFont="1" applyFill="1" applyBorder="1" applyAlignment="1">
      <alignment horizontal="left" vertical="top"/>
    </xf>
    <xf numFmtId="0" fontId="17" fillId="0" borderId="1" xfId="0" applyFont="1" applyBorder="1" applyAlignment="1">
      <alignment horizontal="left" vertical="top"/>
    </xf>
    <xf numFmtId="0" fontId="18" fillId="3" borderId="1" xfId="0" quotePrefix="1" applyFont="1" applyFill="1" applyBorder="1" applyAlignment="1">
      <alignment horizontal="left" vertical="top"/>
    </xf>
    <xf numFmtId="0" fontId="18" fillId="0" borderId="1" xfId="0" applyFont="1" applyBorder="1" applyAlignment="1">
      <alignment horizontal="left" vertical="top"/>
    </xf>
    <xf numFmtId="0" fontId="19" fillId="0" borderId="1" xfId="0" applyFont="1" applyBorder="1" applyAlignment="1">
      <alignment horizontal="left" vertical="top"/>
    </xf>
    <xf numFmtId="0" fontId="18" fillId="0" borderId="1" xfId="0" quotePrefix="1" applyFont="1" applyBorder="1" applyAlignment="1">
      <alignment horizontal="left" vertical="top"/>
    </xf>
    <xf numFmtId="0" fontId="17" fillId="0" borderId="1" xfId="0" quotePrefix="1" applyFont="1" applyBorder="1" applyAlignment="1">
      <alignment horizontal="left" vertical="top"/>
    </xf>
    <xf numFmtId="0" fontId="16" fillId="0" borderId="1" xfId="0" applyFont="1" applyBorder="1" applyAlignment="1">
      <alignment horizontal="left" vertical="top"/>
    </xf>
    <xf numFmtId="0" fontId="17" fillId="4" borderId="1" xfId="0" applyFont="1" applyFill="1" applyBorder="1" applyAlignment="1">
      <alignment horizontal="left" vertical="top"/>
    </xf>
    <xf numFmtId="0" fontId="19" fillId="3" borderId="1" xfId="0" applyFont="1" applyFill="1" applyBorder="1" applyAlignment="1">
      <alignment horizontal="left" vertical="top"/>
    </xf>
    <xf numFmtId="0" fontId="24" fillId="0" borderId="11" xfId="1" applyBorder="1" applyAlignment="1"/>
    <xf numFmtId="0" fontId="24" fillId="0" borderId="10" xfId="1" applyBorder="1" applyAlignment="1"/>
    <xf numFmtId="0" fontId="17" fillId="9" borderId="1" xfId="0" applyFont="1" applyFill="1" applyBorder="1" applyAlignment="1">
      <alignment horizontal="left" vertical="top"/>
    </xf>
    <xf numFmtId="0" fontId="17" fillId="7" borderId="1" xfId="0" applyFont="1" applyFill="1" applyBorder="1" applyAlignment="1">
      <alignment horizontal="left" vertical="top"/>
    </xf>
    <xf numFmtId="0" fontId="17" fillId="3" borderId="1" xfId="0" quotePrefix="1" applyFont="1" applyFill="1" applyBorder="1" applyAlignment="1">
      <alignment horizontal="left" vertical="top"/>
    </xf>
    <xf numFmtId="0" fontId="19" fillId="0" borderId="1" xfId="0" quotePrefix="1" applyFont="1" applyBorder="1" applyAlignment="1">
      <alignment horizontal="left" vertical="top"/>
    </xf>
    <xf numFmtId="3" fontId="17" fillId="0" borderId="1" xfId="0" quotePrefix="1" applyNumberFormat="1" applyFont="1" applyBorder="1" applyAlignment="1">
      <alignment horizontal="left" vertical="top"/>
    </xf>
    <xf numFmtId="0" fontId="17" fillId="8" borderId="6" xfId="0" applyFont="1" applyFill="1" applyBorder="1" applyAlignment="1">
      <alignment horizontal="left" vertical="top"/>
    </xf>
    <xf numFmtId="0" fontId="24" fillId="0" borderId="8" xfId="1" applyBorder="1" applyAlignment="1"/>
    <xf numFmtId="0" fontId="18" fillId="3" borderId="3" xfId="0" applyFont="1" applyFill="1" applyBorder="1" applyAlignment="1">
      <alignment horizontal="left" vertical="top"/>
    </xf>
    <xf numFmtId="0" fontId="24" fillId="0" borderId="8" xfId="1" applyFill="1" applyBorder="1" applyAlignment="1"/>
    <xf numFmtId="0" fontId="19" fillId="3" borderId="1" xfId="0" quotePrefix="1" applyFont="1" applyFill="1" applyBorder="1" applyAlignment="1">
      <alignment horizontal="left" vertical="top"/>
    </xf>
    <xf numFmtId="0" fontId="14" fillId="0" borderId="1" xfId="0" applyFont="1" applyBorder="1" applyAlignment="1">
      <alignment horizontal="left" vertical="top"/>
    </xf>
    <xf numFmtId="0" fontId="15" fillId="0" borderId="1" xfId="0" applyFont="1" applyBorder="1" applyAlignment="1">
      <alignment horizontal="left" vertical="top"/>
    </xf>
    <xf numFmtId="0" fontId="17" fillId="0" borderId="6" xfId="0" applyFont="1" applyBorder="1" applyAlignment="1">
      <alignment horizontal="left" vertical="top"/>
    </xf>
    <xf numFmtId="0" fontId="15" fillId="0" borderId="3" xfId="0" applyFont="1" applyBorder="1" applyAlignment="1">
      <alignment horizontal="left" vertical="top"/>
    </xf>
    <xf numFmtId="0" fontId="17" fillId="5" borderId="1" xfId="0" applyFont="1" applyFill="1" applyBorder="1" applyAlignment="1">
      <alignment horizontal="left" vertical="top"/>
    </xf>
    <xf numFmtId="0" fontId="24" fillId="5" borderId="10" xfId="1" applyFill="1" applyBorder="1" applyAlignment="1"/>
    <xf numFmtId="49" fontId="11" fillId="0" borderId="8" xfId="0" applyNumberFormat="1" applyFont="1" applyBorder="1" applyAlignment="1">
      <alignment horizontal="left" vertical="center"/>
    </xf>
    <xf numFmtId="0" fontId="11" fillId="2" borderId="8" xfId="0" applyFont="1" applyFill="1" applyBorder="1" applyAlignment="1">
      <alignment wrapText="1"/>
    </xf>
    <xf numFmtId="0" fontId="11" fillId="0" borderId="8" xfId="0" applyFont="1" applyBorder="1" applyAlignment="1">
      <alignment horizontal="left" vertical="top" wrapText="1"/>
    </xf>
    <xf numFmtId="49" fontId="11" fillId="0" borderId="8" xfId="0" quotePrefix="1" applyNumberFormat="1" applyFont="1" applyBorder="1" applyAlignment="1">
      <alignment horizontal="left" vertical="top" wrapText="1"/>
    </xf>
    <xf numFmtId="0" fontId="11" fillId="0" borderId="8" xfId="0" quotePrefix="1" applyFont="1" applyBorder="1" applyAlignment="1">
      <alignment horizontal="left" vertical="top" wrapText="1"/>
    </xf>
    <xf numFmtId="0" fontId="11" fillId="0" borderId="8" xfId="0" applyFont="1" applyBorder="1" applyAlignment="1">
      <alignment horizontal="left"/>
    </xf>
    <xf numFmtId="0" fontId="20" fillId="0" borderId="8" xfId="0" applyFont="1" applyBorder="1" applyAlignment="1">
      <alignment vertical="center" wrapText="1"/>
    </xf>
    <xf numFmtId="15" fontId="22" fillId="0" borderId="8" xfId="0" quotePrefix="1" applyNumberFormat="1" applyFont="1" applyBorder="1" applyAlignment="1">
      <alignment horizontal="right" vertical="center" wrapText="1"/>
    </xf>
    <xf numFmtId="0" fontId="21" fillId="0" borderId="8" xfId="0" applyFont="1" applyBorder="1" applyAlignment="1">
      <alignment vertical="center" wrapText="1"/>
    </xf>
    <xf numFmtId="0" fontId="11" fillId="10" borderId="8" xfId="0" applyFont="1" applyFill="1" applyBorder="1" applyAlignment="1">
      <alignment horizontal="left" vertical="top" wrapText="1"/>
    </xf>
    <xf numFmtId="49" fontId="11" fillId="0" borderId="8" xfId="0" applyNumberFormat="1" applyFont="1" applyBorder="1" applyAlignment="1">
      <alignment horizontal="left" vertical="top" wrapText="1"/>
    </xf>
    <xf numFmtId="49" fontId="11" fillId="0" borderId="8" xfId="0" applyNumberFormat="1" applyFont="1" applyBorder="1"/>
    <xf numFmtId="0" fontId="11" fillId="0" borderId="8" xfId="0" quotePrefix="1" applyFont="1" applyBorder="1"/>
    <xf numFmtId="49" fontId="11" fillId="0" borderId="8" xfId="0" quotePrefix="1" applyNumberFormat="1" applyFont="1" applyBorder="1" applyAlignment="1">
      <alignment horizontal="left"/>
    </xf>
    <xf numFmtId="0" fontId="24" fillId="0" borderId="4" xfId="1" applyBorder="1"/>
    <xf numFmtId="0" fontId="26" fillId="3" borderId="1" xfId="0" applyFont="1" applyFill="1" applyBorder="1" applyAlignment="1">
      <alignment horizontal="left" vertical="top"/>
    </xf>
    <xf numFmtId="0" fontId="26" fillId="6" borderId="1" xfId="0" applyFont="1" applyFill="1" applyBorder="1" applyAlignment="1">
      <alignment horizontal="left" vertical="top"/>
    </xf>
    <xf numFmtId="0" fontId="0" fillId="0" borderId="0" xfId="0" applyAlignment="1">
      <alignment wrapText="1"/>
    </xf>
    <xf numFmtId="0" fontId="24" fillId="0" borderId="0" xfId="1"/>
    <xf numFmtId="0" fontId="18" fillId="3" borderId="2" xfId="0" applyFont="1" applyFill="1" applyBorder="1" applyAlignment="1">
      <alignment horizontal="left" vertical="top" wrapText="1"/>
    </xf>
    <xf numFmtId="0" fontId="17" fillId="3" borderId="2" xfId="0" applyFont="1" applyFill="1" applyBorder="1" applyAlignment="1">
      <alignment horizontal="left" vertical="top"/>
    </xf>
    <xf numFmtId="0" fontId="17" fillId="3" borderId="6" xfId="0" applyFont="1" applyFill="1" applyBorder="1" applyAlignment="1">
      <alignment horizontal="left" vertical="top" wrapText="1"/>
    </xf>
    <xf numFmtId="0" fontId="16" fillId="3" borderId="3" xfId="0" applyFont="1" applyFill="1" applyBorder="1" applyAlignment="1">
      <alignment horizontal="left" vertical="top" wrapText="1"/>
    </xf>
    <xf numFmtId="0" fontId="15" fillId="3" borderId="4" xfId="0" applyFont="1" applyFill="1" applyBorder="1" applyAlignment="1">
      <alignment horizontal="left" vertical="top" wrapText="1"/>
    </xf>
    <xf numFmtId="0" fontId="18" fillId="3" borderId="5" xfId="0" quotePrefix="1" applyFont="1" applyFill="1" applyBorder="1" applyAlignment="1">
      <alignment horizontal="left" vertical="top" wrapText="1"/>
    </xf>
    <xf numFmtId="0" fontId="18" fillId="3" borderId="8" xfId="0" quotePrefix="1" applyFont="1" applyFill="1" applyBorder="1" applyAlignment="1">
      <alignment horizontal="left" vertical="top" wrapText="1"/>
    </xf>
    <xf numFmtId="0" fontId="18" fillId="3" borderId="4" xfId="0" applyFont="1" applyFill="1" applyBorder="1" applyAlignment="1">
      <alignment horizontal="left" vertical="top" wrapText="1"/>
    </xf>
    <xf numFmtId="0" fontId="18" fillId="3" borderId="5" xfId="0" applyFont="1" applyFill="1" applyBorder="1" applyAlignment="1">
      <alignment horizontal="left" vertical="top" wrapText="1"/>
    </xf>
    <xf numFmtId="0" fontId="17" fillId="3" borderId="5" xfId="0" applyFont="1" applyFill="1" applyBorder="1" applyAlignment="1">
      <alignment horizontal="left" vertical="top" wrapText="1"/>
    </xf>
    <xf numFmtId="0" fontId="15" fillId="3" borderId="1" xfId="0" quotePrefix="1" applyFont="1" applyFill="1" applyBorder="1" applyAlignment="1">
      <alignment horizontal="left" vertical="top" wrapText="1"/>
    </xf>
    <xf numFmtId="0" fontId="9" fillId="0" borderId="0" xfId="0" applyFont="1"/>
    <xf numFmtId="0" fontId="17" fillId="11" borderId="1" xfId="0" applyFont="1" applyFill="1" applyBorder="1" applyAlignment="1">
      <alignment horizontal="left" vertical="top" wrapText="1"/>
    </xf>
    <xf numFmtId="0" fontId="12" fillId="0" borderId="8" xfId="0" applyFont="1" applyBorder="1" applyAlignment="1">
      <alignment vertical="center"/>
    </xf>
    <xf numFmtId="0" fontId="8" fillId="0" borderId="0" xfId="0" applyFont="1"/>
    <xf numFmtId="0" fontId="7" fillId="0" borderId="0" xfId="0" applyFont="1"/>
    <xf numFmtId="0" fontId="6" fillId="0" borderId="0" xfId="0" applyFont="1"/>
    <xf numFmtId="0" fontId="5" fillId="0" borderId="0" xfId="0" applyFont="1"/>
    <xf numFmtId="0" fontId="4" fillId="0" borderId="0" xfId="0" applyFont="1"/>
    <xf numFmtId="0" fontId="11" fillId="0" borderId="1" xfId="5" applyFont="1" applyBorder="1" applyAlignment="1">
      <alignment horizontal="left" vertical="top" wrapText="1"/>
    </xf>
    <xf numFmtId="0" fontId="17" fillId="0" borderId="1" xfId="5" applyFont="1" applyBorder="1" applyAlignment="1">
      <alignment horizontal="left" vertical="top" wrapText="1"/>
    </xf>
    <xf numFmtId="0" fontId="18" fillId="0" borderId="1" xfId="5" applyFont="1" applyBorder="1" applyAlignment="1">
      <alignment horizontal="left" vertical="top" wrapText="1"/>
    </xf>
    <xf numFmtId="0" fontId="19" fillId="0" borderId="1" xfId="5" applyFont="1" applyBorder="1" applyAlignment="1">
      <alignment horizontal="left" vertical="top" wrapText="1"/>
    </xf>
    <xf numFmtId="0" fontId="18" fillId="0" borderId="1" xfId="5" quotePrefix="1" applyFont="1" applyBorder="1" applyAlignment="1">
      <alignment horizontal="left" vertical="top" wrapText="1"/>
    </xf>
    <xf numFmtId="0" fontId="17" fillId="0" borderId="1" xfId="5" quotePrefix="1" applyFont="1" applyBorder="1" applyAlignment="1">
      <alignment horizontal="left" vertical="top" wrapText="1"/>
    </xf>
    <xf numFmtId="0" fontId="16" fillId="0" borderId="1" xfId="5" applyFont="1" applyBorder="1" applyAlignment="1">
      <alignment horizontal="left" vertical="top" wrapText="1"/>
    </xf>
    <xf numFmtId="0" fontId="2" fillId="0" borderId="0" xfId="0" applyFont="1"/>
    <xf numFmtId="0" fontId="30" fillId="12" borderId="8" xfId="8" applyFont="1" applyFill="1" applyBorder="1" applyAlignment="1">
      <alignment horizontal="left" vertical="top"/>
    </xf>
    <xf numFmtId="0" fontId="1" fillId="0" borderId="2" xfId="8"/>
    <xf numFmtId="0" fontId="31" fillId="13" borderId="8" xfId="8" applyFont="1" applyFill="1" applyBorder="1" applyAlignment="1">
      <alignment horizontal="left" vertical="top" wrapText="1"/>
    </xf>
    <xf numFmtId="164" fontId="31" fillId="13" borderId="8" xfId="8" quotePrefix="1" applyNumberFormat="1" applyFont="1" applyFill="1" applyBorder="1" applyAlignment="1">
      <alignment horizontal="left" vertical="top" wrapText="1"/>
    </xf>
    <xf numFmtId="0" fontId="24" fillId="13" borderId="8" xfId="3" applyFill="1" applyBorder="1"/>
    <xf numFmtId="0" fontId="24" fillId="0" borderId="2" xfId="3"/>
    <xf numFmtId="0" fontId="1" fillId="0" borderId="2" xfId="8" quotePrefix="1"/>
    <xf numFmtId="14" fontId="1" fillId="0" borderId="2" xfId="8" applyNumberFormat="1"/>
    <xf numFmtId="0" fontId="1" fillId="13" borderId="8" xfId="8" applyFill="1" applyBorder="1" applyAlignment="1">
      <alignment horizontal="left" vertical="top"/>
    </xf>
    <xf numFmtId="3" fontId="31" fillId="13" borderId="8" xfId="8" quotePrefix="1" applyNumberFormat="1" applyFont="1" applyFill="1" applyBorder="1" applyAlignment="1">
      <alignment horizontal="left" vertical="top" wrapText="1"/>
    </xf>
    <xf numFmtId="0" fontId="31" fillId="13" borderId="8" xfId="8" quotePrefix="1" applyFont="1" applyFill="1" applyBorder="1" applyAlignment="1">
      <alignment horizontal="left" vertical="top" wrapText="1"/>
    </xf>
    <xf numFmtId="0" fontId="31" fillId="13" borderId="12" xfId="8" applyFont="1" applyFill="1" applyBorder="1" applyAlignment="1">
      <alignment horizontal="left" vertical="top" wrapText="1"/>
    </xf>
    <xf numFmtId="0" fontId="1" fillId="0" borderId="2" xfId="8" applyAlignment="1">
      <alignment horizontal="left" vertical="top"/>
    </xf>
    <xf numFmtId="0" fontId="31" fillId="13" borderId="8" xfId="9" applyFont="1" applyFill="1" applyBorder="1" applyAlignment="1">
      <alignment horizontal="left" vertical="top" wrapText="1"/>
    </xf>
    <xf numFmtId="0" fontId="1" fillId="0" borderId="2" xfId="9"/>
    <xf numFmtId="164" fontId="31" fillId="13" borderId="2" xfId="8" applyNumberFormat="1" applyFont="1" applyFill="1" applyAlignment="1">
      <alignment horizontal="left" vertical="top" wrapText="1"/>
    </xf>
    <xf numFmtId="14" fontId="1" fillId="0" borderId="2" xfId="9" quotePrefix="1" applyNumberFormat="1" applyAlignment="1">
      <alignment horizontal="left" vertical="top"/>
    </xf>
    <xf numFmtId="0" fontId="1" fillId="0" borderId="2" xfId="9" quotePrefix="1"/>
    <xf numFmtId="164" fontId="31" fillId="13" borderId="8" xfId="9" quotePrefix="1" applyNumberFormat="1" applyFont="1" applyFill="1" applyBorder="1" applyAlignment="1">
      <alignment horizontal="left" vertical="top" wrapText="1"/>
    </xf>
    <xf numFmtId="0" fontId="24" fillId="0" borderId="9" xfId="3" applyBorder="1"/>
    <xf numFmtId="0" fontId="24" fillId="0" borderId="0" xfId="1" applyAlignment="1">
      <alignment vertical="center" wrapText="1"/>
    </xf>
  </cellXfs>
  <cellStyles count="10">
    <cellStyle name="Hyperlink" xfId="1" builtinId="8"/>
    <cellStyle name="Hyperlink 2" xfId="3" xr:uid="{BF9D47AB-82DF-4309-97B5-4EE04E75335B}"/>
    <cellStyle name="Normal" xfId="0" builtinId="0"/>
    <cellStyle name="Normal 2" xfId="2" xr:uid="{06AD2076-4600-4024-A716-A34057888662}"/>
    <cellStyle name="Normal 2 2" xfId="6" xr:uid="{2834D0BA-F99F-4D9B-8048-C0E22AD57AEE}"/>
    <cellStyle name="Normal 2 3" xfId="9" xr:uid="{5B91442B-7917-4F35-92B8-CF077A3ABA69}"/>
    <cellStyle name="Normal 3" xfId="4" xr:uid="{4BF8FE14-2088-443E-AAB3-F6205872A3A2}"/>
    <cellStyle name="Normal 3 2" xfId="7" xr:uid="{86890198-B3BD-41EC-A808-F6AC5F5E727D}"/>
    <cellStyle name="Normal 4" xfId="5" xr:uid="{6B0E041A-D11C-4089-8A5D-554E620F80B7}"/>
    <cellStyle name="Normal 5" xfId="8" xr:uid="{2ECE057A-5DEB-427F-ABF3-25C7F79CD18D}"/>
  </cellStyles>
  <dxfs count="5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i/>
        <sz val="14"/>
        <color rgb="FF629755"/>
        <name val="Consolas"/>
        <family val="3"/>
        <scheme val="none"/>
      </font>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left" vertical="top" textRotation="0" wrapText="0" indent="0" justifyLastLine="0" shrinkToFit="0" readingOrder="0"/>
    </dxf>
    <dxf>
      <font>
        <b/>
        <i/>
        <sz val="14"/>
        <color rgb="FF629755"/>
        <name val="Consolas"/>
        <family val="3"/>
        <scheme val="none"/>
      </font>
      <fill>
        <patternFill patternType="solid">
          <fgColor rgb="FFDEEAF6"/>
          <bgColor rgb="FFDEEAF6"/>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trike val="0"/>
        <outline val="0"/>
        <shadow val="0"/>
        <u val="none"/>
        <vertAlign val="baseline"/>
        <sz val="11"/>
        <color rgb="FF0070C0"/>
        <name val="Calibri"/>
        <family val="2"/>
      </font>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font>
        <b/>
        <sz val="14"/>
        <family val="2"/>
      </font>
      <fill>
        <patternFill patternType="solid">
          <fgColor rgb="FFDEEAF6"/>
          <bgColor rgb="FFDEEAF6"/>
        </patternFill>
      </fill>
      <alignment horizontal="left" vertical="top"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sz val="14"/>
        <color rgb="FF629755"/>
        <name val="Consolas"/>
        <family val="3"/>
        <scheme val="none"/>
      </font>
      <fill>
        <patternFill patternType="solid">
          <fgColor rgb="FFDEEAF6"/>
          <bgColor rgb="FFDEEAF6"/>
        </patternFill>
      </fill>
      <alignment horizontal="left"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theme="4" tint="0.79998168889431442"/>
        </patternFill>
      </fill>
      <alignment horizontal="left" vertical="top" textRotation="0" wrapText="0" indent="0" justifyLastLine="0" shrinkToFit="0" readingOrder="0"/>
      <border diagonalUp="0" diagonalDown="0" outline="0">
        <left style="thin">
          <color rgb="FF000000"/>
        </left>
        <right style="thin">
          <color rgb="FF000000"/>
        </right>
        <top/>
        <bottom/>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EEAF6"/>
          <bgColor rgb="FFDEEAF6"/>
        </patternFill>
      </fill>
    </dxf>
    <dxf>
      <fill>
        <patternFill patternType="solid">
          <fgColor rgb="FFD9E2F3"/>
          <bgColor rgb="FFD9E2F3"/>
        </patternFill>
      </fill>
    </dxf>
    <dxf>
      <fill>
        <patternFill patternType="solid">
          <fgColor rgb="FFDEEAF6"/>
          <bgColor rgb="FFDEEAF6"/>
        </patternFill>
      </fill>
    </dxf>
    <dxf>
      <fill>
        <patternFill patternType="solid">
          <fgColor rgb="FFD9E2F3"/>
          <bgColor rgb="FFD9E2F3"/>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
      <fill>
        <patternFill patternType="solid">
          <fgColor rgb="FFD9E2F3"/>
          <bgColor rgb="FFD9E2F3"/>
        </patternFill>
      </fill>
    </dxf>
    <dxf>
      <fill>
        <patternFill patternType="solid">
          <fgColor rgb="FFDEEAF6"/>
          <bgColor rgb="FFDEEAF6"/>
        </patternFill>
      </fill>
    </dxf>
    <dxf>
      <fill>
        <patternFill patternType="solid">
          <fgColor theme="8"/>
          <bgColor theme="8"/>
        </patternFill>
      </fill>
    </dxf>
  </dxfs>
  <tableStyles count="8">
    <tableStyle name="Health_Report-style" pivot="0" count="3" xr9:uid="{00000000-0011-0000-FFFF-FFFF00000000}">
      <tableStyleElement type="headerRow" dxfId="58"/>
      <tableStyleElement type="firstRowStripe" dxfId="57"/>
      <tableStyleElement type="secondRowStripe" dxfId="56"/>
    </tableStyle>
    <tableStyle name="Health_Report1-style" pivot="0" count="3" xr9:uid="{00000000-0011-0000-FFFF-FFFF01000000}">
      <tableStyleElement type="headerRow" dxfId="55"/>
      <tableStyleElement type="firstRowStripe" dxfId="54"/>
      <tableStyleElement type="secondRowStripe" dxfId="53"/>
    </tableStyle>
    <tableStyle name="Reinvest_PB-style" pivot="0" count="3" xr9:uid="{00000000-0011-0000-FFFF-FFFF02000000}">
      <tableStyleElement type="headerRow" dxfId="52"/>
      <tableStyleElement type="firstRowStripe" dxfId="51"/>
      <tableStyleElement type="secondRowStripe" dxfId="50"/>
    </tableStyle>
    <tableStyle name="Reinvest-style" pivot="0" count="3" xr9:uid="{00000000-0011-0000-FFFF-FFFF03000000}">
      <tableStyleElement type="headerRow" dxfId="49"/>
      <tableStyleElement type="firstRowStripe" dxfId="48"/>
      <tableStyleElement type="secondRowStripe" dxfId="47"/>
    </tableStyle>
    <tableStyle name="Health_Report_UAT-style" pivot="0" count="2" xr9:uid="{00000000-0011-0000-FFFF-FFFF04000000}">
      <tableStyleElement type="firstRowStripe" dxfId="46"/>
      <tableStyleElement type="secondRowStripe" dxfId="45"/>
    </tableStyle>
    <tableStyle name="Health_Report_UAT-style 2" pivot="0" count="2" xr9:uid="{00000000-0011-0000-FFFF-FFFF05000000}">
      <tableStyleElement type="firstRowStripe" dxfId="44"/>
      <tableStyleElement type="secondRowStripe" dxfId="43"/>
    </tableStyle>
    <tableStyle name="Cashin_PB_Matured_Non_Matured-style" pivot="0" count="3" xr9:uid="{00000000-0011-0000-FFFF-FFFF06000000}">
      <tableStyleElement type="headerRow" dxfId="42"/>
      <tableStyleElement type="firstRowStripe" dxfId="41"/>
      <tableStyleElement type="secondRowStripe" dxfId="40"/>
    </tableStyle>
    <tableStyle name="IBAN-style" pivot="0" count="3" xr9:uid="{00000000-0011-0000-FFFF-FFFF07000000}">
      <tableStyleElement type="headerRow" dxfId="39"/>
      <tableStyleElement type="firstRowStripe" dxfId="38"/>
      <tableStyleElement type="secondRowStripe" dxfId="3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2012819/Downloads/TestData.csv" TargetMode="External"/><Relationship Id="rId2" Type="http://schemas.openxmlformats.org/officeDocument/2006/relationships/externalLinkPath" Target="file:///C:\Users\2012819\Downloads\TestData.csv" TargetMode="External"/><Relationship Id="rId1" Type="http://schemas.openxmlformats.org/officeDocument/2006/relationships/externalLinkPath" Target="/Users/2012819/Downloads/TestData.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ognizantonline-my.sharepoint.com/personal/2012819_cognizant_com/Documents/BuyNowTestData/TestData.xlsx" TargetMode="External"/><Relationship Id="rId1" Type="http://schemas.openxmlformats.org/officeDocument/2006/relationships/externalLinkPath" Target="https://cognizantonline-my.sharepoint.com/personal/2012819_cognizant_com/Documents/BuyNowTestData/Test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estData"/>
      <sheetName val="Sheet1"/>
      <sheetName val="Source of Funds"/>
      <sheetName val="Purpose of account"/>
      <sheetName val="Country of Birth"/>
      <sheetName val="Nationality"/>
      <sheetName val="Employment Status"/>
      <sheetName val="Employment Industry Type"/>
    </sheetNames>
    <sheetDataSet>
      <sheetData sheetId="0"/>
      <sheetData sheetId="1"/>
      <sheetData sheetId="2"/>
      <sheetData sheetId="3"/>
      <sheetData sheetId="4"/>
      <sheetData sheetId="5">
        <row r="1">
          <cell r="A1" t="str">
            <v>Afghanistan</v>
          </cell>
        </row>
        <row r="2">
          <cell r="A2" t="str">
            <v xml:space="preserve"> Åland Islands</v>
          </cell>
        </row>
        <row r="3">
          <cell r="A3" t="str">
            <v xml:space="preserve"> Albania</v>
          </cell>
        </row>
        <row r="4">
          <cell r="A4" t="str">
            <v xml:space="preserve"> Algeria</v>
          </cell>
        </row>
        <row r="5">
          <cell r="A5" t="str">
            <v xml:space="preserve"> American Samoa</v>
          </cell>
        </row>
        <row r="6">
          <cell r="A6" t="str">
            <v xml:space="preserve"> Andorra</v>
          </cell>
        </row>
        <row r="7">
          <cell r="A7" t="str">
            <v xml:space="preserve"> Angola</v>
          </cell>
        </row>
        <row r="8">
          <cell r="A8" t="str">
            <v xml:space="preserve"> Anguilla</v>
          </cell>
        </row>
        <row r="9">
          <cell r="A9" t="str">
            <v xml:space="preserve"> Antarctica</v>
          </cell>
        </row>
        <row r="10">
          <cell r="A10" t="str">
            <v xml:space="preserve"> Antigua &amp; Barbuda</v>
          </cell>
        </row>
        <row r="11">
          <cell r="A11" t="str">
            <v xml:space="preserve"> Argentina</v>
          </cell>
        </row>
        <row r="12">
          <cell r="A12" t="str">
            <v xml:space="preserve"> Armenia</v>
          </cell>
        </row>
        <row r="13">
          <cell r="A13" t="str">
            <v xml:space="preserve"> Aruba</v>
          </cell>
        </row>
        <row r="14">
          <cell r="A14" t="str">
            <v xml:space="preserve"> Australia</v>
          </cell>
        </row>
        <row r="15">
          <cell r="A15" t="str">
            <v xml:space="preserve"> Austria</v>
          </cell>
        </row>
        <row r="16">
          <cell r="A16" t="str">
            <v xml:space="preserve"> Azerbaijan</v>
          </cell>
        </row>
        <row r="17">
          <cell r="A17" t="str">
            <v xml:space="preserve"> Bahamas</v>
          </cell>
        </row>
        <row r="18">
          <cell r="A18" t="str">
            <v xml:space="preserve"> Bahrain</v>
          </cell>
        </row>
        <row r="19">
          <cell r="A19" t="str">
            <v xml:space="preserve"> Bangladesh</v>
          </cell>
        </row>
        <row r="20">
          <cell r="A20" t="str">
            <v xml:space="preserve"> Barbados</v>
          </cell>
        </row>
        <row r="21">
          <cell r="A21" t="str">
            <v xml:space="preserve"> Belarus</v>
          </cell>
        </row>
        <row r="22">
          <cell r="A22" t="str">
            <v xml:space="preserve"> Belgium</v>
          </cell>
        </row>
        <row r="23">
          <cell r="A23" t="str">
            <v xml:space="preserve"> Belize</v>
          </cell>
        </row>
        <row r="24">
          <cell r="A24" t="str">
            <v xml:space="preserve"> Benin</v>
          </cell>
        </row>
        <row r="25">
          <cell r="A25" t="str">
            <v xml:space="preserve"> Bermuda</v>
          </cell>
        </row>
        <row r="26">
          <cell r="A26" t="str">
            <v xml:space="preserve"> Bhutan</v>
          </cell>
        </row>
        <row r="27">
          <cell r="A27" t="str">
            <v xml:space="preserve"> Bolivia</v>
          </cell>
        </row>
        <row r="28">
          <cell r="A28" t="str">
            <v xml:space="preserve"> Bosnia &amp; Herzegovina</v>
          </cell>
        </row>
        <row r="29">
          <cell r="A29" t="str">
            <v xml:space="preserve"> Botswana</v>
          </cell>
        </row>
        <row r="30">
          <cell r="A30" t="str">
            <v xml:space="preserve"> Bouvet Island</v>
          </cell>
        </row>
        <row r="31">
          <cell r="A31" t="str">
            <v xml:space="preserve"> Brazil</v>
          </cell>
        </row>
        <row r="32">
          <cell r="A32" t="str">
            <v xml:space="preserve"> British Indian Ocean Territory</v>
          </cell>
        </row>
        <row r="33">
          <cell r="A33" t="str">
            <v xml:space="preserve"> British Virgin Islands</v>
          </cell>
        </row>
        <row r="34">
          <cell r="A34" t="str">
            <v xml:space="preserve"> Brunei</v>
          </cell>
        </row>
        <row r="35">
          <cell r="A35" t="str">
            <v xml:space="preserve"> Bulgaria</v>
          </cell>
        </row>
        <row r="36">
          <cell r="A36" t="str">
            <v xml:space="preserve"> Burkina Faso</v>
          </cell>
        </row>
        <row r="37">
          <cell r="A37" t="str">
            <v xml:space="preserve"> Burundi</v>
          </cell>
        </row>
        <row r="38">
          <cell r="A38" t="str">
            <v xml:space="preserve"> Cambodia</v>
          </cell>
        </row>
        <row r="39">
          <cell r="A39" t="str">
            <v xml:space="preserve"> Cameroon</v>
          </cell>
        </row>
        <row r="40">
          <cell r="A40" t="str">
            <v xml:space="preserve"> Canada</v>
          </cell>
        </row>
        <row r="41">
          <cell r="A41" t="str">
            <v xml:space="preserve"> Cape Verde</v>
          </cell>
        </row>
        <row r="42">
          <cell r="A42" t="str">
            <v xml:space="preserve"> Caribbean Netherlands</v>
          </cell>
        </row>
        <row r="43">
          <cell r="A43" t="str">
            <v xml:space="preserve"> Cayman Islands</v>
          </cell>
        </row>
        <row r="44">
          <cell r="A44" t="str">
            <v xml:space="preserve"> Central African Republic</v>
          </cell>
        </row>
        <row r="45">
          <cell r="A45" t="str">
            <v xml:space="preserve"> Chad</v>
          </cell>
        </row>
        <row r="46">
          <cell r="A46" t="str">
            <v xml:space="preserve"> Chile</v>
          </cell>
        </row>
        <row r="47">
          <cell r="A47" t="str">
            <v xml:space="preserve"> China</v>
          </cell>
        </row>
        <row r="48">
          <cell r="A48" t="str">
            <v xml:space="preserve"> Christmas Island</v>
          </cell>
        </row>
        <row r="49">
          <cell r="A49" t="str">
            <v xml:space="preserve"> Cocos (Keeling) Islands</v>
          </cell>
        </row>
        <row r="50">
          <cell r="A50" t="str">
            <v xml:space="preserve"> Colombia</v>
          </cell>
        </row>
        <row r="51">
          <cell r="A51" t="str">
            <v xml:space="preserve"> Comoros</v>
          </cell>
        </row>
        <row r="52">
          <cell r="A52" t="str">
            <v xml:space="preserve"> Congo - Brazzaville</v>
          </cell>
        </row>
        <row r="53">
          <cell r="A53" t="str">
            <v xml:space="preserve"> Congo - Kinshasa</v>
          </cell>
        </row>
        <row r="54">
          <cell r="A54" t="str">
            <v xml:space="preserve"> Cook Islands</v>
          </cell>
        </row>
        <row r="55">
          <cell r="A55" t="str">
            <v xml:space="preserve"> Costa Rica</v>
          </cell>
        </row>
        <row r="56">
          <cell r="A56" t="str">
            <v xml:space="preserve"> Côte d’Ivoire</v>
          </cell>
        </row>
        <row r="57">
          <cell r="A57" t="str">
            <v xml:space="preserve"> Croatia</v>
          </cell>
        </row>
        <row r="58">
          <cell r="A58" t="str">
            <v xml:space="preserve"> Cuba</v>
          </cell>
        </row>
        <row r="59">
          <cell r="A59" t="str">
            <v xml:space="preserve"> Curaçao</v>
          </cell>
        </row>
        <row r="60">
          <cell r="A60" t="str">
            <v xml:space="preserve"> Cyprus</v>
          </cell>
        </row>
        <row r="61">
          <cell r="A61" t="str">
            <v xml:space="preserve"> Czechia</v>
          </cell>
        </row>
        <row r="62">
          <cell r="A62" t="str">
            <v xml:space="preserve"> Denmark</v>
          </cell>
        </row>
        <row r="63">
          <cell r="A63" t="str">
            <v xml:space="preserve"> Djibouti</v>
          </cell>
        </row>
        <row r="64">
          <cell r="A64" t="str">
            <v xml:space="preserve"> Dominica</v>
          </cell>
        </row>
        <row r="65">
          <cell r="A65" t="str">
            <v xml:space="preserve"> Dominican Republic</v>
          </cell>
        </row>
        <row r="66">
          <cell r="A66" t="str">
            <v xml:space="preserve"> Ecuador</v>
          </cell>
        </row>
        <row r="67">
          <cell r="A67" t="str">
            <v xml:space="preserve"> Egypt</v>
          </cell>
        </row>
        <row r="68">
          <cell r="A68" t="str">
            <v xml:space="preserve"> El Salvador</v>
          </cell>
        </row>
        <row r="69">
          <cell r="A69" t="str">
            <v xml:space="preserve"> Equatorial Guinea</v>
          </cell>
        </row>
        <row r="70">
          <cell r="A70" t="str">
            <v xml:space="preserve"> Eritrea</v>
          </cell>
        </row>
        <row r="71">
          <cell r="A71" t="str">
            <v xml:space="preserve"> Estonia</v>
          </cell>
        </row>
        <row r="72">
          <cell r="A72" t="str">
            <v xml:space="preserve"> Eswatini</v>
          </cell>
        </row>
        <row r="73">
          <cell r="A73" t="str">
            <v xml:space="preserve"> Ethiopia</v>
          </cell>
        </row>
        <row r="74">
          <cell r="A74" t="str">
            <v xml:space="preserve"> European Union</v>
          </cell>
        </row>
        <row r="75">
          <cell r="A75" t="str">
            <v xml:space="preserve"> Falkland Islands</v>
          </cell>
        </row>
        <row r="76">
          <cell r="A76" t="str">
            <v xml:space="preserve"> Faroe Islands</v>
          </cell>
        </row>
        <row r="77">
          <cell r="A77" t="str">
            <v xml:space="preserve"> Fiji</v>
          </cell>
        </row>
        <row r="78">
          <cell r="A78" t="str">
            <v xml:space="preserve"> Finland</v>
          </cell>
        </row>
        <row r="79">
          <cell r="A79" t="str">
            <v xml:space="preserve"> France</v>
          </cell>
        </row>
        <row r="80">
          <cell r="A80" t="str">
            <v xml:space="preserve"> French Guiana</v>
          </cell>
        </row>
        <row r="81">
          <cell r="A81" t="str">
            <v xml:space="preserve"> French Polynesia</v>
          </cell>
        </row>
        <row r="82">
          <cell r="A82" t="str">
            <v xml:space="preserve"> French Southern Territories</v>
          </cell>
        </row>
        <row r="83">
          <cell r="A83" t="str">
            <v xml:space="preserve"> Gabon</v>
          </cell>
        </row>
        <row r="84">
          <cell r="A84" t="str">
            <v xml:space="preserve"> Gambia</v>
          </cell>
        </row>
        <row r="85">
          <cell r="A85" t="str">
            <v xml:space="preserve"> Georgia</v>
          </cell>
        </row>
        <row r="86">
          <cell r="A86" t="str">
            <v xml:space="preserve"> Germany</v>
          </cell>
        </row>
        <row r="87">
          <cell r="A87" t="str">
            <v xml:space="preserve"> Ghana</v>
          </cell>
        </row>
        <row r="88">
          <cell r="A88" t="str">
            <v xml:space="preserve"> Gibraltar</v>
          </cell>
        </row>
        <row r="89">
          <cell r="A89" t="str">
            <v xml:space="preserve"> Greece</v>
          </cell>
        </row>
        <row r="90">
          <cell r="A90" t="str">
            <v xml:space="preserve"> Greenland</v>
          </cell>
        </row>
        <row r="91">
          <cell r="A91" t="str">
            <v xml:space="preserve"> Grenada</v>
          </cell>
        </row>
        <row r="92">
          <cell r="A92" t="str">
            <v xml:space="preserve"> Guadeloupe</v>
          </cell>
        </row>
        <row r="93">
          <cell r="A93" t="str">
            <v xml:space="preserve"> Guam</v>
          </cell>
        </row>
        <row r="94">
          <cell r="A94" t="str">
            <v xml:space="preserve"> Guatemala</v>
          </cell>
        </row>
        <row r="95">
          <cell r="A95" t="str">
            <v xml:space="preserve"> Guernsey</v>
          </cell>
        </row>
        <row r="96">
          <cell r="A96" t="str">
            <v xml:space="preserve"> Guinea</v>
          </cell>
        </row>
        <row r="97">
          <cell r="A97" t="str">
            <v xml:space="preserve"> Guinea-Bissau</v>
          </cell>
        </row>
        <row r="98">
          <cell r="A98" t="str">
            <v xml:space="preserve"> Guyana</v>
          </cell>
        </row>
        <row r="99">
          <cell r="A99" t="str">
            <v xml:space="preserve"> Haiti</v>
          </cell>
        </row>
        <row r="100">
          <cell r="A100" t="str">
            <v xml:space="preserve"> Heard &amp; McDonald Islands</v>
          </cell>
        </row>
        <row r="101">
          <cell r="A101" t="str">
            <v xml:space="preserve"> Honduras</v>
          </cell>
        </row>
        <row r="102">
          <cell r="A102" t="str">
            <v xml:space="preserve"> Hong Kong SAR China</v>
          </cell>
        </row>
        <row r="103">
          <cell r="A103" t="str">
            <v xml:space="preserve"> Hungary</v>
          </cell>
        </row>
        <row r="104">
          <cell r="A104" t="str">
            <v xml:space="preserve"> Iceland</v>
          </cell>
        </row>
        <row r="105">
          <cell r="A105" t="str">
            <v xml:space="preserve"> India</v>
          </cell>
        </row>
        <row r="106">
          <cell r="A106" t="str">
            <v xml:space="preserve"> Indonesia</v>
          </cell>
        </row>
        <row r="107">
          <cell r="A107" t="str">
            <v xml:space="preserve"> Iran</v>
          </cell>
        </row>
        <row r="108">
          <cell r="A108" t="str">
            <v xml:space="preserve"> Iraq</v>
          </cell>
        </row>
        <row r="109">
          <cell r="A109" t="str">
            <v xml:space="preserve"> Ireland</v>
          </cell>
        </row>
        <row r="110">
          <cell r="A110" t="str">
            <v xml:space="preserve"> Isle of Man</v>
          </cell>
        </row>
        <row r="111">
          <cell r="A111" t="str">
            <v xml:space="preserve"> Israel</v>
          </cell>
        </row>
        <row r="112">
          <cell r="A112" t="str">
            <v xml:space="preserve"> Italy</v>
          </cell>
        </row>
        <row r="113">
          <cell r="A113" t="str">
            <v xml:space="preserve"> Jamaica</v>
          </cell>
        </row>
        <row r="114">
          <cell r="A114" t="str">
            <v xml:space="preserve"> Japan</v>
          </cell>
        </row>
        <row r="115">
          <cell r="A115" t="str">
            <v xml:space="preserve"> Jersey</v>
          </cell>
        </row>
        <row r="116">
          <cell r="A116" t="str">
            <v xml:space="preserve"> Jordan</v>
          </cell>
        </row>
        <row r="117">
          <cell r="A117" t="str">
            <v xml:space="preserve"> Kazakhstan</v>
          </cell>
        </row>
        <row r="118">
          <cell r="A118" t="str">
            <v xml:space="preserve"> Kenya</v>
          </cell>
        </row>
        <row r="119">
          <cell r="A119" t="str">
            <v xml:space="preserve"> Kiribati</v>
          </cell>
        </row>
        <row r="120">
          <cell r="A120" t="str">
            <v xml:space="preserve"> Kosovo</v>
          </cell>
        </row>
        <row r="121">
          <cell r="A121" t="str">
            <v xml:space="preserve"> Kuwait</v>
          </cell>
        </row>
        <row r="122">
          <cell r="A122" t="str">
            <v xml:space="preserve"> Kyrgyzstan</v>
          </cell>
        </row>
        <row r="123">
          <cell r="A123" t="str">
            <v xml:space="preserve"> Laos</v>
          </cell>
        </row>
        <row r="124">
          <cell r="A124" t="str">
            <v xml:space="preserve"> Latvia</v>
          </cell>
        </row>
        <row r="125">
          <cell r="A125" t="str">
            <v xml:space="preserve"> Lebanon</v>
          </cell>
        </row>
        <row r="126">
          <cell r="A126" t="str">
            <v xml:space="preserve"> Lesotho</v>
          </cell>
        </row>
        <row r="127">
          <cell r="A127" t="str">
            <v xml:space="preserve"> Liberia</v>
          </cell>
        </row>
        <row r="128">
          <cell r="A128" t="str">
            <v xml:space="preserve"> Libya</v>
          </cell>
        </row>
        <row r="129">
          <cell r="A129" t="str">
            <v xml:space="preserve"> Liechtenstein</v>
          </cell>
        </row>
        <row r="130">
          <cell r="A130" t="str">
            <v xml:space="preserve"> Lithuania</v>
          </cell>
        </row>
        <row r="131">
          <cell r="A131" t="str">
            <v xml:space="preserve"> Luxembourg</v>
          </cell>
        </row>
        <row r="132">
          <cell r="A132" t="str">
            <v xml:space="preserve"> Macao SAR China</v>
          </cell>
        </row>
        <row r="133">
          <cell r="A133" t="str">
            <v xml:space="preserve"> Madagascar</v>
          </cell>
        </row>
        <row r="134">
          <cell r="A134" t="str">
            <v xml:space="preserve"> Malawi</v>
          </cell>
        </row>
        <row r="135">
          <cell r="A135" t="str">
            <v xml:space="preserve"> Malaysia</v>
          </cell>
        </row>
        <row r="136">
          <cell r="A136" t="str">
            <v xml:space="preserve"> Maldives</v>
          </cell>
        </row>
        <row r="137">
          <cell r="A137" t="str">
            <v xml:space="preserve"> Mali</v>
          </cell>
        </row>
        <row r="138">
          <cell r="A138" t="str">
            <v xml:space="preserve"> Malta</v>
          </cell>
        </row>
        <row r="139">
          <cell r="A139" t="str">
            <v xml:space="preserve"> Marshall Islands</v>
          </cell>
        </row>
        <row r="140">
          <cell r="A140" t="str">
            <v xml:space="preserve"> Martinique</v>
          </cell>
        </row>
        <row r="141">
          <cell r="A141" t="str">
            <v xml:space="preserve"> Mauritania</v>
          </cell>
        </row>
        <row r="142">
          <cell r="A142" t="str">
            <v xml:space="preserve"> Mauritius</v>
          </cell>
        </row>
        <row r="143">
          <cell r="A143" t="str">
            <v xml:space="preserve"> Mayotte</v>
          </cell>
        </row>
        <row r="144">
          <cell r="A144" t="str">
            <v xml:space="preserve"> Mexico</v>
          </cell>
        </row>
        <row r="145">
          <cell r="A145" t="str">
            <v xml:space="preserve"> Micronesia</v>
          </cell>
        </row>
        <row r="146">
          <cell r="A146" t="str">
            <v xml:space="preserve"> Moldova</v>
          </cell>
        </row>
        <row r="147">
          <cell r="A147" t="str">
            <v xml:space="preserve"> Monaco</v>
          </cell>
        </row>
        <row r="148">
          <cell r="A148" t="str">
            <v xml:space="preserve"> Mongolia</v>
          </cell>
        </row>
        <row r="149">
          <cell r="A149" t="str">
            <v xml:space="preserve"> Montenegro</v>
          </cell>
        </row>
        <row r="150">
          <cell r="A150" t="str">
            <v xml:space="preserve"> Montserrat</v>
          </cell>
        </row>
        <row r="151">
          <cell r="A151" t="str">
            <v xml:space="preserve"> Morocco</v>
          </cell>
        </row>
        <row r="152">
          <cell r="A152" t="str">
            <v xml:space="preserve"> Mozambique</v>
          </cell>
        </row>
        <row r="153">
          <cell r="A153" t="str">
            <v xml:space="preserve"> Myanmar (Burma)</v>
          </cell>
        </row>
        <row r="154">
          <cell r="A154" t="str">
            <v xml:space="preserve"> Namibia</v>
          </cell>
        </row>
        <row r="155">
          <cell r="A155" t="str">
            <v xml:space="preserve"> Nauru</v>
          </cell>
        </row>
        <row r="156">
          <cell r="A156" t="str">
            <v xml:space="preserve"> Nepal</v>
          </cell>
        </row>
        <row r="157">
          <cell r="A157" t="str">
            <v xml:space="preserve"> Netherlands</v>
          </cell>
        </row>
        <row r="158">
          <cell r="A158" t="str">
            <v xml:space="preserve"> New Caledonia</v>
          </cell>
        </row>
        <row r="159">
          <cell r="A159" t="str">
            <v xml:space="preserve"> New Zealand</v>
          </cell>
        </row>
        <row r="160">
          <cell r="A160" t="str">
            <v xml:space="preserve"> Nicaragua</v>
          </cell>
        </row>
        <row r="161">
          <cell r="A161" t="str">
            <v xml:space="preserve"> Niger</v>
          </cell>
        </row>
        <row r="162">
          <cell r="A162" t="str">
            <v xml:space="preserve"> Nigeria</v>
          </cell>
        </row>
        <row r="163">
          <cell r="A163" t="str">
            <v xml:space="preserve"> Niue</v>
          </cell>
        </row>
        <row r="164">
          <cell r="A164" t="str">
            <v xml:space="preserve"> Norfolk Island</v>
          </cell>
        </row>
        <row r="165">
          <cell r="A165" t="str">
            <v xml:space="preserve"> North Korea</v>
          </cell>
        </row>
        <row r="166">
          <cell r="A166" t="str">
            <v xml:space="preserve"> North Macedonia</v>
          </cell>
        </row>
        <row r="167">
          <cell r="A167" t="str">
            <v xml:space="preserve"> Northern Ireland</v>
          </cell>
        </row>
        <row r="168">
          <cell r="A168" t="str">
            <v xml:space="preserve"> Northern Mariana Islands</v>
          </cell>
        </row>
        <row r="169">
          <cell r="A169" t="str">
            <v xml:space="preserve"> Norway</v>
          </cell>
        </row>
        <row r="170">
          <cell r="A170" t="str">
            <v xml:space="preserve"> Oman</v>
          </cell>
        </row>
        <row r="171">
          <cell r="A171" t="str">
            <v xml:space="preserve"> Outlying Oceania</v>
          </cell>
        </row>
        <row r="172">
          <cell r="A172" t="str">
            <v xml:space="preserve"> Pakistan</v>
          </cell>
        </row>
        <row r="173">
          <cell r="A173" t="str">
            <v xml:space="preserve"> Palau</v>
          </cell>
        </row>
        <row r="174">
          <cell r="A174" t="str">
            <v xml:space="preserve"> Palestinian Territories</v>
          </cell>
        </row>
        <row r="175">
          <cell r="A175" t="str">
            <v xml:space="preserve"> Panama</v>
          </cell>
        </row>
        <row r="176">
          <cell r="A176" t="str">
            <v xml:space="preserve"> Papua New Guinea</v>
          </cell>
        </row>
        <row r="177">
          <cell r="A177" t="str">
            <v xml:space="preserve"> Paraguay</v>
          </cell>
        </row>
        <row r="178">
          <cell r="A178" t="str">
            <v xml:space="preserve"> Peru</v>
          </cell>
        </row>
        <row r="179">
          <cell r="A179" t="str">
            <v xml:space="preserve"> Philippines</v>
          </cell>
        </row>
        <row r="180">
          <cell r="A180" t="str">
            <v xml:space="preserve"> Pitcairn Islands</v>
          </cell>
        </row>
        <row r="181">
          <cell r="A181" t="str">
            <v xml:space="preserve"> Poland</v>
          </cell>
        </row>
        <row r="182">
          <cell r="A182" t="str">
            <v xml:space="preserve"> Portugal</v>
          </cell>
        </row>
        <row r="183">
          <cell r="A183" t="str">
            <v xml:space="preserve"> Puerto Rico</v>
          </cell>
        </row>
        <row r="184">
          <cell r="A184" t="str">
            <v xml:space="preserve"> Qatar</v>
          </cell>
        </row>
        <row r="185">
          <cell r="A185" t="str">
            <v xml:space="preserve"> Réunion</v>
          </cell>
        </row>
        <row r="186">
          <cell r="A186" t="str">
            <v xml:space="preserve"> Romania</v>
          </cell>
        </row>
        <row r="187">
          <cell r="A187" t="str">
            <v xml:space="preserve"> Russia</v>
          </cell>
        </row>
        <row r="188">
          <cell r="A188" t="str">
            <v xml:space="preserve"> Rwanda</v>
          </cell>
        </row>
        <row r="189">
          <cell r="A189" t="str">
            <v xml:space="preserve"> Samoa</v>
          </cell>
        </row>
        <row r="190">
          <cell r="A190" t="str">
            <v xml:space="preserve"> San Marino</v>
          </cell>
        </row>
        <row r="191">
          <cell r="A191" t="str">
            <v xml:space="preserve"> São Tomé &amp; Príncipe</v>
          </cell>
        </row>
        <row r="192">
          <cell r="A192" t="str">
            <v xml:space="preserve"> Saudi Arabia</v>
          </cell>
        </row>
        <row r="193">
          <cell r="A193" t="str">
            <v xml:space="preserve"> Senegal</v>
          </cell>
        </row>
        <row r="194">
          <cell r="A194" t="str">
            <v xml:space="preserve"> Serbia</v>
          </cell>
        </row>
        <row r="195">
          <cell r="A195" t="str">
            <v xml:space="preserve"> Seychelles</v>
          </cell>
        </row>
        <row r="196">
          <cell r="A196" t="str">
            <v xml:space="preserve"> Sierra Leone</v>
          </cell>
        </row>
        <row r="197">
          <cell r="A197" t="str">
            <v xml:space="preserve"> Singapore</v>
          </cell>
        </row>
        <row r="198">
          <cell r="A198" t="str">
            <v xml:space="preserve"> Sint Maarten</v>
          </cell>
        </row>
        <row r="199">
          <cell r="A199" t="str">
            <v xml:space="preserve"> Slovakia</v>
          </cell>
        </row>
        <row r="200">
          <cell r="A200" t="str">
            <v xml:space="preserve"> Slovenia</v>
          </cell>
        </row>
        <row r="201">
          <cell r="A201" t="str">
            <v xml:space="preserve"> Solomon Islands</v>
          </cell>
        </row>
        <row r="202">
          <cell r="A202" t="str">
            <v xml:space="preserve"> Somalia</v>
          </cell>
        </row>
        <row r="203">
          <cell r="A203" t="str">
            <v xml:space="preserve"> South Africa</v>
          </cell>
        </row>
        <row r="204">
          <cell r="A204" t="str">
            <v xml:space="preserve"> South Georgia &amp; South Sandwich Islands</v>
          </cell>
        </row>
        <row r="205">
          <cell r="A205" t="str">
            <v xml:space="preserve"> South Korea</v>
          </cell>
        </row>
        <row r="206">
          <cell r="A206" t="str">
            <v xml:space="preserve"> South Sudan</v>
          </cell>
        </row>
        <row r="207">
          <cell r="A207" t="str">
            <v xml:space="preserve"> Spain</v>
          </cell>
        </row>
        <row r="208">
          <cell r="A208" t="str">
            <v xml:space="preserve"> Sri Lanka</v>
          </cell>
        </row>
        <row r="209">
          <cell r="A209" t="str">
            <v xml:space="preserve"> St. Barthélemy</v>
          </cell>
        </row>
        <row r="210">
          <cell r="A210" t="str">
            <v xml:space="preserve"> St. Helena</v>
          </cell>
        </row>
        <row r="211">
          <cell r="A211" t="str">
            <v xml:space="preserve"> St. Kitts &amp; Nevis</v>
          </cell>
        </row>
        <row r="212">
          <cell r="A212" t="str">
            <v xml:space="preserve"> St. Lucia</v>
          </cell>
        </row>
        <row r="213">
          <cell r="A213" t="str">
            <v xml:space="preserve"> St. Martin</v>
          </cell>
        </row>
        <row r="214">
          <cell r="A214" t="str">
            <v xml:space="preserve"> St. Pierre &amp; Miquelon</v>
          </cell>
        </row>
        <row r="215">
          <cell r="A215" t="str">
            <v xml:space="preserve"> St. Vincent &amp; Grenadines</v>
          </cell>
        </row>
        <row r="216">
          <cell r="A216" t="str">
            <v xml:space="preserve"> Sudan</v>
          </cell>
        </row>
        <row r="217">
          <cell r="A217" t="str">
            <v xml:space="preserve"> Suriname</v>
          </cell>
        </row>
        <row r="218">
          <cell r="A218" t="str">
            <v xml:space="preserve"> Svalbard &amp; Jan Mayen</v>
          </cell>
        </row>
        <row r="219">
          <cell r="A219" t="str">
            <v xml:space="preserve"> Sweden</v>
          </cell>
        </row>
        <row r="220">
          <cell r="A220" t="str">
            <v xml:space="preserve"> Switzerland</v>
          </cell>
        </row>
        <row r="221">
          <cell r="A221" t="str">
            <v xml:space="preserve"> Syria</v>
          </cell>
        </row>
        <row r="222">
          <cell r="A222" t="str">
            <v xml:space="preserve"> Taiwan</v>
          </cell>
        </row>
        <row r="223">
          <cell r="A223" t="str">
            <v xml:space="preserve"> Tajikistan</v>
          </cell>
        </row>
        <row r="224">
          <cell r="A224" t="str">
            <v xml:space="preserve"> Tanzania</v>
          </cell>
        </row>
        <row r="225">
          <cell r="A225" t="str">
            <v xml:space="preserve"> Thailand</v>
          </cell>
        </row>
        <row r="226">
          <cell r="A226" t="str">
            <v xml:space="preserve"> Timor-Leste</v>
          </cell>
        </row>
        <row r="227">
          <cell r="A227" t="str">
            <v xml:space="preserve"> Togo</v>
          </cell>
        </row>
        <row r="228">
          <cell r="A228" t="str">
            <v xml:space="preserve"> Tokelau</v>
          </cell>
        </row>
        <row r="229">
          <cell r="A229" t="str">
            <v xml:space="preserve"> Tonga</v>
          </cell>
        </row>
        <row r="230">
          <cell r="A230" t="str">
            <v xml:space="preserve"> Trinidad &amp; Tobago</v>
          </cell>
        </row>
        <row r="231">
          <cell r="A231" t="str">
            <v xml:space="preserve"> Tunisia</v>
          </cell>
        </row>
        <row r="232">
          <cell r="A232" t="str">
            <v xml:space="preserve"> Turkey</v>
          </cell>
        </row>
        <row r="233">
          <cell r="A233" t="str">
            <v xml:space="preserve"> Turkmenistan</v>
          </cell>
        </row>
        <row r="234">
          <cell r="A234" t="str">
            <v xml:space="preserve"> Turks &amp; Caicos Islands</v>
          </cell>
        </row>
        <row r="235">
          <cell r="A235" t="str">
            <v xml:space="preserve"> Tuvalu</v>
          </cell>
        </row>
        <row r="236">
          <cell r="A236" t="str">
            <v xml:space="preserve"> U.S. Outlying Islands</v>
          </cell>
        </row>
        <row r="237">
          <cell r="A237" t="str">
            <v xml:space="preserve"> U.S. Virgin Islands</v>
          </cell>
        </row>
        <row r="238">
          <cell r="A238" t="str">
            <v xml:space="preserve"> Uganda</v>
          </cell>
        </row>
        <row r="239">
          <cell r="A239" t="str">
            <v xml:space="preserve"> Ukraine</v>
          </cell>
        </row>
        <row r="240">
          <cell r="A240" t="str">
            <v xml:space="preserve"> United Arab Emirates</v>
          </cell>
        </row>
        <row r="241">
          <cell r="A241" t="str">
            <v xml:space="preserve"> United Kingdom</v>
          </cell>
        </row>
        <row r="242">
          <cell r="A242" t="str">
            <v xml:space="preserve"> United States</v>
          </cell>
        </row>
        <row r="243">
          <cell r="A243" t="str">
            <v xml:space="preserve"> Uruguay</v>
          </cell>
        </row>
        <row r="244">
          <cell r="A244" t="str">
            <v xml:space="preserve"> Uzbekistan</v>
          </cell>
        </row>
        <row r="245">
          <cell r="A245" t="str">
            <v xml:space="preserve"> Vanuatu</v>
          </cell>
        </row>
        <row r="246">
          <cell r="A246" t="str">
            <v xml:space="preserve"> Vatican City</v>
          </cell>
        </row>
        <row r="247">
          <cell r="A247" t="str">
            <v xml:space="preserve"> Venezuela</v>
          </cell>
        </row>
        <row r="248">
          <cell r="A248" t="str">
            <v xml:space="preserve"> Vietnam</v>
          </cell>
        </row>
        <row r="249">
          <cell r="A249" t="str">
            <v xml:space="preserve"> Wallis &amp; Futuna</v>
          </cell>
        </row>
        <row r="250">
          <cell r="A250" t="str">
            <v xml:space="preserve"> Western Sahara</v>
          </cell>
        </row>
        <row r="251">
          <cell r="A251" t="str">
            <v xml:space="preserve"> Yemen</v>
          </cell>
        </row>
        <row r="252">
          <cell r="A252" t="str">
            <v xml:space="preserve"> Zambia</v>
          </cell>
        </row>
        <row r="253">
          <cell r="A253" t="str">
            <v xml:space="preserve"> Zimbabwe</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Sheet1"/>
      <sheetName val="Sheet2"/>
      <sheetName val="Source of Funds"/>
      <sheetName val="Purpose of account"/>
      <sheetName val="Country of Birth"/>
      <sheetName val="Nationality"/>
      <sheetName val="Employment Status"/>
      <sheetName val="Employment Industry Type"/>
    </sheetNames>
    <sheetDataSet>
      <sheetData sheetId="0"/>
      <sheetData sheetId="1"/>
      <sheetData sheetId="2"/>
      <sheetData sheetId="3"/>
      <sheetData sheetId="4"/>
      <sheetData sheetId="5"/>
      <sheetData sheetId="6">
        <row r="1">
          <cell r="A1" t="str">
            <v>Afghanistan</v>
          </cell>
        </row>
        <row r="2">
          <cell r="A2" t="str">
            <v xml:space="preserve"> Åland Islands</v>
          </cell>
        </row>
        <row r="3">
          <cell r="A3" t="str">
            <v xml:space="preserve"> Albania</v>
          </cell>
        </row>
        <row r="4">
          <cell r="A4" t="str">
            <v xml:space="preserve"> Algeria</v>
          </cell>
        </row>
        <row r="5">
          <cell r="A5" t="str">
            <v xml:space="preserve"> American Samoa</v>
          </cell>
        </row>
        <row r="6">
          <cell r="A6" t="str">
            <v xml:space="preserve"> Andorra</v>
          </cell>
        </row>
        <row r="7">
          <cell r="A7" t="str">
            <v xml:space="preserve"> Angola</v>
          </cell>
        </row>
        <row r="8">
          <cell r="A8" t="str">
            <v xml:space="preserve"> Anguilla</v>
          </cell>
        </row>
        <row r="9">
          <cell r="A9" t="str">
            <v xml:space="preserve"> Antarctica</v>
          </cell>
        </row>
        <row r="10">
          <cell r="A10" t="str">
            <v xml:space="preserve"> Antigua &amp; Barbuda</v>
          </cell>
        </row>
        <row r="11">
          <cell r="A11" t="str">
            <v xml:space="preserve"> Argentina</v>
          </cell>
        </row>
        <row r="12">
          <cell r="A12" t="str">
            <v xml:space="preserve"> Armenia</v>
          </cell>
        </row>
        <row r="13">
          <cell r="A13" t="str">
            <v xml:space="preserve"> Aruba</v>
          </cell>
        </row>
        <row r="14">
          <cell r="A14" t="str">
            <v xml:space="preserve"> Australia</v>
          </cell>
        </row>
        <row r="15">
          <cell r="A15" t="str">
            <v xml:space="preserve"> Austria</v>
          </cell>
        </row>
        <row r="16">
          <cell r="A16" t="str">
            <v xml:space="preserve"> Azerbaijan</v>
          </cell>
        </row>
        <row r="17">
          <cell r="A17" t="str">
            <v xml:space="preserve"> Bahamas</v>
          </cell>
        </row>
        <row r="18">
          <cell r="A18" t="str">
            <v xml:space="preserve"> Bahrain</v>
          </cell>
        </row>
        <row r="19">
          <cell r="A19" t="str">
            <v xml:space="preserve"> Bangladesh</v>
          </cell>
        </row>
        <row r="20">
          <cell r="A20" t="str">
            <v xml:space="preserve"> Barbados</v>
          </cell>
        </row>
        <row r="21">
          <cell r="A21" t="str">
            <v xml:space="preserve"> Belarus</v>
          </cell>
        </row>
        <row r="22">
          <cell r="A22" t="str">
            <v xml:space="preserve"> Belgium</v>
          </cell>
        </row>
        <row r="23">
          <cell r="A23" t="str">
            <v xml:space="preserve"> Belize</v>
          </cell>
        </row>
        <row r="24">
          <cell r="A24" t="str">
            <v xml:space="preserve"> Benin</v>
          </cell>
        </row>
        <row r="25">
          <cell r="A25" t="str">
            <v xml:space="preserve"> Bermuda</v>
          </cell>
        </row>
        <row r="26">
          <cell r="A26" t="str">
            <v xml:space="preserve"> Bhutan</v>
          </cell>
        </row>
        <row r="27">
          <cell r="A27" t="str">
            <v xml:space="preserve"> Bolivia</v>
          </cell>
        </row>
        <row r="28">
          <cell r="A28" t="str">
            <v xml:space="preserve"> Bosnia &amp; Herzegovina</v>
          </cell>
        </row>
        <row r="29">
          <cell r="A29" t="str">
            <v xml:space="preserve"> Botswana</v>
          </cell>
        </row>
        <row r="30">
          <cell r="A30" t="str">
            <v xml:space="preserve"> Bouvet Island</v>
          </cell>
        </row>
        <row r="31">
          <cell r="A31" t="str">
            <v xml:space="preserve"> Brazil</v>
          </cell>
        </row>
        <row r="32">
          <cell r="A32" t="str">
            <v xml:space="preserve"> British Indian Ocean Territory</v>
          </cell>
        </row>
        <row r="33">
          <cell r="A33" t="str">
            <v xml:space="preserve"> British Virgin Islands</v>
          </cell>
        </row>
        <row r="34">
          <cell r="A34" t="str">
            <v xml:space="preserve"> Brunei</v>
          </cell>
        </row>
        <row r="35">
          <cell r="A35" t="str">
            <v xml:space="preserve"> Bulgaria</v>
          </cell>
        </row>
        <row r="36">
          <cell r="A36" t="str">
            <v xml:space="preserve"> Burkina Faso</v>
          </cell>
        </row>
        <row r="37">
          <cell r="A37" t="str">
            <v xml:space="preserve"> Burundi</v>
          </cell>
        </row>
        <row r="38">
          <cell r="A38" t="str">
            <v xml:space="preserve"> Cambodia</v>
          </cell>
        </row>
        <row r="39">
          <cell r="A39" t="str">
            <v xml:space="preserve"> Cameroon</v>
          </cell>
        </row>
        <row r="40">
          <cell r="A40" t="str">
            <v xml:space="preserve"> Canada</v>
          </cell>
        </row>
        <row r="41">
          <cell r="A41" t="str">
            <v xml:space="preserve"> Cape Verde</v>
          </cell>
        </row>
        <row r="42">
          <cell r="A42" t="str">
            <v xml:space="preserve"> Caribbean Netherlands</v>
          </cell>
        </row>
        <row r="43">
          <cell r="A43" t="str">
            <v xml:space="preserve"> Cayman Islands</v>
          </cell>
        </row>
        <row r="44">
          <cell r="A44" t="str">
            <v xml:space="preserve"> Central African Republic</v>
          </cell>
        </row>
        <row r="45">
          <cell r="A45" t="str">
            <v xml:space="preserve"> Chad</v>
          </cell>
        </row>
        <row r="46">
          <cell r="A46" t="str">
            <v xml:space="preserve"> Chile</v>
          </cell>
        </row>
        <row r="47">
          <cell r="A47" t="str">
            <v xml:space="preserve"> China</v>
          </cell>
        </row>
        <row r="48">
          <cell r="A48" t="str">
            <v xml:space="preserve"> Christmas Island</v>
          </cell>
        </row>
        <row r="49">
          <cell r="A49" t="str">
            <v xml:space="preserve"> Cocos (Keeling) Islands</v>
          </cell>
        </row>
        <row r="50">
          <cell r="A50" t="str">
            <v xml:space="preserve"> Colombia</v>
          </cell>
        </row>
        <row r="51">
          <cell r="A51" t="str">
            <v xml:space="preserve"> Comoros</v>
          </cell>
        </row>
        <row r="52">
          <cell r="A52" t="str">
            <v xml:space="preserve"> Congo - Brazzaville</v>
          </cell>
        </row>
        <row r="53">
          <cell r="A53" t="str">
            <v xml:space="preserve"> Congo - Kinshasa</v>
          </cell>
        </row>
        <row r="54">
          <cell r="A54" t="str">
            <v xml:space="preserve"> Cook Islands</v>
          </cell>
        </row>
        <row r="55">
          <cell r="A55" t="str">
            <v xml:space="preserve"> Costa Rica</v>
          </cell>
        </row>
        <row r="56">
          <cell r="A56" t="str">
            <v xml:space="preserve"> Côte d’Ivoire</v>
          </cell>
        </row>
        <row r="57">
          <cell r="A57" t="str">
            <v xml:space="preserve"> Croatia</v>
          </cell>
        </row>
        <row r="58">
          <cell r="A58" t="str">
            <v xml:space="preserve"> Cuba</v>
          </cell>
        </row>
        <row r="59">
          <cell r="A59" t="str">
            <v xml:space="preserve"> Curaçao</v>
          </cell>
        </row>
        <row r="60">
          <cell r="A60" t="str">
            <v xml:space="preserve"> Cyprus</v>
          </cell>
        </row>
        <row r="61">
          <cell r="A61" t="str">
            <v xml:space="preserve"> Czechia</v>
          </cell>
        </row>
        <row r="62">
          <cell r="A62" t="str">
            <v xml:space="preserve"> Denmark</v>
          </cell>
        </row>
        <row r="63">
          <cell r="A63" t="str">
            <v xml:space="preserve"> Djibouti</v>
          </cell>
        </row>
        <row r="64">
          <cell r="A64" t="str">
            <v xml:space="preserve"> Dominica</v>
          </cell>
        </row>
        <row r="65">
          <cell r="A65" t="str">
            <v xml:space="preserve"> Dominican Republic</v>
          </cell>
        </row>
        <row r="66">
          <cell r="A66" t="str">
            <v xml:space="preserve"> Ecuador</v>
          </cell>
        </row>
        <row r="67">
          <cell r="A67" t="str">
            <v xml:space="preserve"> Egypt</v>
          </cell>
        </row>
        <row r="68">
          <cell r="A68" t="str">
            <v xml:space="preserve"> El Salvador</v>
          </cell>
        </row>
        <row r="69">
          <cell r="A69" t="str">
            <v xml:space="preserve"> Equatorial Guinea</v>
          </cell>
        </row>
        <row r="70">
          <cell r="A70" t="str">
            <v xml:space="preserve"> Eritrea</v>
          </cell>
        </row>
        <row r="71">
          <cell r="A71" t="str">
            <v xml:space="preserve"> Estonia</v>
          </cell>
        </row>
        <row r="72">
          <cell r="A72" t="str">
            <v xml:space="preserve"> Eswatini</v>
          </cell>
        </row>
        <row r="73">
          <cell r="A73" t="str">
            <v xml:space="preserve"> Ethiopia</v>
          </cell>
        </row>
        <row r="74">
          <cell r="A74" t="str">
            <v xml:space="preserve"> European Union</v>
          </cell>
        </row>
        <row r="75">
          <cell r="A75" t="str">
            <v xml:space="preserve"> Falkland Islands</v>
          </cell>
        </row>
        <row r="76">
          <cell r="A76" t="str">
            <v xml:space="preserve"> Faroe Islands</v>
          </cell>
        </row>
        <row r="77">
          <cell r="A77" t="str">
            <v xml:space="preserve"> Fiji</v>
          </cell>
        </row>
        <row r="78">
          <cell r="A78" t="str">
            <v xml:space="preserve"> Finland</v>
          </cell>
        </row>
        <row r="79">
          <cell r="A79" t="str">
            <v xml:space="preserve"> France</v>
          </cell>
        </row>
        <row r="80">
          <cell r="A80" t="str">
            <v xml:space="preserve"> French Guiana</v>
          </cell>
        </row>
        <row r="81">
          <cell r="A81" t="str">
            <v xml:space="preserve"> French Polynesia</v>
          </cell>
        </row>
        <row r="82">
          <cell r="A82" t="str">
            <v xml:space="preserve"> French Southern Territories</v>
          </cell>
        </row>
        <row r="83">
          <cell r="A83" t="str">
            <v xml:space="preserve"> Gabon</v>
          </cell>
        </row>
        <row r="84">
          <cell r="A84" t="str">
            <v xml:space="preserve"> Gambia</v>
          </cell>
        </row>
        <row r="85">
          <cell r="A85" t="str">
            <v xml:space="preserve"> Georgia</v>
          </cell>
        </row>
        <row r="86">
          <cell r="A86" t="str">
            <v xml:space="preserve"> Germany</v>
          </cell>
        </row>
        <row r="87">
          <cell r="A87" t="str">
            <v xml:space="preserve"> Ghana</v>
          </cell>
        </row>
        <row r="88">
          <cell r="A88" t="str">
            <v xml:space="preserve"> Gibraltar</v>
          </cell>
        </row>
        <row r="89">
          <cell r="A89" t="str">
            <v xml:space="preserve"> Greece</v>
          </cell>
        </row>
        <row r="90">
          <cell r="A90" t="str">
            <v xml:space="preserve"> Greenland</v>
          </cell>
        </row>
        <row r="91">
          <cell r="A91" t="str">
            <v xml:space="preserve"> Grenada</v>
          </cell>
        </row>
        <row r="92">
          <cell r="A92" t="str">
            <v xml:space="preserve"> Guadeloupe</v>
          </cell>
        </row>
        <row r="93">
          <cell r="A93" t="str">
            <v xml:space="preserve"> Guam</v>
          </cell>
        </row>
        <row r="94">
          <cell r="A94" t="str">
            <v xml:space="preserve"> Guatemala</v>
          </cell>
        </row>
        <row r="95">
          <cell r="A95" t="str">
            <v xml:space="preserve"> Guernsey</v>
          </cell>
        </row>
        <row r="96">
          <cell r="A96" t="str">
            <v xml:space="preserve"> Guinea</v>
          </cell>
        </row>
        <row r="97">
          <cell r="A97" t="str">
            <v xml:space="preserve"> Guinea-Bissau</v>
          </cell>
        </row>
        <row r="98">
          <cell r="A98" t="str">
            <v xml:space="preserve"> Guyana</v>
          </cell>
        </row>
        <row r="99">
          <cell r="A99" t="str">
            <v xml:space="preserve"> Haiti</v>
          </cell>
        </row>
        <row r="100">
          <cell r="A100" t="str">
            <v xml:space="preserve"> Heard &amp; McDonald Islands</v>
          </cell>
        </row>
        <row r="101">
          <cell r="A101" t="str">
            <v xml:space="preserve"> Honduras</v>
          </cell>
        </row>
        <row r="102">
          <cell r="A102" t="str">
            <v xml:space="preserve"> Hong Kong SAR China</v>
          </cell>
        </row>
        <row r="103">
          <cell r="A103" t="str">
            <v xml:space="preserve"> Hungary</v>
          </cell>
        </row>
        <row r="104">
          <cell r="A104" t="str">
            <v xml:space="preserve"> Iceland</v>
          </cell>
        </row>
        <row r="105">
          <cell r="A105" t="str">
            <v xml:space="preserve"> India</v>
          </cell>
        </row>
        <row r="106">
          <cell r="A106" t="str">
            <v xml:space="preserve"> Indonesia</v>
          </cell>
        </row>
        <row r="107">
          <cell r="A107" t="str">
            <v xml:space="preserve"> Iran</v>
          </cell>
        </row>
        <row r="108">
          <cell r="A108" t="str">
            <v xml:space="preserve"> Iraq</v>
          </cell>
        </row>
        <row r="109">
          <cell r="A109" t="str">
            <v xml:space="preserve"> Ireland</v>
          </cell>
        </row>
        <row r="110">
          <cell r="A110" t="str">
            <v xml:space="preserve"> Isle of Man</v>
          </cell>
        </row>
        <row r="111">
          <cell r="A111" t="str">
            <v xml:space="preserve"> Israel</v>
          </cell>
        </row>
        <row r="112">
          <cell r="A112" t="str">
            <v xml:space="preserve"> Italy</v>
          </cell>
        </row>
        <row r="113">
          <cell r="A113" t="str">
            <v xml:space="preserve"> Jamaica</v>
          </cell>
        </row>
        <row r="114">
          <cell r="A114" t="str">
            <v xml:space="preserve"> Japan</v>
          </cell>
        </row>
        <row r="115">
          <cell r="A115" t="str">
            <v xml:space="preserve"> Jersey</v>
          </cell>
        </row>
        <row r="116">
          <cell r="A116" t="str">
            <v xml:space="preserve"> Jordan</v>
          </cell>
        </row>
        <row r="117">
          <cell r="A117" t="str">
            <v xml:space="preserve"> Kazakhstan</v>
          </cell>
        </row>
        <row r="118">
          <cell r="A118" t="str">
            <v xml:space="preserve"> Kenya</v>
          </cell>
        </row>
        <row r="119">
          <cell r="A119" t="str">
            <v xml:space="preserve"> Kiribati</v>
          </cell>
        </row>
        <row r="120">
          <cell r="A120" t="str">
            <v xml:space="preserve"> Kosovo</v>
          </cell>
        </row>
        <row r="121">
          <cell r="A121" t="str">
            <v xml:space="preserve"> Kuwait</v>
          </cell>
        </row>
        <row r="122">
          <cell r="A122" t="str">
            <v xml:space="preserve"> Kyrgyzstan</v>
          </cell>
        </row>
        <row r="123">
          <cell r="A123" t="str">
            <v xml:space="preserve"> Laos</v>
          </cell>
        </row>
        <row r="124">
          <cell r="A124" t="str">
            <v xml:space="preserve"> Latvia</v>
          </cell>
        </row>
        <row r="125">
          <cell r="A125" t="str">
            <v xml:space="preserve"> Lebanon</v>
          </cell>
        </row>
        <row r="126">
          <cell r="A126" t="str">
            <v xml:space="preserve"> Lesotho</v>
          </cell>
        </row>
        <row r="127">
          <cell r="A127" t="str">
            <v xml:space="preserve"> Liberia</v>
          </cell>
        </row>
        <row r="128">
          <cell r="A128" t="str">
            <v xml:space="preserve"> Libya</v>
          </cell>
        </row>
        <row r="129">
          <cell r="A129" t="str">
            <v xml:space="preserve"> Liechtenstein</v>
          </cell>
        </row>
        <row r="130">
          <cell r="A130" t="str">
            <v xml:space="preserve"> Lithuania</v>
          </cell>
        </row>
        <row r="131">
          <cell r="A131" t="str">
            <v xml:space="preserve"> Luxembourg</v>
          </cell>
        </row>
        <row r="132">
          <cell r="A132" t="str">
            <v xml:space="preserve"> Macao SAR China</v>
          </cell>
        </row>
        <row r="133">
          <cell r="A133" t="str">
            <v xml:space="preserve"> Madagascar</v>
          </cell>
        </row>
        <row r="134">
          <cell r="A134" t="str">
            <v xml:space="preserve"> Malawi</v>
          </cell>
        </row>
        <row r="135">
          <cell r="A135" t="str">
            <v xml:space="preserve"> Malaysia</v>
          </cell>
        </row>
        <row r="136">
          <cell r="A136" t="str">
            <v xml:space="preserve"> Maldives</v>
          </cell>
        </row>
        <row r="137">
          <cell r="A137" t="str">
            <v xml:space="preserve"> Mali</v>
          </cell>
        </row>
        <row r="138">
          <cell r="A138" t="str">
            <v xml:space="preserve"> Malta</v>
          </cell>
        </row>
        <row r="139">
          <cell r="A139" t="str">
            <v xml:space="preserve"> Marshall Islands</v>
          </cell>
        </row>
        <row r="140">
          <cell r="A140" t="str">
            <v xml:space="preserve"> Martinique</v>
          </cell>
        </row>
        <row r="141">
          <cell r="A141" t="str">
            <v xml:space="preserve"> Mauritania</v>
          </cell>
        </row>
        <row r="142">
          <cell r="A142" t="str">
            <v xml:space="preserve"> Mauritius</v>
          </cell>
        </row>
        <row r="143">
          <cell r="A143" t="str">
            <v xml:space="preserve"> Mayotte</v>
          </cell>
        </row>
        <row r="144">
          <cell r="A144" t="str">
            <v xml:space="preserve"> Mexico</v>
          </cell>
        </row>
        <row r="145">
          <cell r="A145" t="str">
            <v xml:space="preserve"> Micronesia</v>
          </cell>
        </row>
        <row r="146">
          <cell r="A146" t="str">
            <v xml:space="preserve"> Moldova</v>
          </cell>
        </row>
        <row r="147">
          <cell r="A147" t="str">
            <v xml:space="preserve"> Monaco</v>
          </cell>
        </row>
        <row r="148">
          <cell r="A148" t="str">
            <v xml:space="preserve"> Mongolia</v>
          </cell>
        </row>
        <row r="149">
          <cell r="A149" t="str">
            <v xml:space="preserve"> Montenegro</v>
          </cell>
        </row>
        <row r="150">
          <cell r="A150" t="str">
            <v xml:space="preserve"> Montserrat</v>
          </cell>
        </row>
        <row r="151">
          <cell r="A151" t="str">
            <v xml:space="preserve"> Morocco</v>
          </cell>
        </row>
        <row r="152">
          <cell r="A152" t="str">
            <v xml:space="preserve"> Mozambique</v>
          </cell>
        </row>
        <row r="153">
          <cell r="A153" t="str">
            <v xml:space="preserve"> Myanmar (Burma)</v>
          </cell>
        </row>
        <row r="154">
          <cell r="A154" t="str">
            <v xml:space="preserve"> Namibia</v>
          </cell>
        </row>
        <row r="155">
          <cell r="A155" t="str">
            <v xml:space="preserve"> Nauru</v>
          </cell>
        </row>
        <row r="156">
          <cell r="A156" t="str">
            <v xml:space="preserve"> Nepal</v>
          </cell>
        </row>
        <row r="157">
          <cell r="A157" t="str">
            <v xml:space="preserve"> Netherlands</v>
          </cell>
        </row>
        <row r="158">
          <cell r="A158" t="str">
            <v xml:space="preserve"> New Caledonia</v>
          </cell>
        </row>
        <row r="159">
          <cell r="A159" t="str">
            <v xml:space="preserve"> New Zealand</v>
          </cell>
        </row>
        <row r="160">
          <cell r="A160" t="str">
            <v xml:space="preserve"> Nicaragua</v>
          </cell>
        </row>
        <row r="161">
          <cell r="A161" t="str">
            <v xml:space="preserve"> Niger</v>
          </cell>
        </row>
        <row r="162">
          <cell r="A162" t="str">
            <v xml:space="preserve"> Nigeria</v>
          </cell>
        </row>
        <row r="163">
          <cell r="A163" t="str">
            <v xml:space="preserve"> Niue</v>
          </cell>
        </row>
        <row r="164">
          <cell r="A164" t="str">
            <v xml:space="preserve"> Norfolk Island</v>
          </cell>
        </row>
        <row r="165">
          <cell r="A165" t="str">
            <v xml:space="preserve"> North Korea</v>
          </cell>
        </row>
        <row r="166">
          <cell r="A166" t="str">
            <v xml:space="preserve"> North Macedonia</v>
          </cell>
        </row>
        <row r="167">
          <cell r="A167" t="str">
            <v xml:space="preserve"> Northern Ireland</v>
          </cell>
        </row>
        <row r="168">
          <cell r="A168" t="str">
            <v xml:space="preserve"> Northern Mariana Islands</v>
          </cell>
        </row>
        <row r="169">
          <cell r="A169" t="str">
            <v xml:space="preserve"> Norway</v>
          </cell>
        </row>
        <row r="170">
          <cell r="A170" t="str">
            <v xml:space="preserve"> Oman</v>
          </cell>
        </row>
        <row r="171">
          <cell r="A171" t="str">
            <v xml:space="preserve"> Outlying Oceania</v>
          </cell>
        </row>
        <row r="172">
          <cell r="A172" t="str">
            <v xml:space="preserve"> Pakistan</v>
          </cell>
        </row>
        <row r="173">
          <cell r="A173" t="str">
            <v xml:space="preserve"> Palau</v>
          </cell>
        </row>
        <row r="174">
          <cell r="A174" t="str">
            <v xml:space="preserve"> Palestinian Territories</v>
          </cell>
        </row>
        <row r="175">
          <cell r="A175" t="str">
            <v xml:space="preserve"> Panama</v>
          </cell>
        </row>
        <row r="176">
          <cell r="A176" t="str">
            <v xml:space="preserve"> Papua New Guinea</v>
          </cell>
        </row>
        <row r="177">
          <cell r="A177" t="str">
            <v xml:space="preserve"> Paraguay</v>
          </cell>
        </row>
        <row r="178">
          <cell r="A178" t="str">
            <v xml:space="preserve"> Peru</v>
          </cell>
        </row>
        <row r="179">
          <cell r="A179" t="str">
            <v xml:space="preserve"> Philippines</v>
          </cell>
        </row>
        <row r="180">
          <cell r="A180" t="str">
            <v xml:space="preserve"> Pitcairn Islands</v>
          </cell>
        </row>
        <row r="181">
          <cell r="A181" t="str">
            <v xml:space="preserve"> Poland</v>
          </cell>
        </row>
        <row r="182">
          <cell r="A182" t="str">
            <v xml:space="preserve"> Portugal</v>
          </cell>
        </row>
        <row r="183">
          <cell r="A183" t="str">
            <v xml:space="preserve"> Puerto Rico</v>
          </cell>
        </row>
        <row r="184">
          <cell r="A184" t="str">
            <v xml:space="preserve"> Qatar</v>
          </cell>
        </row>
        <row r="185">
          <cell r="A185" t="str">
            <v xml:space="preserve"> Réunion</v>
          </cell>
        </row>
        <row r="186">
          <cell r="A186" t="str">
            <v xml:space="preserve"> Romania</v>
          </cell>
        </row>
        <row r="187">
          <cell r="A187" t="str">
            <v xml:space="preserve"> Russia</v>
          </cell>
        </row>
        <row r="188">
          <cell r="A188" t="str">
            <v xml:space="preserve"> Rwanda</v>
          </cell>
        </row>
        <row r="189">
          <cell r="A189" t="str">
            <v xml:space="preserve"> Samoa</v>
          </cell>
        </row>
        <row r="190">
          <cell r="A190" t="str">
            <v xml:space="preserve"> San Marino</v>
          </cell>
        </row>
        <row r="191">
          <cell r="A191" t="str">
            <v xml:space="preserve"> São Tomé &amp; Príncipe</v>
          </cell>
        </row>
        <row r="192">
          <cell r="A192" t="str">
            <v xml:space="preserve"> Saudi Arabia</v>
          </cell>
        </row>
        <row r="193">
          <cell r="A193" t="str">
            <v xml:space="preserve"> Senegal</v>
          </cell>
        </row>
        <row r="194">
          <cell r="A194" t="str">
            <v xml:space="preserve"> Serbia</v>
          </cell>
        </row>
        <row r="195">
          <cell r="A195" t="str">
            <v xml:space="preserve"> Seychelles</v>
          </cell>
        </row>
        <row r="196">
          <cell r="A196" t="str">
            <v xml:space="preserve"> Sierra Leone</v>
          </cell>
        </row>
        <row r="197">
          <cell r="A197" t="str">
            <v xml:space="preserve"> Singapore</v>
          </cell>
        </row>
        <row r="198">
          <cell r="A198" t="str">
            <v xml:space="preserve"> Sint Maarten</v>
          </cell>
        </row>
        <row r="199">
          <cell r="A199" t="str">
            <v xml:space="preserve"> Slovakia</v>
          </cell>
        </row>
        <row r="200">
          <cell r="A200" t="str">
            <v xml:space="preserve"> Slovenia</v>
          </cell>
        </row>
        <row r="201">
          <cell r="A201" t="str">
            <v xml:space="preserve"> Solomon Islands</v>
          </cell>
        </row>
        <row r="202">
          <cell r="A202" t="str">
            <v xml:space="preserve"> Somalia</v>
          </cell>
        </row>
        <row r="203">
          <cell r="A203" t="str">
            <v xml:space="preserve"> South Africa</v>
          </cell>
        </row>
        <row r="204">
          <cell r="A204" t="str">
            <v xml:space="preserve"> South Georgia &amp; South Sandwich Islands</v>
          </cell>
        </row>
        <row r="205">
          <cell r="A205" t="str">
            <v xml:space="preserve"> South Korea</v>
          </cell>
        </row>
        <row r="206">
          <cell r="A206" t="str">
            <v xml:space="preserve"> South Sudan</v>
          </cell>
        </row>
        <row r="207">
          <cell r="A207" t="str">
            <v xml:space="preserve"> Spain</v>
          </cell>
        </row>
        <row r="208">
          <cell r="A208" t="str">
            <v xml:space="preserve"> Sri Lanka</v>
          </cell>
        </row>
        <row r="209">
          <cell r="A209" t="str">
            <v xml:space="preserve"> St. Barthélemy</v>
          </cell>
        </row>
        <row r="210">
          <cell r="A210" t="str">
            <v xml:space="preserve"> St. Helena</v>
          </cell>
        </row>
        <row r="211">
          <cell r="A211" t="str">
            <v xml:space="preserve"> St. Kitts &amp; Nevis</v>
          </cell>
        </row>
        <row r="212">
          <cell r="A212" t="str">
            <v xml:space="preserve"> St. Lucia</v>
          </cell>
        </row>
        <row r="213">
          <cell r="A213" t="str">
            <v xml:space="preserve"> St. Martin</v>
          </cell>
        </row>
        <row r="214">
          <cell r="A214" t="str">
            <v xml:space="preserve"> St. Pierre &amp; Miquelon</v>
          </cell>
        </row>
        <row r="215">
          <cell r="A215" t="str">
            <v xml:space="preserve"> St. Vincent &amp; Grenadines</v>
          </cell>
        </row>
        <row r="216">
          <cell r="A216" t="str">
            <v xml:space="preserve"> Sudan</v>
          </cell>
        </row>
        <row r="217">
          <cell r="A217" t="str">
            <v xml:space="preserve"> Suriname</v>
          </cell>
        </row>
        <row r="218">
          <cell r="A218" t="str">
            <v xml:space="preserve"> Svalbard &amp; Jan Mayen</v>
          </cell>
        </row>
        <row r="219">
          <cell r="A219" t="str">
            <v xml:space="preserve"> Sweden</v>
          </cell>
        </row>
        <row r="220">
          <cell r="A220" t="str">
            <v xml:space="preserve"> Switzerland</v>
          </cell>
        </row>
        <row r="221">
          <cell r="A221" t="str">
            <v xml:space="preserve"> Syria</v>
          </cell>
        </row>
        <row r="222">
          <cell r="A222" t="str">
            <v xml:space="preserve"> Taiwan</v>
          </cell>
        </row>
        <row r="223">
          <cell r="A223" t="str">
            <v xml:space="preserve"> Tajikistan</v>
          </cell>
        </row>
        <row r="224">
          <cell r="A224" t="str">
            <v xml:space="preserve"> Tanzania</v>
          </cell>
        </row>
        <row r="225">
          <cell r="A225" t="str">
            <v xml:space="preserve"> Thailand</v>
          </cell>
        </row>
        <row r="226">
          <cell r="A226" t="str">
            <v xml:space="preserve"> Timor-Leste</v>
          </cell>
        </row>
        <row r="227">
          <cell r="A227" t="str">
            <v xml:space="preserve"> Togo</v>
          </cell>
        </row>
        <row r="228">
          <cell r="A228" t="str">
            <v xml:space="preserve"> Tokelau</v>
          </cell>
        </row>
        <row r="229">
          <cell r="A229" t="str">
            <v xml:space="preserve"> Tonga</v>
          </cell>
        </row>
        <row r="230">
          <cell r="A230" t="str">
            <v xml:space="preserve"> Trinidad &amp; Tobago</v>
          </cell>
        </row>
        <row r="231">
          <cell r="A231" t="str">
            <v xml:space="preserve"> Tunisia</v>
          </cell>
        </row>
        <row r="232">
          <cell r="A232" t="str">
            <v xml:space="preserve"> Turkey</v>
          </cell>
        </row>
        <row r="233">
          <cell r="A233" t="str">
            <v xml:space="preserve"> Turkmenistan</v>
          </cell>
        </row>
        <row r="234">
          <cell r="A234" t="str">
            <v xml:space="preserve"> Turks &amp; Caicos Islands</v>
          </cell>
        </row>
        <row r="235">
          <cell r="A235" t="str">
            <v xml:space="preserve"> Tuvalu</v>
          </cell>
        </row>
        <row r="236">
          <cell r="A236" t="str">
            <v xml:space="preserve"> U.S. Outlying Islands</v>
          </cell>
        </row>
        <row r="237">
          <cell r="A237" t="str">
            <v xml:space="preserve"> U.S. Virgin Islands</v>
          </cell>
        </row>
        <row r="238">
          <cell r="A238" t="str">
            <v xml:space="preserve"> Uganda</v>
          </cell>
        </row>
        <row r="239">
          <cell r="A239" t="str">
            <v xml:space="preserve"> Ukraine</v>
          </cell>
        </row>
        <row r="240">
          <cell r="A240" t="str">
            <v xml:space="preserve"> United Arab Emirates</v>
          </cell>
        </row>
        <row r="241">
          <cell r="A241" t="str">
            <v xml:space="preserve"> United Kingdom</v>
          </cell>
        </row>
        <row r="242">
          <cell r="A242" t="str">
            <v xml:space="preserve"> United States</v>
          </cell>
        </row>
        <row r="243">
          <cell r="A243" t="str">
            <v xml:space="preserve"> Uruguay</v>
          </cell>
        </row>
        <row r="244">
          <cell r="A244" t="str">
            <v xml:space="preserve"> Uzbekistan</v>
          </cell>
        </row>
        <row r="245">
          <cell r="A245" t="str">
            <v xml:space="preserve"> Vanuatu</v>
          </cell>
        </row>
        <row r="246">
          <cell r="A246" t="str">
            <v xml:space="preserve"> Vatican City</v>
          </cell>
        </row>
        <row r="247">
          <cell r="A247" t="str">
            <v xml:space="preserve"> Venezuela</v>
          </cell>
        </row>
        <row r="248">
          <cell r="A248" t="str">
            <v xml:space="preserve"> Vietnam</v>
          </cell>
        </row>
        <row r="249">
          <cell r="A249" t="str">
            <v xml:space="preserve"> Wallis &amp; Futuna</v>
          </cell>
        </row>
        <row r="250">
          <cell r="A250" t="str">
            <v xml:space="preserve"> Western Sahara</v>
          </cell>
        </row>
        <row r="251">
          <cell r="A251" t="str">
            <v xml:space="preserve"> Yemen</v>
          </cell>
        </row>
        <row r="252">
          <cell r="A252" t="str">
            <v xml:space="preserve"> Zambia</v>
          </cell>
        </row>
        <row r="253">
          <cell r="A253" t="str">
            <v xml:space="preserve"> Zimbabwe</v>
          </cell>
        </row>
      </sheetData>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8B874B-8D69-4D6F-A3D5-DF241D1F7776}" name="Table_53" displayName="Table_53" ref="B12:E12" headerRowCount="0" headerRowDxfId="36" dataDxfId="35" totalsRowDxfId="34">
  <tableColumns count="4">
    <tableColumn id="1" xr3:uid="{E043646A-B0B6-44C6-AF9F-B3B31DBA6F39}" name="Column1" dataDxfId="33" dataCellStyle="Hyperlink"/>
    <tableColumn id="2" xr3:uid="{124946E0-531E-4FB2-88B1-6DA976E97478}" name="Column2" dataDxfId="32"/>
    <tableColumn id="3" xr3:uid="{911DC812-D173-4F3D-A1DF-221C36FC79D6}" name="Column3" dataDxfId="31"/>
    <tableColumn id="4" xr3:uid="{3D93BD7F-6030-49FD-9CAB-AC75F696BCAD}" name="Column4" headerRowDxfId="30" dataDxfId="29" totalsRowDxfId="28"/>
  </tableColumns>
  <tableStyleInfo name="Health_Report_UA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F13B3B6-C2B6-452D-8E52-699B4F989D39}" name="Table_611" displayName="Table_611" ref="A32:T51" headerRowCount="0" headerRowDxfId="27" dataDxfId="26" totalsRowDxfId="25">
  <tableColumns count="20">
    <tableColumn id="1" xr3:uid="{818364D7-4C73-41E4-AFC9-222440686DFC}" name="Column1" dataDxfId="24"/>
    <tableColumn id="2" xr3:uid="{7C435DCC-6885-4732-9B68-BE93CCA04BE1}" name="Column2" dataDxfId="23"/>
    <tableColumn id="3" xr3:uid="{72CAADF0-BA94-412E-9248-F14E96035E87}" name="Column3" dataDxfId="22"/>
    <tableColumn id="4" xr3:uid="{BD736555-6C81-42FF-9966-C09999CC4096}" name="Column4" dataDxfId="21"/>
    <tableColumn id="9" xr3:uid="{58F8FADB-DF1E-45C7-A172-57DCA9CB2400}" name="Column9" dataDxfId="20"/>
    <tableColumn id="5" xr3:uid="{E2D2F1FB-A1DB-40A2-BB69-06824B016AA2}" name="Column5" dataDxfId="19"/>
    <tableColumn id="6" xr3:uid="{EF987ADD-B974-4A2D-B628-82DED536F5D2}" name="Column6" dataDxfId="18"/>
    <tableColumn id="7" xr3:uid="{A9EAF285-B4E5-4FF1-ADE7-6C69FFB5339B}" name="Column7" dataDxfId="17"/>
    <tableColumn id="8" xr3:uid="{BB9185A2-3C91-440D-ABB7-59AA77B2B03F}" name="Column8" dataDxfId="16"/>
    <tableColumn id="10" xr3:uid="{C657C399-9ABD-4219-9C13-E081EA52F0B4}" name="Column10" dataDxfId="15"/>
    <tableColumn id="11" xr3:uid="{0355EE82-1E6F-4D06-99B6-0E88BB99F127}" name="Column11" dataDxfId="14"/>
    <tableColumn id="12" xr3:uid="{6242FDB9-DED4-4AD9-A71F-13F467DBC4BA}" name="Column12" dataDxfId="13"/>
    <tableColumn id="13" xr3:uid="{62C89C6C-F0A9-4E98-A860-72F6D933D17C}" name="Column13" dataDxfId="12"/>
    <tableColumn id="14" xr3:uid="{81585F3E-094F-4C87-94A3-894EA375C4FF}" name="Column14" dataDxfId="11"/>
    <tableColumn id="15" xr3:uid="{23DD705E-76C4-40A2-BB7F-B6B046128004}" name="Column15" dataDxfId="10"/>
    <tableColumn id="16" xr3:uid="{68BB0580-C9C4-4A68-AD14-9ED267BF5A54}" name="Column16" dataDxfId="9"/>
    <tableColumn id="17" xr3:uid="{1BDD2199-3D73-4EAA-9718-BD8D6EED6386}" name="Column17" dataDxfId="8"/>
    <tableColumn id="18" xr3:uid="{DC62346C-DE16-44C6-BE74-9AEF32FCF293}" name="Column18" dataDxfId="7"/>
    <tableColumn id="19" xr3:uid="{82D87661-63AE-42F2-AA74-EB344AE2DF7D}" name="Column19" dataDxfId="6"/>
    <tableColumn id="20" xr3:uid="{72FCFF3C-200B-4490-8890-65153D098CC5}" name="Column20" dataDxfId="5"/>
  </tableColumns>
  <tableStyleInfo name="Health_Report_UAT-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mailto:PreProd-TestUser9@mailinator.com" TargetMode="External"/><Relationship Id="rId21" Type="http://schemas.openxmlformats.org/officeDocument/2006/relationships/hyperlink" Target="mailto:PreProd-TestUser6@mailinator.com" TargetMode="External"/><Relationship Id="rId42" Type="http://schemas.openxmlformats.org/officeDocument/2006/relationships/hyperlink" Target="mailto:PreProd-TestUser6@mailinator.com" TargetMode="External"/><Relationship Id="rId47" Type="http://schemas.openxmlformats.org/officeDocument/2006/relationships/hyperlink" Target="mailto:Perf-Test-User-10148@mailinator.com" TargetMode="External"/><Relationship Id="rId63" Type="http://schemas.openxmlformats.org/officeDocument/2006/relationships/hyperlink" Target="mailto:RebrandAutomationUser91@mailinator.com" TargetMode="External"/><Relationship Id="rId68" Type="http://schemas.openxmlformats.org/officeDocument/2006/relationships/hyperlink" Target="mailto:PreProd-TestUser6@mailinator.com" TargetMode="External"/><Relationship Id="rId84" Type="http://schemas.openxmlformats.org/officeDocument/2006/relationships/hyperlink" Target="mailto:Perf-Test-User-10133@mailinator.com" TargetMode="External"/><Relationship Id="rId89" Type="http://schemas.openxmlformats.org/officeDocument/2006/relationships/hyperlink" Target="mailto:PPAddIban5@mailinator.com" TargetMode="External"/><Relationship Id="rId16" Type="http://schemas.openxmlformats.org/officeDocument/2006/relationships/hyperlink" Target="mailto:PreProd-TestUser6@mailinator.com" TargetMode="External"/><Relationship Id="rId11" Type="http://schemas.openxmlformats.org/officeDocument/2006/relationships/hyperlink" Target="mailto:PreProd-TestUser6@mailinator.com" TargetMode="External"/><Relationship Id="rId32" Type="http://schemas.openxmlformats.org/officeDocument/2006/relationships/hyperlink" Target="mailto:PreProd-TestUser5@mailinator.com" TargetMode="External"/><Relationship Id="rId37" Type="http://schemas.openxmlformats.org/officeDocument/2006/relationships/hyperlink" Target="mailto:RebrandAutomationUser7@mailinator.com" TargetMode="External"/><Relationship Id="rId53" Type="http://schemas.openxmlformats.org/officeDocument/2006/relationships/hyperlink" Target="mailto:Perf-Test-User-10297@mailinator.com" TargetMode="External"/><Relationship Id="rId58" Type="http://schemas.openxmlformats.org/officeDocument/2006/relationships/hyperlink" Target="mailto:PreProd-TestUser6@mailinator.com" TargetMode="External"/><Relationship Id="rId74" Type="http://schemas.openxmlformats.org/officeDocument/2006/relationships/hyperlink" Target="mailto:RebrandAutomationUser5@mailinator.com" TargetMode="External"/><Relationship Id="rId79" Type="http://schemas.openxmlformats.org/officeDocument/2006/relationships/hyperlink" Target="mailto:Perf-Test-User-10133@mailinator.com" TargetMode="External"/><Relationship Id="rId5" Type="http://schemas.openxmlformats.org/officeDocument/2006/relationships/hyperlink" Target="mailto:Perf-Test-User-10242@mailinator.com" TargetMode="External"/><Relationship Id="rId90" Type="http://schemas.openxmlformats.org/officeDocument/2006/relationships/hyperlink" Target="mailto:PPAddIban8@mailinator.com" TargetMode="External"/><Relationship Id="rId95" Type="http://schemas.openxmlformats.org/officeDocument/2006/relationships/hyperlink" Target="mailto:PreProd-TestUser8@mailinator.com" TargetMode="External"/><Relationship Id="rId22" Type="http://schemas.openxmlformats.org/officeDocument/2006/relationships/hyperlink" Target="mailto:PreProd-TestUser6@mailinator.com" TargetMode="External"/><Relationship Id="rId27" Type="http://schemas.openxmlformats.org/officeDocument/2006/relationships/hyperlink" Target="mailto:PreProd-ECRUser2@mailinator.com" TargetMode="External"/><Relationship Id="rId43" Type="http://schemas.openxmlformats.org/officeDocument/2006/relationships/hyperlink" Target="mailto:PreProd-TestUser6@mailinator.com" TargetMode="External"/><Relationship Id="rId48" Type="http://schemas.openxmlformats.org/officeDocument/2006/relationships/hyperlink" Target="mailto:Perf-Test-User-10148@mailinator.com" TargetMode="External"/><Relationship Id="rId64" Type="http://schemas.openxmlformats.org/officeDocument/2006/relationships/hyperlink" Target="mailto:RebrandAutomationUser91@mailinator.com" TargetMode="External"/><Relationship Id="rId69" Type="http://schemas.openxmlformats.org/officeDocument/2006/relationships/hyperlink" Target="mailto:PreProd-TestUser6@mailinator.com" TargetMode="External"/><Relationship Id="rId80" Type="http://schemas.openxmlformats.org/officeDocument/2006/relationships/hyperlink" Target="mailto:Perf-Test-User-9962@mailinator.com" TargetMode="External"/><Relationship Id="rId85" Type="http://schemas.openxmlformats.org/officeDocument/2006/relationships/hyperlink" Target="mailto:PPAddIban1@mailinator.com" TargetMode="External"/><Relationship Id="rId12" Type="http://schemas.openxmlformats.org/officeDocument/2006/relationships/hyperlink" Target="mailto:Perf-Test-User-10285@mailinator.com" TargetMode="External"/><Relationship Id="rId17" Type="http://schemas.openxmlformats.org/officeDocument/2006/relationships/hyperlink" Target="mailto:PreProd-TestUser8@mailinator.com" TargetMode="External"/><Relationship Id="rId25" Type="http://schemas.openxmlformats.org/officeDocument/2006/relationships/hyperlink" Target="mailto:PreProd-ECRUser2@mailinator.com" TargetMode="External"/><Relationship Id="rId33" Type="http://schemas.openxmlformats.org/officeDocument/2006/relationships/hyperlink" Target="mailto:RebrandAutomationUser1@mailinator.com" TargetMode="External"/><Relationship Id="rId38" Type="http://schemas.openxmlformats.org/officeDocument/2006/relationships/hyperlink" Target="mailto:Perf-Test-User-10247@mailinator.com" TargetMode="External"/><Relationship Id="rId46" Type="http://schemas.openxmlformats.org/officeDocument/2006/relationships/hyperlink" Target="mailto:Perf-Test-User-10285@mailinator.com" TargetMode="External"/><Relationship Id="rId59" Type="http://schemas.openxmlformats.org/officeDocument/2006/relationships/hyperlink" Target="mailto:PreProd-TestUser6@mailinator.com" TargetMode="External"/><Relationship Id="rId67" Type="http://schemas.openxmlformats.org/officeDocument/2006/relationships/hyperlink" Target="mailto:PreProd-TestUser6@mailinator.com" TargetMode="External"/><Relationship Id="rId20" Type="http://schemas.openxmlformats.org/officeDocument/2006/relationships/hyperlink" Target="mailto:PreProd-TestUser6@mailinator.com" TargetMode="External"/><Relationship Id="rId41" Type="http://schemas.openxmlformats.org/officeDocument/2006/relationships/hyperlink" Target="mailto:PreProd-TestUser6@mailinator.com" TargetMode="External"/><Relationship Id="rId54" Type="http://schemas.openxmlformats.org/officeDocument/2006/relationships/hyperlink" Target="mailto:PreProd-TestUser6@mailinator.com" TargetMode="External"/><Relationship Id="rId62" Type="http://schemas.openxmlformats.org/officeDocument/2006/relationships/hyperlink" Target="mailto:PreProd-TestUser6@mailinator.com" TargetMode="External"/><Relationship Id="rId70" Type="http://schemas.openxmlformats.org/officeDocument/2006/relationships/hyperlink" Target="mailto:PreProd-TestUser6@mailinator.com" TargetMode="External"/><Relationship Id="rId75" Type="http://schemas.openxmlformats.org/officeDocument/2006/relationships/hyperlink" Target="mailto:PREPROD-Test-User14@mailinator.com" TargetMode="External"/><Relationship Id="rId83" Type="http://schemas.openxmlformats.org/officeDocument/2006/relationships/hyperlink" Target="mailto:RebrandAutomationUser12c@mailinator.com" TargetMode="External"/><Relationship Id="rId88" Type="http://schemas.openxmlformats.org/officeDocument/2006/relationships/hyperlink" Target="mailto:PPAddIban1@mailinator.com" TargetMode="External"/><Relationship Id="rId91" Type="http://schemas.openxmlformats.org/officeDocument/2006/relationships/hyperlink" Target="mailto:PPAddIban10@mailinator.com" TargetMode="External"/><Relationship Id="rId96" Type="http://schemas.openxmlformats.org/officeDocument/2006/relationships/hyperlink" Target="mailto:PreProd-TestUser6@mailinator.com" TargetMode="External"/><Relationship Id="rId1" Type="http://schemas.openxmlformats.org/officeDocument/2006/relationships/hyperlink" Target="mailto:Perf-Test-User-9917@mailinator.com" TargetMode="External"/><Relationship Id="rId6" Type="http://schemas.openxmlformats.org/officeDocument/2006/relationships/hyperlink" Target="mailto:Perf-Test-User-9986@mailinator.com" TargetMode="External"/><Relationship Id="rId15" Type="http://schemas.openxmlformats.org/officeDocument/2006/relationships/hyperlink" Target="mailto:RebrandAutomationUser2@mailinator.com" TargetMode="External"/><Relationship Id="rId23" Type="http://schemas.openxmlformats.org/officeDocument/2006/relationships/hyperlink" Target="mailto:PreProd-TestUser5@mailinator.com" TargetMode="External"/><Relationship Id="rId28" Type="http://schemas.openxmlformats.org/officeDocument/2006/relationships/hyperlink" Target="mailto:PreProd-TestUser8@mailinator.com" TargetMode="External"/><Relationship Id="rId36" Type="http://schemas.openxmlformats.org/officeDocument/2006/relationships/hyperlink" Target="mailto:RebrandAutomationUser4@mailinator.com" TargetMode="External"/><Relationship Id="rId49" Type="http://schemas.openxmlformats.org/officeDocument/2006/relationships/hyperlink" Target="mailto:PreProd-TestUser11@mailinator.com" TargetMode="External"/><Relationship Id="rId57" Type="http://schemas.openxmlformats.org/officeDocument/2006/relationships/hyperlink" Target="mailto:PreProd-TestUser6@mailinator.com" TargetMode="External"/><Relationship Id="rId10" Type="http://schemas.openxmlformats.org/officeDocument/2006/relationships/hyperlink" Target="mailto:PreProd-TestUser6@mailinator.com" TargetMode="External"/><Relationship Id="rId31" Type="http://schemas.openxmlformats.org/officeDocument/2006/relationships/hyperlink" Target="mailto:PreProd-TestUser9@mailinator.com" TargetMode="External"/><Relationship Id="rId44" Type="http://schemas.openxmlformats.org/officeDocument/2006/relationships/hyperlink" Target="mailto:PreProd-ECRUser2@mailinator.com" TargetMode="External"/><Relationship Id="rId52" Type="http://schemas.openxmlformats.org/officeDocument/2006/relationships/hyperlink" Target="mailto:Perf-Test-User-10271@mailinator.com" TargetMode="External"/><Relationship Id="rId60" Type="http://schemas.openxmlformats.org/officeDocument/2006/relationships/hyperlink" Target="mailto:PreProd-TestUser6@mailinator.com" TargetMode="External"/><Relationship Id="rId65" Type="http://schemas.openxmlformats.org/officeDocument/2006/relationships/hyperlink" Target="mailto:RebrandAutomationUser91@mailinator.com" TargetMode="External"/><Relationship Id="rId73" Type="http://schemas.openxmlformats.org/officeDocument/2006/relationships/hyperlink" Target="mailto:OldWebRegPP-PS1@mailinator.com" TargetMode="External"/><Relationship Id="rId78" Type="http://schemas.openxmlformats.org/officeDocument/2006/relationships/hyperlink" Target="mailto:RebrandAutomationUser91@mailinator.com" TargetMode="External"/><Relationship Id="rId81" Type="http://schemas.openxmlformats.org/officeDocument/2006/relationships/hyperlink" Target="mailto:PPUser4-Test-User-123@mailinator.com" TargetMode="External"/><Relationship Id="rId86" Type="http://schemas.openxmlformats.org/officeDocument/2006/relationships/hyperlink" Target="mailto:PPAddIban2@mailinator.com" TargetMode="External"/><Relationship Id="rId94" Type="http://schemas.openxmlformats.org/officeDocument/2006/relationships/hyperlink" Target="mailto:PPAddIban19@mailinator.com" TargetMode="External"/><Relationship Id="rId99" Type="http://schemas.openxmlformats.org/officeDocument/2006/relationships/hyperlink" Target="mailto:Perf-Test-User-10284@mailinator.com" TargetMode="External"/><Relationship Id="rId101" Type="http://schemas.openxmlformats.org/officeDocument/2006/relationships/table" Target="../tables/table2.xml"/><Relationship Id="rId4" Type="http://schemas.openxmlformats.org/officeDocument/2006/relationships/hyperlink" Target="mailto:UATAUTOCHANGED-WF-User2@mailinator.com" TargetMode="External"/><Relationship Id="rId9" Type="http://schemas.openxmlformats.org/officeDocument/2006/relationships/hyperlink" Target="mailto:PreProd-TestUser6@mailinator.com" TargetMode="External"/><Relationship Id="rId13" Type="http://schemas.openxmlformats.org/officeDocument/2006/relationships/hyperlink" Target="mailto:PreProd-TestUser8@mailinator.com" TargetMode="External"/><Relationship Id="rId18" Type="http://schemas.openxmlformats.org/officeDocument/2006/relationships/hyperlink" Target="mailto:PreProd-TestUser8@mailinator.com" TargetMode="External"/><Relationship Id="rId39" Type="http://schemas.openxmlformats.org/officeDocument/2006/relationships/hyperlink" Target="mailto:RebrandAutomationUser5@mailinator.com" TargetMode="External"/><Relationship Id="rId34" Type="http://schemas.openxmlformats.org/officeDocument/2006/relationships/hyperlink" Target="mailto:RebrandAutomationUser6@mailinator.com" TargetMode="External"/><Relationship Id="rId50" Type="http://schemas.openxmlformats.org/officeDocument/2006/relationships/hyperlink" Target="mailto:Perf-Test-User-10296@mailinator.com" TargetMode="External"/><Relationship Id="rId55" Type="http://schemas.openxmlformats.org/officeDocument/2006/relationships/hyperlink" Target="mailto:PreProd-TestUser6@mailinator.com" TargetMode="External"/><Relationship Id="rId76" Type="http://schemas.openxmlformats.org/officeDocument/2006/relationships/hyperlink" Target="mailto:PreProd-TestUser11@mailinator.com" TargetMode="External"/><Relationship Id="rId97" Type="http://schemas.openxmlformats.org/officeDocument/2006/relationships/hyperlink" Target="mailto:Perf-Test-User-112803@mailinator.com" TargetMode="External"/><Relationship Id="rId7" Type="http://schemas.openxmlformats.org/officeDocument/2006/relationships/hyperlink" Target="mailto:PreProd-TestUser6@mailinator.com" TargetMode="External"/><Relationship Id="rId71" Type="http://schemas.openxmlformats.org/officeDocument/2006/relationships/hyperlink" Target="mailto:PreProd-TestUser6@mailinator.com" TargetMode="External"/><Relationship Id="rId92" Type="http://schemas.openxmlformats.org/officeDocument/2006/relationships/hyperlink" Target="mailto:Perf-Test-User-10164@mailinator.com" TargetMode="External"/><Relationship Id="rId2" Type="http://schemas.openxmlformats.org/officeDocument/2006/relationships/hyperlink" Target="mailto:UAT-WF-User13@mailinator.com" TargetMode="External"/><Relationship Id="rId29" Type="http://schemas.openxmlformats.org/officeDocument/2006/relationships/hyperlink" Target="mailto:PreProd-TestUser9@mailinator.com" TargetMode="External"/><Relationship Id="rId24" Type="http://schemas.openxmlformats.org/officeDocument/2006/relationships/hyperlink" Target="mailto:PreProd-TestUser5@mailinator.com" TargetMode="External"/><Relationship Id="rId40" Type="http://schemas.openxmlformats.org/officeDocument/2006/relationships/hyperlink" Target="mailto:Perf-Test-User-10250@mailinator.com" TargetMode="External"/><Relationship Id="rId45" Type="http://schemas.openxmlformats.org/officeDocument/2006/relationships/hyperlink" Target="mailto:RebrandAutomationUser12c@mailinator.com" TargetMode="External"/><Relationship Id="rId66" Type="http://schemas.openxmlformats.org/officeDocument/2006/relationships/hyperlink" Target="mailto:PreProd-TestUser6@mailinator.com" TargetMode="External"/><Relationship Id="rId87" Type="http://schemas.openxmlformats.org/officeDocument/2006/relationships/hyperlink" Target="mailto:PreProd-TestUser11@mailinator.com" TargetMode="External"/><Relationship Id="rId61" Type="http://schemas.openxmlformats.org/officeDocument/2006/relationships/hyperlink" Target="mailto:PreProd-TestUser6@mailinator.com" TargetMode="External"/><Relationship Id="rId82" Type="http://schemas.openxmlformats.org/officeDocument/2006/relationships/hyperlink" Target="mailto:RebrandAutomationUser7@mailinator.com" TargetMode="External"/><Relationship Id="rId19" Type="http://schemas.openxmlformats.org/officeDocument/2006/relationships/hyperlink" Target="mailto:PreProd-TestUser6@mailinator.com" TargetMode="External"/><Relationship Id="rId14" Type="http://schemas.openxmlformats.org/officeDocument/2006/relationships/hyperlink" Target="mailto:PreProd-TestUser6@mailinator.com" TargetMode="External"/><Relationship Id="rId30" Type="http://schemas.openxmlformats.org/officeDocument/2006/relationships/hyperlink" Target="mailto:PreProd-TestUser9@mailinator.com" TargetMode="External"/><Relationship Id="rId35" Type="http://schemas.openxmlformats.org/officeDocument/2006/relationships/hyperlink" Target="mailto:Perf-Test-User-10182@mailinator.com" TargetMode="External"/><Relationship Id="rId56" Type="http://schemas.openxmlformats.org/officeDocument/2006/relationships/hyperlink" Target="mailto:PreProd-TestUser6@mailinator.com" TargetMode="External"/><Relationship Id="rId77" Type="http://schemas.openxmlformats.org/officeDocument/2006/relationships/hyperlink" Target="mailto:PreProd-TestUser11@mailinator.com" TargetMode="External"/><Relationship Id="rId100" Type="http://schemas.openxmlformats.org/officeDocument/2006/relationships/table" Target="../tables/table1.xml"/><Relationship Id="rId8" Type="http://schemas.openxmlformats.org/officeDocument/2006/relationships/hyperlink" Target="mailto:RebrandAutomationUser5@mailinator.com" TargetMode="External"/><Relationship Id="rId51" Type="http://schemas.openxmlformats.org/officeDocument/2006/relationships/hyperlink" Target="mailto:Perf-Test-User-10113@mailinator.com" TargetMode="External"/><Relationship Id="rId72" Type="http://schemas.openxmlformats.org/officeDocument/2006/relationships/hyperlink" Target="mailto:PreProd-TestUser6@mailinator.com" TargetMode="External"/><Relationship Id="rId93" Type="http://schemas.openxmlformats.org/officeDocument/2006/relationships/hyperlink" Target="mailto:PPAddIban9@mailinator.com" TargetMode="External"/><Relationship Id="rId98" Type="http://schemas.openxmlformats.org/officeDocument/2006/relationships/hyperlink" Target="mailto:RebrandAutomationUser13@mailinator.com" TargetMode="External"/><Relationship Id="rId3" Type="http://schemas.openxmlformats.org/officeDocument/2006/relationships/hyperlink" Target="mailto:RebrandAutomationUser2@mailinator.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Perf-Test-User-10224@mailinator.com" TargetMode="External"/><Relationship Id="rId13" Type="http://schemas.openxmlformats.org/officeDocument/2006/relationships/hyperlink" Target="mailto:UAT-WF-User77@mailinator.com" TargetMode="External"/><Relationship Id="rId18" Type="http://schemas.openxmlformats.org/officeDocument/2006/relationships/hyperlink" Target="mailto:Perf-Test-User-10133@mailinator.com" TargetMode="External"/><Relationship Id="rId3" Type="http://schemas.openxmlformats.org/officeDocument/2006/relationships/hyperlink" Target="mailto:Perf-Test-User10224@mailinator.com" TargetMode="External"/><Relationship Id="rId21" Type="http://schemas.openxmlformats.org/officeDocument/2006/relationships/hyperlink" Target="mailto:Perf-Test-User-10296@mailinator.com" TargetMode="External"/><Relationship Id="rId7" Type="http://schemas.openxmlformats.org/officeDocument/2006/relationships/hyperlink" Target="mailto:Perf-Test-User-10224@mailinator.com" TargetMode="External"/><Relationship Id="rId12" Type="http://schemas.openxmlformats.org/officeDocument/2006/relationships/hyperlink" Target="mailto:UATAuto-WF-User44@mailinator.com" TargetMode="External"/><Relationship Id="rId17" Type="http://schemas.openxmlformats.org/officeDocument/2006/relationships/hyperlink" Target="mailto:Perf-Test-User10224@mailinator.com" TargetMode="External"/><Relationship Id="rId2" Type="http://schemas.openxmlformats.org/officeDocument/2006/relationships/hyperlink" Target="mailto:Perf-Test-User10224@mailinator.co" TargetMode="External"/><Relationship Id="rId16" Type="http://schemas.openxmlformats.org/officeDocument/2006/relationships/hyperlink" Target="mailto:Perf-Test-User10224@mailinator.co" TargetMode="External"/><Relationship Id="rId20" Type="http://schemas.openxmlformats.org/officeDocument/2006/relationships/hyperlink" Target="mailto:Perf-Test-User-10261@mailinator.com" TargetMode="External"/><Relationship Id="rId1" Type="http://schemas.openxmlformats.org/officeDocument/2006/relationships/hyperlink" Target="mailto:Perf-Test-User10224@mailinator.co" TargetMode="External"/><Relationship Id="rId6" Type="http://schemas.openxmlformats.org/officeDocument/2006/relationships/hyperlink" Target="mailto:Perf-Test-User-10224@mailinator.com" TargetMode="External"/><Relationship Id="rId11" Type="http://schemas.openxmlformats.org/officeDocument/2006/relationships/hyperlink" Target="mailto:Perf-Test-User-10261@mailinator.com" TargetMode="External"/><Relationship Id="rId5" Type="http://schemas.openxmlformats.org/officeDocument/2006/relationships/hyperlink" Target="mailto:Perf-Test-User-10224@mailinator.com" TargetMode="External"/><Relationship Id="rId15" Type="http://schemas.openxmlformats.org/officeDocument/2006/relationships/hyperlink" Target="mailto:Perf-Test-User10224@mailinator.co" TargetMode="External"/><Relationship Id="rId10" Type="http://schemas.openxmlformats.org/officeDocument/2006/relationships/hyperlink" Target="mailto:Perf-Test-User-10133@mailinator.com" TargetMode="External"/><Relationship Id="rId19" Type="http://schemas.openxmlformats.org/officeDocument/2006/relationships/hyperlink" Target="mailto:Perf-Test-User-10261@mailinator.com" TargetMode="External"/><Relationship Id="rId4" Type="http://schemas.openxmlformats.org/officeDocument/2006/relationships/hyperlink" Target="mailto:Perf-Test-User-10261@mailinator.com" TargetMode="External"/><Relationship Id="rId9" Type="http://schemas.openxmlformats.org/officeDocument/2006/relationships/hyperlink" Target="mailto:Perf-Test-User-10132@mailinator.com" TargetMode="External"/><Relationship Id="rId14" Type="http://schemas.openxmlformats.org/officeDocument/2006/relationships/hyperlink" Target="mailto:MigrationWorkflowTest1Changed@mailinator.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ss-uat.dev-anpost.com/your-savings/register/create-password?token=e6OA9YCRvV6PShCdlcZH7WxOJpkys3exZGhrbJZz%2B6%2Fe0x4RbNGBDlexA5odarF92fx4K4jBjRXsIS8%2FnZVQScR9btvbGGNS0fg1s408T0g%3D" TargetMode="External"/><Relationship Id="rId13" Type="http://schemas.openxmlformats.org/officeDocument/2006/relationships/hyperlink" Target="https://ss-uat.dev-anpost.com/your-savings/register/create-password?token=YDJVOPp4hRUb2zWzmXjLx6OhHQZcjg4ydEckd0LkC54K%2FolTZUtjp1TI87%2B7mKt4NVbRghXkQtSot%2FPG5wd%2BiLLTLOls99lP%2B2BO2xr2W0Y%3D" TargetMode="External"/><Relationship Id="rId3" Type="http://schemas.openxmlformats.org/officeDocument/2006/relationships/hyperlink" Target="https://ss-uat.dev-anpost.com/your-savings/register/create-password?token=3SAjnT83VzBCNrxU66sSzCfhZ3V1WFfm4Xt1s%2FyEtE3qGtj8PLmfsNDT%2FjEORs9spbWcRAOCsNX8J8s4lyCkglcZlHvhgnFk3FNReSaZ6Do%3D" TargetMode="External"/><Relationship Id="rId7" Type="http://schemas.openxmlformats.org/officeDocument/2006/relationships/hyperlink" Target="mailto:PreProd-Web-Auth49@mailinator.com" TargetMode="External"/><Relationship Id="rId12" Type="http://schemas.openxmlformats.org/officeDocument/2006/relationships/hyperlink" Target="https://ss-uat.dev-anpost.com/your-savings/register/create-password?token=fM1bszC8CWpHNERBIY5WWXVTztf2ANazrPsk6QgZyBJ3g6DycjmF8qCCkfLHPH6K407fsssxGiDn8kNG6BS%2BusTB%2FOui%2BLLf3L2%2BQ3ufyvo%3D" TargetMode="External"/><Relationship Id="rId17" Type="http://schemas.openxmlformats.org/officeDocument/2006/relationships/hyperlink" Target="mailto:UAT-Web-Auth8@mailinator.com" TargetMode="External"/><Relationship Id="rId2" Type="http://schemas.openxmlformats.org/officeDocument/2006/relationships/hyperlink" Target="https://ss-uat.dev-anpost.com/your-savings/register/create-password?token=KCxEGFRh1IMYuKStJLUqlb%2FKISuKDPuXFqFtj9P93gAd%2FLosobYW7eObpHD%2BUDFUpkEXpzDqtNt44WRci04t3vDAxHU7EBzj6kVPnaKU8IU%3D" TargetMode="External"/><Relationship Id="rId16" Type="http://schemas.openxmlformats.org/officeDocument/2006/relationships/hyperlink" Target="mailto:UAT-Web-Auth8@mailinator.com" TargetMode="External"/><Relationship Id="rId1" Type="http://schemas.openxmlformats.org/officeDocument/2006/relationships/hyperlink" Target="https://ss-uat.dev-anpost.com/your-savings/register/create-password?token=jmguHHa3nAY3q5zcrHE5MxIvYezLJq65ySIiLAtcO%2Bg9fGwjBLagBtPMTmUqy824HCcOM6vWcRUd815C9b%2FeAUW3t3b0nvvgDVoVK3k16og%3D" TargetMode="External"/><Relationship Id="rId6" Type="http://schemas.openxmlformats.org/officeDocument/2006/relationships/hyperlink" Target="https://ss-uat.dev-anpost.com/your-savings/register/create-password?token=F8Fz6jVoj6BzO15zXy8Kto3FVP5KM6XB%2BlhwrffL89NgjF786L%2F%2B49VMGcSxoh2YAykNop4gji4hS%2FCjQGj%2FIXvahYeYG6goBceGjLOUbmM%3D" TargetMode="External"/><Relationship Id="rId11" Type="http://schemas.openxmlformats.org/officeDocument/2006/relationships/hyperlink" Target="https://ss-uat.dev-anpost.com/your-savings/register/create-password?token=NXsGpFZNlXVN9GjLQb5XyJK9JEH6ch%2FuBEVbFUD44XTRplT%2BI5H9YVcG%2F9gnZ%2FEv%2BKaX4A0gbe5XtMOFkFQxsjSoiHXIy1x3O39%2BfMk5mR8%3D" TargetMode="External"/><Relationship Id="rId5" Type="http://schemas.openxmlformats.org/officeDocument/2006/relationships/hyperlink" Target="https://ss-uat.dev-anpost.com/your-savings/register/create-password?token=sQDSAyHsIR1ep0Xy5Ca%2B6rsS3ehEQlrK2zEXq%2Fg4q8%2FnxRo2zs5PCZ9GmTjE6ONdPbtFt5%2B5qQ021LjO935DdJ4XOp%2FCcFz3GisQB7qDrrk%3D" TargetMode="External"/><Relationship Id="rId15" Type="http://schemas.openxmlformats.org/officeDocument/2006/relationships/hyperlink" Target="https://ss-uat.dev-anpost.com/your-savings/register/create-password?token=RSLP5hhtg%2BBwL2FKMXuQXFXM62glswyMp7fhkzdHLYFKAvZ5mQ%2F4tOX3N0AD6IPwR8Y84F6wDu49Xop7MfRok7xXIlcdy%2BXUgJ8bCO0mkC0%3D" TargetMode="External"/><Relationship Id="rId10" Type="http://schemas.openxmlformats.org/officeDocument/2006/relationships/hyperlink" Target="https://ss-uat.dev-anpost.com/your-savings/register/create-password?token=lS7jglTeYEUhdtN%2BI3ev%2F5rXU5DU8LauWFxKq2x115ZBxQnjTbB%2BtewMAGYs3fnWkCT%2BWKeyBM7cB0AKzfOC6DOorbDvvgvNblPY1pneReo%3D" TargetMode="External"/><Relationship Id="rId4" Type="http://schemas.openxmlformats.org/officeDocument/2006/relationships/hyperlink" Target="https://ss-uat.dev-anpost.com/your-savings/register/create-password?token=4EhlJOWgcS7g4LtVsiHophugKmO1xHGXTqEVSlKJizXhWjN%2FlqKdRg74JIZuJLMiNuA6gZKvsWYY9FW4yY7bMryhTRw84gLHUT42AWeKE3M%3D" TargetMode="External"/><Relationship Id="rId9" Type="http://schemas.openxmlformats.org/officeDocument/2006/relationships/hyperlink" Target="https://ss-uat.dev-anpost.com/your-savings/register/create-password?token=G7xkduakTTxNRPQqt5PvJVJQ5sLDRPTCiw%2FXmv9Nihsrou4vSx2r0Mq6ucf1okh2fie46znn2RtH3I20v5b8Jy%2FPxmL%2BmmSwXfpBG3X0RXg%3D" TargetMode="External"/><Relationship Id="rId14" Type="http://schemas.openxmlformats.org/officeDocument/2006/relationships/hyperlink" Target="https://ss-uat.dev-anpost.com/your-savings/register/create-password?token=1fmh6AWeVCYX7RASubkGV64WDEkmgZGYiLOO4NNpTzrI6TD5BcZ6dxAt9tSDurojtXH8wVlqWQ4uLLcfkUdnWvoUQNOUN%2BTWmNWJ%2FHJPiF4%3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RebrandAutomationUser7@mailinator.com" TargetMode="External"/><Relationship Id="rId13" Type="http://schemas.openxmlformats.org/officeDocument/2006/relationships/hyperlink" Target="mailto:RebrandAutomationUser5@mailinator.com" TargetMode="External"/><Relationship Id="rId18" Type="http://schemas.openxmlformats.org/officeDocument/2006/relationships/hyperlink" Target="mailto:RebrandAutomationUser7@mailinator.com" TargetMode="External"/><Relationship Id="rId3" Type="http://schemas.openxmlformats.org/officeDocument/2006/relationships/hyperlink" Target="mailto:PPAddIban16@mailinator.com" TargetMode="External"/><Relationship Id="rId21" Type="http://schemas.openxmlformats.org/officeDocument/2006/relationships/hyperlink" Target="mailto:Perf-Test-User-10130@mailinator.com" TargetMode="External"/><Relationship Id="rId7" Type="http://schemas.openxmlformats.org/officeDocument/2006/relationships/hyperlink" Target="mailto:RebrandAutomationUser5@mailinator.com" TargetMode="External"/><Relationship Id="rId12" Type="http://schemas.openxmlformats.org/officeDocument/2006/relationships/hyperlink" Target="mailto:RebrandAutomationUser7@mailinator.com" TargetMode="External"/><Relationship Id="rId17" Type="http://schemas.openxmlformats.org/officeDocument/2006/relationships/hyperlink" Target="mailto:RebrandAutomationUser5@mailinator.com" TargetMode="External"/><Relationship Id="rId25" Type="http://schemas.openxmlformats.org/officeDocument/2006/relationships/hyperlink" Target="mailto:PPAddIban6@mailinator.com" TargetMode="External"/><Relationship Id="rId2" Type="http://schemas.openxmlformats.org/officeDocument/2006/relationships/hyperlink" Target="mailto:Perf-Test-User-10130@mailinator.com" TargetMode="External"/><Relationship Id="rId16" Type="http://schemas.openxmlformats.org/officeDocument/2006/relationships/hyperlink" Target="mailto:Perf-Test-User-10130@mailinator.com" TargetMode="External"/><Relationship Id="rId20" Type="http://schemas.openxmlformats.org/officeDocument/2006/relationships/hyperlink" Target="mailto:Perf-Test-User-10130@mailinator.com" TargetMode="External"/><Relationship Id="rId1" Type="http://schemas.openxmlformats.org/officeDocument/2006/relationships/hyperlink" Target="mailto:Perf-Test-User-10130@mailinator.com" TargetMode="External"/><Relationship Id="rId6" Type="http://schemas.openxmlformats.org/officeDocument/2006/relationships/hyperlink" Target="mailto:RebrandAutomationUser5@mailinator.com" TargetMode="External"/><Relationship Id="rId11" Type="http://schemas.openxmlformats.org/officeDocument/2006/relationships/hyperlink" Target="mailto:RebrandAutomationUser5@mailinator.com" TargetMode="External"/><Relationship Id="rId24" Type="http://schemas.openxmlformats.org/officeDocument/2006/relationships/hyperlink" Target="mailto:RebrandAutomationUser7@mailinator.com" TargetMode="External"/><Relationship Id="rId5" Type="http://schemas.openxmlformats.org/officeDocument/2006/relationships/hyperlink" Target="mailto:RebrandAutomationUser5@mailinator.com" TargetMode="External"/><Relationship Id="rId15" Type="http://schemas.openxmlformats.org/officeDocument/2006/relationships/hyperlink" Target="mailto:Perf-Test-User-10130@mailinator.com" TargetMode="External"/><Relationship Id="rId23" Type="http://schemas.openxmlformats.org/officeDocument/2006/relationships/hyperlink" Target="mailto:PPAddIban6@mailinator.com" TargetMode="External"/><Relationship Id="rId10" Type="http://schemas.openxmlformats.org/officeDocument/2006/relationships/hyperlink" Target="mailto:RebrandAutomationUser7@mailinator.com" TargetMode="External"/><Relationship Id="rId19" Type="http://schemas.openxmlformats.org/officeDocument/2006/relationships/hyperlink" Target="mailto:Perf-Test-User-10130@mailinator.com" TargetMode="External"/><Relationship Id="rId4" Type="http://schemas.openxmlformats.org/officeDocument/2006/relationships/hyperlink" Target="mailto:Perf-Test-User-10130@mailinator.com" TargetMode="External"/><Relationship Id="rId9" Type="http://schemas.openxmlformats.org/officeDocument/2006/relationships/hyperlink" Target="mailto:RebrandAutomationUser5@mailinator.com" TargetMode="External"/><Relationship Id="rId14" Type="http://schemas.openxmlformats.org/officeDocument/2006/relationships/hyperlink" Target="mailto:RebrandAutomationUser7@mailinator.com" TargetMode="External"/><Relationship Id="rId22" Type="http://schemas.openxmlformats.org/officeDocument/2006/relationships/hyperlink" Target="mailto:PPAddIban7@mailinat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D20D-7CB3-458D-B76B-83B1C0A27A72}">
  <sheetPr>
    <tabColor rgb="FF00B050"/>
  </sheetPr>
  <dimension ref="A1:AA107"/>
  <sheetViews>
    <sheetView tabSelected="1" topLeftCell="K73" zoomScale="80" zoomScaleNormal="80" workbookViewId="0">
      <selection activeCell="K81" sqref="K81"/>
    </sheetView>
  </sheetViews>
  <sheetFormatPr defaultRowHeight="14.4" x14ac:dyDescent="0.3"/>
  <cols>
    <col min="1" max="1" width="40.6640625" customWidth="1"/>
    <col min="2" max="2" width="50.33203125" customWidth="1"/>
    <col min="3" max="3" width="21.109375" bestFit="1" customWidth="1"/>
    <col min="4" max="4" width="16.109375" bestFit="1" customWidth="1"/>
    <col min="5" max="5" width="16.6640625" bestFit="1" customWidth="1"/>
    <col min="6" max="6" width="42.109375" customWidth="1"/>
    <col min="7" max="7" width="21" customWidth="1"/>
    <col min="10" max="10" width="23" bestFit="1" customWidth="1"/>
    <col min="11" max="11" width="168.6640625" bestFit="1" customWidth="1"/>
    <col min="13" max="13" width="31.5546875" bestFit="1" customWidth="1"/>
    <col min="14" max="14" width="30.33203125" bestFit="1" customWidth="1"/>
    <col min="15" max="15" width="25.6640625" bestFit="1" customWidth="1"/>
    <col min="16" max="16" width="28" bestFit="1" customWidth="1"/>
    <col min="17" max="17" width="28.6640625" customWidth="1"/>
    <col min="18" max="18" width="9.33203125" bestFit="1" customWidth="1"/>
    <col min="19" max="19" width="17.6640625" bestFit="1" customWidth="1"/>
    <col min="20" max="20" width="22.5546875" bestFit="1" customWidth="1"/>
    <col min="21" max="21" width="65" customWidth="1"/>
  </cols>
  <sheetData>
    <row r="1" spans="1:27" ht="30.6" customHeight="1" x14ac:dyDescent="0.3">
      <c r="A1" s="38" t="s">
        <v>0</v>
      </c>
      <c r="B1" s="38" t="s">
        <v>1</v>
      </c>
      <c r="C1" s="38" t="s">
        <v>2</v>
      </c>
      <c r="D1" s="38" t="s">
        <v>3</v>
      </c>
      <c r="E1" s="38" t="s">
        <v>4</v>
      </c>
      <c r="F1" s="38" t="s">
        <v>11</v>
      </c>
      <c r="G1" s="38" t="s">
        <v>32</v>
      </c>
      <c r="H1" s="38" t="s">
        <v>33</v>
      </c>
      <c r="I1" s="38" t="s">
        <v>34</v>
      </c>
      <c r="J1" s="38" t="s">
        <v>5</v>
      </c>
      <c r="K1" s="38" t="s">
        <v>6</v>
      </c>
      <c r="L1" s="38" t="s">
        <v>35</v>
      </c>
      <c r="M1" s="38" t="s">
        <v>7</v>
      </c>
      <c r="N1" s="38" t="s">
        <v>8</v>
      </c>
      <c r="O1" s="38" t="s">
        <v>9</v>
      </c>
      <c r="P1" s="38" t="s">
        <v>36</v>
      </c>
      <c r="Q1" s="38" t="s">
        <v>37</v>
      </c>
      <c r="R1" s="38" t="s">
        <v>38</v>
      </c>
      <c r="S1" s="38" t="s">
        <v>10</v>
      </c>
      <c r="T1" s="38" t="s">
        <v>12</v>
      </c>
      <c r="U1" s="38" t="s">
        <v>1373</v>
      </c>
      <c r="V1" s="16"/>
      <c r="W1" s="16"/>
      <c r="X1" s="16"/>
      <c r="Y1" s="16"/>
      <c r="Z1" s="16"/>
      <c r="AA1" s="7"/>
    </row>
    <row r="2" spans="1:27" ht="18" x14ac:dyDescent="0.3">
      <c r="A2" s="39" t="s">
        <v>55</v>
      </c>
      <c r="B2" s="40" t="s">
        <v>91</v>
      </c>
      <c r="C2" s="41" t="s">
        <v>92</v>
      </c>
      <c r="D2" s="42" t="s">
        <v>57</v>
      </c>
      <c r="E2" s="43" t="s">
        <v>15</v>
      </c>
      <c r="F2" s="44" t="s">
        <v>58</v>
      </c>
      <c r="G2" s="43" t="s">
        <v>40</v>
      </c>
      <c r="H2" s="39" t="s">
        <v>15</v>
      </c>
      <c r="I2" s="44" t="s">
        <v>41</v>
      </c>
      <c r="J2" s="39" t="s">
        <v>15</v>
      </c>
      <c r="K2" s="44" t="s">
        <v>15</v>
      </c>
      <c r="L2" s="43" t="s">
        <v>42</v>
      </c>
      <c r="M2" s="39" t="s">
        <v>15</v>
      </c>
      <c r="N2" s="44" t="s">
        <v>15</v>
      </c>
      <c r="O2" s="43" t="s">
        <v>15</v>
      </c>
      <c r="P2" s="39" t="s">
        <v>15</v>
      </c>
      <c r="Q2" s="44" t="s">
        <v>15</v>
      </c>
      <c r="R2" s="43" t="s">
        <v>15</v>
      </c>
      <c r="S2" s="39" t="s">
        <v>15</v>
      </c>
      <c r="T2" s="44" t="s">
        <v>31</v>
      </c>
      <c r="U2" s="16"/>
      <c r="V2" s="16"/>
      <c r="W2" s="16"/>
      <c r="X2" s="16"/>
      <c r="Y2" s="16"/>
      <c r="Z2" s="16"/>
      <c r="AA2" s="7"/>
    </row>
    <row r="3" spans="1:27" ht="18" x14ac:dyDescent="0.3">
      <c r="A3" s="39" t="s">
        <v>59</v>
      </c>
      <c r="B3" s="54" t="s">
        <v>93</v>
      </c>
      <c r="C3" s="41" t="s">
        <v>75</v>
      </c>
      <c r="D3" s="42" t="s">
        <v>94</v>
      </c>
      <c r="E3" s="43" t="s">
        <v>15</v>
      </c>
      <c r="F3" s="44" t="s">
        <v>58</v>
      </c>
      <c r="G3" s="43" t="s">
        <v>61</v>
      </c>
      <c r="H3" s="39" t="s">
        <v>15</v>
      </c>
      <c r="I3" s="44" t="s">
        <v>41</v>
      </c>
      <c r="J3" s="39" t="s">
        <v>15</v>
      </c>
      <c r="K3" s="44" t="s">
        <v>15</v>
      </c>
      <c r="L3" s="43" t="s">
        <v>42</v>
      </c>
      <c r="M3" s="39" t="s">
        <v>15</v>
      </c>
      <c r="N3" s="44" t="s">
        <v>15</v>
      </c>
      <c r="O3" s="43" t="s">
        <v>15</v>
      </c>
      <c r="P3" s="39" t="s">
        <v>15</v>
      </c>
      <c r="Q3" s="44" t="s">
        <v>15</v>
      </c>
      <c r="R3" s="43" t="s">
        <v>15</v>
      </c>
      <c r="S3" s="39" t="s">
        <v>15</v>
      </c>
      <c r="T3" s="44" t="s">
        <v>31</v>
      </c>
      <c r="U3" s="16"/>
      <c r="V3" s="16"/>
      <c r="W3" s="16"/>
      <c r="X3" s="16"/>
      <c r="Y3" s="16"/>
      <c r="Z3" s="16"/>
      <c r="AA3" s="7"/>
    </row>
    <row r="4" spans="1:27" ht="18" x14ac:dyDescent="0.3">
      <c r="A4" s="39" t="s">
        <v>95</v>
      </c>
      <c r="B4" s="54" t="s">
        <v>96</v>
      </c>
      <c r="C4" s="41" t="s">
        <v>75</v>
      </c>
      <c r="D4" s="42" t="s">
        <v>97</v>
      </c>
      <c r="E4" s="43" t="s">
        <v>15</v>
      </c>
      <c r="F4" s="44" t="s">
        <v>58</v>
      </c>
      <c r="G4" s="43" t="s">
        <v>98</v>
      </c>
      <c r="H4" s="39" t="s">
        <v>15</v>
      </c>
      <c r="I4" s="44" t="s">
        <v>41</v>
      </c>
      <c r="J4" s="39" t="s">
        <v>15</v>
      </c>
      <c r="K4" s="44" t="s">
        <v>15</v>
      </c>
      <c r="L4" s="43" t="s">
        <v>42</v>
      </c>
      <c r="M4" s="39" t="s">
        <v>15</v>
      </c>
      <c r="N4" s="44" t="s">
        <v>15</v>
      </c>
      <c r="O4" s="43" t="s">
        <v>15</v>
      </c>
      <c r="P4" s="39" t="s">
        <v>15</v>
      </c>
      <c r="Q4" s="44" t="s">
        <v>15</v>
      </c>
      <c r="R4" s="43" t="s">
        <v>15</v>
      </c>
      <c r="S4" s="39" t="s">
        <v>15</v>
      </c>
      <c r="T4" s="44" t="s">
        <v>31</v>
      </c>
      <c r="U4" s="16"/>
      <c r="V4" s="16"/>
      <c r="W4" s="16"/>
      <c r="X4" s="16"/>
      <c r="Y4" s="16"/>
      <c r="Z4" s="16"/>
      <c r="AA4" s="7"/>
    </row>
    <row r="5" spans="1:27" s="7" customFormat="1" ht="19.95" customHeight="1" x14ac:dyDescent="0.3">
      <c r="A5" s="2" t="s">
        <v>790</v>
      </c>
      <c r="B5" s="86" t="s">
        <v>99</v>
      </c>
      <c r="C5" s="3" t="s">
        <v>100</v>
      </c>
      <c r="D5" s="4" t="s">
        <v>101</v>
      </c>
      <c r="E5" s="6" t="s">
        <v>15</v>
      </c>
      <c r="F5" s="6" t="s">
        <v>15</v>
      </c>
      <c r="G5" s="6" t="s">
        <v>15</v>
      </c>
      <c r="H5" s="6" t="s">
        <v>15</v>
      </c>
      <c r="I5" s="6" t="s">
        <v>15</v>
      </c>
      <c r="J5" s="6" t="s">
        <v>15</v>
      </c>
      <c r="K5" s="6" t="s">
        <v>15</v>
      </c>
      <c r="L5" s="6" t="s">
        <v>15</v>
      </c>
      <c r="M5" s="6" t="s">
        <v>15</v>
      </c>
      <c r="N5" s="6" t="s">
        <v>15</v>
      </c>
      <c r="O5" s="6" t="s">
        <v>15</v>
      </c>
      <c r="P5" s="6" t="s">
        <v>15</v>
      </c>
      <c r="Q5" s="6" t="s">
        <v>15</v>
      </c>
      <c r="R5" s="6" t="s">
        <v>15</v>
      </c>
      <c r="S5" s="6" t="s">
        <v>15</v>
      </c>
      <c r="T5" s="6" t="s">
        <v>15</v>
      </c>
      <c r="U5" s="1"/>
      <c r="V5" s="1"/>
      <c r="W5" s="1"/>
      <c r="X5" s="1"/>
      <c r="Y5" s="1"/>
      <c r="Z5" s="1"/>
    </row>
    <row r="6" spans="1:27" s="7" customFormat="1" ht="19.95" customHeight="1" x14ac:dyDescent="0.3">
      <c r="A6" s="2" t="s">
        <v>102</v>
      </c>
      <c r="B6" s="54" t="s">
        <v>103</v>
      </c>
      <c r="C6" s="41" t="s">
        <v>75</v>
      </c>
      <c r="D6" s="42" t="s">
        <v>104</v>
      </c>
      <c r="E6" s="6" t="s">
        <v>15</v>
      </c>
      <c r="F6" s="6" t="s">
        <v>15</v>
      </c>
      <c r="G6" s="6" t="s">
        <v>15</v>
      </c>
      <c r="H6" s="6" t="s">
        <v>15</v>
      </c>
      <c r="I6" s="6" t="s">
        <v>15</v>
      </c>
      <c r="J6" s="9" t="s">
        <v>18</v>
      </c>
      <c r="K6" s="6" t="s">
        <v>15</v>
      </c>
      <c r="L6" s="6" t="s">
        <v>15</v>
      </c>
      <c r="M6" s="6" t="s">
        <v>15</v>
      </c>
      <c r="N6" s="6" t="s">
        <v>15</v>
      </c>
      <c r="O6" s="6" t="s">
        <v>15</v>
      </c>
      <c r="P6" s="6" t="s">
        <v>15</v>
      </c>
      <c r="Q6" s="6" t="s">
        <v>15</v>
      </c>
      <c r="R6" s="6" t="s">
        <v>15</v>
      </c>
      <c r="S6" s="6" t="s">
        <v>15</v>
      </c>
      <c r="T6" s="6" t="s">
        <v>15</v>
      </c>
      <c r="U6" s="1"/>
      <c r="V6" s="1"/>
      <c r="W6" s="1"/>
      <c r="X6" s="1"/>
      <c r="Y6" s="1"/>
      <c r="Z6" s="1"/>
    </row>
    <row r="7" spans="1:27" s="7" customFormat="1" ht="19.95" customHeight="1" x14ac:dyDescent="0.3">
      <c r="A7" s="2" t="s">
        <v>105</v>
      </c>
      <c r="B7" s="54" t="s">
        <v>106</v>
      </c>
      <c r="C7" s="41" t="s">
        <v>873</v>
      </c>
      <c r="D7" s="42" t="s">
        <v>107</v>
      </c>
      <c r="E7" s="6" t="s">
        <v>15</v>
      </c>
      <c r="F7" s="6" t="s">
        <v>15</v>
      </c>
      <c r="G7" s="6" t="s">
        <v>15</v>
      </c>
      <c r="H7" s="6" t="s">
        <v>15</v>
      </c>
      <c r="I7" s="6" t="s">
        <v>15</v>
      </c>
      <c r="J7" s="9" t="s">
        <v>18</v>
      </c>
      <c r="K7" s="6" t="s">
        <v>15</v>
      </c>
      <c r="L7" s="6" t="s">
        <v>15</v>
      </c>
      <c r="M7" s="6" t="s">
        <v>15</v>
      </c>
      <c r="N7" s="6" t="s">
        <v>15</v>
      </c>
      <c r="O7" s="6" t="s">
        <v>15</v>
      </c>
      <c r="P7" s="6" t="s">
        <v>15</v>
      </c>
      <c r="Q7" s="6" t="s">
        <v>15</v>
      </c>
      <c r="R7" s="6" t="s">
        <v>15</v>
      </c>
      <c r="S7" s="6" t="s">
        <v>15</v>
      </c>
      <c r="T7" s="6" t="s">
        <v>15</v>
      </c>
      <c r="U7" s="1"/>
      <c r="V7" s="1"/>
      <c r="W7" s="1"/>
      <c r="X7" s="1"/>
      <c r="Y7" s="1"/>
      <c r="Z7" s="1"/>
    </row>
    <row r="8" spans="1:27" ht="18" x14ac:dyDescent="0.3">
      <c r="A8" s="45" t="s">
        <v>62</v>
      </c>
      <c r="B8" s="40" t="s">
        <v>91</v>
      </c>
      <c r="C8" s="41" t="s">
        <v>92</v>
      </c>
      <c r="D8" s="42" t="s">
        <v>57</v>
      </c>
      <c r="E8" s="46" t="s">
        <v>108</v>
      </c>
      <c r="F8" s="44" t="s">
        <v>65</v>
      </c>
      <c r="G8" s="47" t="s">
        <v>15</v>
      </c>
      <c r="H8" s="45" t="s">
        <v>15</v>
      </c>
      <c r="I8" s="48" t="s">
        <v>15</v>
      </c>
      <c r="J8" s="42" t="s">
        <v>66</v>
      </c>
      <c r="K8" s="48" t="s">
        <v>15</v>
      </c>
      <c r="L8" s="49" t="s">
        <v>15</v>
      </c>
      <c r="M8" s="50" t="s">
        <v>67</v>
      </c>
      <c r="N8" s="48" t="s">
        <v>15</v>
      </c>
      <c r="O8" s="47" t="s">
        <v>15</v>
      </c>
      <c r="P8" s="45" t="s">
        <v>15</v>
      </c>
      <c r="Q8" s="48" t="s">
        <v>15</v>
      </c>
      <c r="R8" s="47" t="s">
        <v>15</v>
      </c>
      <c r="S8" s="45" t="s">
        <v>15</v>
      </c>
      <c r="T8" s="51" t="s">
        <v>31</v>
      </c>
      <c r="U8" s="16"/>
      <c r="V8" s="16"/>
      <c r="W8" s="16"/>
      <c r="X8" s="16"/>
      <c r="Y8" s="16"/>
      <c r="Z8" s="16"/>
      <c r="AA8" s="7"/>
    </row>
    <row r="9" spans="1:27" ht="18" x14ac:dyDescent="0.3">
      <c r="A9" s="52" t="s">
        <v>43</v>
      </c>
      <c r="B9" s="40" t="s">
        <v>91</v>
      </c>
      <c r="C9" s="41" t="s">
        <v>92</v>
      </c>
      <c r="D9" s="42" t="s">
        <v>57</v>
      </c>
      <c r="E9" s="46" t="s">
        <v>1369</v>
      </c>
      <c r="F9" s="44" t="s">
        <v>65</v>
      </c>
      <c r="G9" s="47" t="s">
        <v>15</v>
      </c>
      <c r="H9" s="45" t="s">
        <v>15</v>
      </c>
      <c r="I9" s="48" t="s">
        <v>15</v>
      </c>
      <c r="J9" s="9" t="s">
        <v>18</v>
      </c>
      <c r="K9" s="48" t="s">
        <v>15</v>
      </c>
      <c r="L9" s="49" t="s">
        <v>15</v>
      </c>
      <c r="M9" s="50" t="s">
        <v>53</v>
      </c>
      <c r="N9" s="48" t="s">
        <v>15</v>
      </c>
      <c r="O9" s="47" t="s">
        <v>15</v>
      </c>
      <c r="P9" s="45" t="s">
        <v>15</v>
      </c>
      <c r="Q9" s="48" t="s">
        <v>15</v>
      </c>
      <c r="R9" s="47" t="s">
        <v>15</v>
      </c>
      <c r="S9" s="45" t="s">
        <v>15</v>
      </c>
      <c r="T9" s="51" t="s">
        <v>31</v>
      </c>
      <c r="U9" s="16"/>
      <c r="V9" s="16"/>
      <c r="W9" s="16"/>
      <c r="X9" s="16"/>
      <c r="Y9" s="16"/>
      <c r="Z9" s="16"/>
      <c r="AA9" s="7"/>
    </row>
    <row r="10" spans="1:27" ht="18" x14ac:dyDescent="0.3">
      <c r="A10" s="42" t="s">
        <v>45</v>
      </c>
      <c r="B10" s="40" t="s">
        <v>91</v>
      </c>
      <c r="C10" s="41" t="s">
        <v>92</v>
      </c>
      <c r="D10" s="42" t="s">
        <v>57</v>
      </c>
      <c r="E10" s="46" t="s">
        <v>109</v>
      </c>
      <c r="F10" s="44" t="s">
        <v>70</v>
      </c>
      <c r="G10" s="41" t="s">
        <v>15</v>
      </c>
      <c r="H10" s="42" t="s">
        <v>15</v>
      </c>
      <c r="I10" s="53" t="s">
        <v>15</v>
      </c>
      <c r="J10" s="45" t="s">
        <v>13</v>
      </c>
      <c r="K10" s="53" t="s">
        <v>15</v>
      </c>
      <c r="L10" s="46" t="s">
        <v>15</v>
      </c>
      <c r="M10" s="50" t="s">
        <v>110</v>
      </c>
      <c r="N10" s="53" t="s">
        <v>15</v>
      </c>
      <c r="O10" s="41" t="s">
        <v>15</v>
      </c>
      <c r="P10" s="42" t="s">
        <v>15</v>
      </c>
      <c r="Q10" s="53" t="s">
        <v>15</v>
      </c>
      <c r="R10" s="41" t="s">
        <v>15</v>
      </c>
      <c r="S10" s="45" t="s">
        <v>30</v>
      </c>
      <c r="T10" s="44" t="s">
        <v>31</v>
      </c>
      <c r="U10" s="16"/>
      <c r="V10" s="16"/>
      <c r="W10" s="16"/>
      <c r="X10" s="16"/>
      <c r="Y10" s="16"/>
      <c r="Z10" s="16"/>
      <c r="AA10" s="7"/>
    </row>
    <row r="11" spans="1:27" ht="18" x14ac:dyDescent="0.3">
      <c r="A11" s="42" t="s">
        <v>71</v>
      </c>
      <c r="B11" s="54" t="s">
        <v>103</v>
      </c>
      <c r="C11" s="41" t="s">
        <v>75</v>
      </c>
      <c r="D11" s="42" t="s">
        <v>104</v>
      </c>
      <c r="E11" s="46" t="s">
        <v>111</v>
      </c>
      <c r="F11" s="44" t="s">
        <v>58</v>
      </c>
      <c r="G11" s="41" t="s">
        <v>15</v>
      </c>
      <c r="H11" s="42" t="s">
        <v>15</v>
      </c>
      <c r="I11" s="53" t="s">
        <v>15</v>
      </c>
      <c r="J11" s="45" t="s">
        <v>18</v>
      </c>
      <c r="K11" s="53" t="s">
        <v>15</v>
      </c>
      <c r="L11" s="41" t="s">
        <v>15</v>
      </c>
      <c r="M11" s="42">
        <v>6816.06</v>
      </c>
      <c r="N11" s="53" t="s">
        <v>15</v>
      </c>
      <c r="O11" s="41" t="s">
        <v>15</v>
      </c>
      <c r="P11" s="42" t="s">
        <v>15</v>
      </c>
      <c r="Q11" s="53" t="s">
        <v>15</v>
      </c>
      <c r="R11" s="41" t="s">
        <v>15</v>
      </c>
      <c r="S11" s="45" t="s">
        <v>30</v>
      </c>
      <c r="T11" s="44" t="s">
        <v>72</v>
      </c>
      <c r="U11" s="16"/>
      <c r="V11" s="16"/>
      <c r="W11" s="16"/>
      <c r="X11" s="16"/>
      <c r="Y11" s="16"/>
      <c r="Z11" s="16"/>
      <c r="AA11" s="7"/>
    </row>
    <row r="12" spans="1:27" ht="18" x14ac:dyDescent="0.3">
      <c r="A12" s="87" t="s">
        <v>73</v>
      </c>
      <c r="B12" s="55" t="s">
        <v>112</v>
      </c>
      <c r="C12" s="41" t="s">
        <v>75</v>
      </c>
      <c r="D12" s="42" t="s">
        <v>113</v>
      </c>
      <c r="E12" s="46" t="s">
        <v>114</v>
      </c>
      <c r="F12" s="44" t="s">
        <v>58</v>
      </c>
      <c r="G12" s="41" t="s">
        <v>15</v>
      </c>
      <c r="H12" s="42" t="s">
        <v>15</v>
      </c>
      <c r="I12" s="53" t="s">
        <v>15</v>
      </c>
      <c r="J12" s="45" t="s">
        <v>20</v>
      </c>
      <c r="K12" s="53" t="s">
        <v>15</v>
      </c>
      <c r="L12" s="46" t="s">
        <v>15</v>
      </c>
      <c r="M12" s="42">
        <v>100</v>
      </c>
      <c r="N12" s="53" t="s">
        <v>15</v>
      </c>
      <c r="O12" s="41" t="s">
        <v>15</v>
      </c>
      <c r="P12" s="42" t="s">
        <v>15</v>
      </c>
      <c r="Q12" s="53" t="s">
        <v>15</v>
      </c>
      <c r="R12" s="41" t="s">
        <v>15</v>
      </c>
      <c r="S12" s="42" t="s">
        <v>15</v>
      </c>
      <c r="T12" s="44" t="s">
        <v>72</v>
      </c>
      <c r="U12" s="16"/>
      <c r="V12" s="16"/>
      <c r="W12" s="16"/>
      <c r="X12" s="16"/>
      <c r="Y12" s="16"/>
      <c r="Z12" s="16"/>
      <c r="AA12" s="7"/>
    </row>
    <row r="13" spans="1:27" ht="18" x14ac:dyDescent="0.3">
      <c r="A13" s="56" t="s">
        <v>46</v>
      </c>
      <c r="B13" s="40" t="s">
        <v>91</v>
      </c>
      <c r="C13" s="41" t="s">
        <v>92</v>
      </c>
      <c r="D13" s="42" t="s">
        <v>57</v>
      </c>
      <c r="E13" s="46" t="s">
        <v>1367</v>
      </c>
      <c r="F13" s="44" t="s">
        <v>77</v>
      </c>
      <c r="G13" s="47" t="s">
        <v>15</v>
      </c>
      <c r="H13" s="45" t="s">
        <v>15</v>
      </c>
      <c r="I13" s="48" t="s">
        <v>15</v>
      </c>
      <c r="J13" s="42" t="s">
        <v>13</v>
      </c>
      <c r="K13" s="48" t="s">
        <v>14</v>
      </c>
      <c r="L13" s="49" t="s">
        <v>15</v>
      </c>
      <c r="M13" s="50" t="s">
        <v>1368</v>
      </c>
      <c r="N13" s="48" t="s">
        <v>15</v>
      </c>
      <c r="O13" s="47" t="s">
        <v>15</v>
      </c>
      <c r="P13" s="45" t="s">
        <v>15</v>
      </c>
      <c r="Q13" s="48" t="s">
        <v>15</v>
      </c>
      <c r="R13" s="47" t="s">
        <v>47</v>
      </c>
      <c r="S13" s="45" t="s">
        <v>48</v>
      </c>
      <c r="T13" s="51" t="s">
        <v>31</v>
      </c>
      <c r="U13" s="16"/>
      <c r="V13" s="16"/>
      <c r="W13" s="16"/>
      <c r="X13" s="16"/>
      <c r="Y13" s="16"/>
      <c r="Z13" s="16"/>
      <c r="AA13" s="7"/>
    </row>
    <row r="14" spans="1:27" ht="18" x14ac:dyDescent="0.3">
      <c r="A14" s="88" t="s">
        <v>79</v>
      </c>
      <c r="B14" s="71" t="s">
        <v>115</v>
      </c>
      <c r="C14" s="41" t="s">
        <v>75</v>
      </c>
      <c r="D14" s="42" t="s">
        <v>116</v>
      </c>
      <c r="E14" s="46" t="s">
        <v>117</v>
      </c>
      <c r="F14" s="44" t="s">
        <v>77</v>
      </c>
      <c r="G14" s="47" t="s">
        <v>15</v>
      </c>
      <c r="H14" s="45" t="s">
        <v>15</v>
      </c>
      <c r="I14" s="48" t="s">
        <v>15</v>
      </c>
      <c r="J14" s="42" t="s">
        <v>18</v>
      </c>
      <c r="K14" s="48" t="s">
        <v>14</v>
      </c>
      <c r="L14" s="49" t="s">
        <v>15</v>
      </c>
      <c r="M14" s="50" t="s">
        <v>118</v>
      </c>
      <c r="N14" s="48" t="s">
        <v>15</v>
      </c>
      <c r="O14" s="47" t="s">
        <v>15</v>
      </c>
      <c r="P14" s="45" t="s">
        <v>15</v>
      </c>
      <c r="Q14" s="48" t="s">
        <v>15</v>
      </c>
      <c r="R14" s="47" t="s">
        <v>47</v>
      </c>
      <c r="S14" s="45" t="s">
        <v>48</v>
      </c>
      <c r="T14" s="51" t="s">
        <v>72</v>
      </c>
      <c r="U14" s="16"/>
      <c r="V14" s="16"/>
      <c r="W14" s="16"/>
      <c r="X14" s="16"/>
      <c r="Y14" s="16"/>
      <c r="Z14" s="16"/>
      <c r="AA14" s="7"/>
    </row>
    <row r="15" spans="1:27" ht="18" x14ac:dyDescent="0.3">
      <c r="A15" s="57" t="s">
        <v>80</v>
      </c>
      <c r="B15" s="40" t="s">
        <v>91</v>
      </c>
      <c r="C15" s="41" t="s">
        <v>92</v>
      </c>
      <c r="D15" s="42" t="s">
        <v>57</v>
      </c>
      <c r="E15" s="46" t="s">
        <v>119</v>
      </c>
      <c r="F15" s="44" t="s">
        <v>77</v>
      </c>
      <c r="G15" s="41" t="s">
        <v>15</v>
      </c>
      <c r="H15" s="42" t="s">
        <v>15</v>
      </c>
      <c r="I15" s="53" t="s">
        <v>15</v>
      </c>
      <c r="J15" s="42" t="s">
        <v>13</v>
      </c>
      <c r="K15" s="48" t="s">
        <v>120</v>
      </c>
      <c r="L15" s="46" t="s">
        <v>15</v>
      </c>
      <c r="M15" s="58" t="s">
        <v>121</v>
      </c>
      <c r="N15" s="53" t="s">
        <v>15</v>
      </c>
      <c r="O15" s="41" t="s">
        <v>15</v>
      </c>
      <c r="P15" s="42" t="s">
        <v>15</v>
      </c>
      <c r="Q15" s="53" t="s">
        <v>50</v>
      </c>
      <c r="R15" s="41" t="s">
        <v>15</v>
      </c>
      <c r="S15" s="42" t="s">
        <v>16</v>
      </c>
      <c r="T15" s="44" t="s">
        <v>31</v>
      </c>
      <c r="U15" s="16"/>
      <c r="V15" s="16"/>
      <c r="W15" s="16"/>
      <c r="X15" s="16"/>
      <c r="Y15" s="16"/>
      <c r="Z15" s="16"/>
      <c r="AA15" s="7"/>
    </row>
    <row r="16" spans="1:27" ht="18" x14ac:dyDescent="0.3">
      <c r="A16" s="57" t="s">
        <v>49</v>
      </c>
      <c r="B16" s="40" t="s">
        <v>91</v>
      </c>
      <c r="C16" s="41" t="s">
        <v>92</v>
      </c>
      <c r="D16" s="42" t="s">
        <v>57</v>
      </c>
      <c r="E16" s="46" t="s">
        <v>920</v>
      </c>
      <c r="F16" s="44" t="s">
        <v>77</v>
      </c>
      <c r="G16" s="41" t="s">
        <v>15</v>
      </c>
      <c r="H16" s="42" t="s">
        <v>15</v>
      </c>
      <c r="I16" s="53" t="s">
        <v>15</v>
      </c>
      <c r="J16" s="42" t="s">
        <v>13</v>
      </c>
      <c r="K16" s="53" t="s">
        <v>14</v>
      </c>
      <c r="L16" s="46" t="s">
        <v>15</v>
      </c>
      <c r="M16" s="58" t="s">
        <v>81</v>
      </c>
      <c r="N16" s="53" t="s">
        <v>15</v>
      </c>
      <c r="O16" s="41" t="s">
        <v>15</v>
      </c>
      <c r="P16" s="42" t="s">
        <v>15</v>
      </c>
      <c r="Q16" s="53" t="s">
        <v>50</v>
      </c>
      <c r="R16" s="41" t="s">
        <v>15</v>
      </c>
      <c r="S16" s="42" t="s">
        <v>16</v>
      </c>
      <c r="T16" s="44" t="s">
        <v>31</v>
      </c>
      <c r="U16" s="16"/>
      <c r="V16" s="16"/>
      <c r="W16" s="16"/>
      <c r="X16" s="16"/>
      <c r="Y16" s="16"/>
      <c r="Z16" s="16"/>
      <c r="AA16" s="7"/>
    </row>
    <row r="17" spans="1:27" ht="18" x14ac:dyDescent="0.3">
      <c r="A17" s="45" t="s">
        <v>51</v>
      </c>
      <c r="B17" s="40" t="s">
        <v>1377</v>
      </c>
      <c r="C17" s="41" t="s">
        <v>75</v>
      </c>
      <c r="D17" s="42" t="s">
        <v>1378</v>
      </c>
      <c r="E17" s="47" t="s">
        <v>15</v>
      </c>
      <c r="F17" s="48" t="s">
        <v>58</v>
      </c>
      <c r="G17" s="47" t="s">
        <v>15</v>
      </c>
      <c r="H17" s="45" t="s">
        <v>15</v>
      </c>
      <c r="I17" s="48" t="s">
        <v>15</v>
      </c>
      <c r="J17" s="45" t="s">
        <v>52</v>
      </c>
      <c r="K17" s="48" t="s">
        <v>21</v>
      </c>
      <c r="L17" s="49" t="s">
        <v>15</v>
      </c>
      <c r="M17" s="50" t="s">
        <v>67</v>
      </c>
      <c r="N17" s="48" t="s">
        <v>15</v>
      </c>
      <c r="O17" s="47" t="s">
        <v>15</v>
      </c>
      <c r="P17" s="45" t="s">
        <v>15</v>
      </c>
      <c r="Q17" s="48">
        <v>75</v>
      </c>
      <c r="R17" s="47" t="s">
        <v>29</v>
      </c>
      <c r="S17" s="45" t="s">
        <v>48</v>
      </c>
      <c r="T17" s="51" t="s">
        <v>31</v>
      </c>
      <c r="U17" s="16"/>
      <c r="V17" s="16"/>
      <c r="W17" s="16"/>
      <c r="X17" s="16"/>
      <c r="Y17" s="16"/>
      <c r="Z17" s="16"/>
      <c r="AA17" s="7"/>
    </row>
    <row r="18" spans="1:27" ht="18" x14ac:dyDescent="0.3">
      <c r="A18" s="45" t="s">
        <v>82</v>
      </c>
      <c r="B18" s="71" t="s">
        <v>122</v>
      </c>
      <c r="C18" s="41" t="s">
        <v>75</v>
      </c>
      <c r="D18" s="42" t="s">
        <v>123</v>
      </c>
      <c r="E18" s="47" t="s">
        <v>15</v>
      </c>
      <c r="F18" s="44" t="s">
        <v>58</v>
      </c>
      <c r="G18" s="47" t="s">
        <v>15</v>
      </c>
      <c r="H18" s="45" t="s">
        <v>15</v>
      </c>
      <c r="I18" s="48" t="s">
        <v>15</v>
      </c>
      <c r="J18" s="45" t="s">
        <v>52</v>
      </c>
      <c r="K18" s="48" t="s">
        <v>14</v>
      </c>
      <c r="L18" s="49" t="s">
        <v>15</v>
      </c>
      <c r="M18" s="50" t="s">
        <v>53</v>
      </c>
      <c r="N18" s="48" t="s">
        <v>15</v>
      </c>
      <c r="O18" s="47" t="s">
        <v>15</v>
      </c>
      <c r="P18" s="45" t="s">
        <v>15</v>
      </c>
      <c r="Q18" s="59" t="s">
        <v>81</v>
      </c>
      <c r="R18" s="47" t="s">
        <v>29</v>
      </c>
      <c r="S18" s="45" t="s">
        <v>48</v>
      </c>
      <c r="T18" s="51" t="s">
        <v>72</v>
      </c>
      <c r="U18" s="16"/>
      <c r="V18" s="16"/>
      <c r="W18" s="16"/>
      <c r="X18" s="16"/>
      <c r="Y18" s="16"/>
      <c r="Z18" s="16"/>
      <c r="AA18" s="7"/>
    </row>
    <row r="19" spans="1:27" ht="18" x14ac:dyDescent="0.3">
      <c r="A19" s="42" t="s">
        <v>794</v>
      </c>
      <c r="B19" s="40" t="s">
        <v>871</v>
      </c>
      <c r="C19" s="41" t="s">
        <v>879</v>
      </c>
      <c r="D19" s="42" t="s">
        <v>874</v>
      </c>
      <c r="E19" s="41" t="s">
        <v>15</v>
      </c>
      <c r="F19" s="44" t="s">
        <v>58</v>
      </c>
      <c r="G19" s="41" t="s">
        <v>15</v>
      </c>
      <c r="H19" s="42" t="s">
        <v>15</v>
      </c>
      <c r="I19" s="53" t="s">
        <v>15</v>
      </c>
      <c r="J19" s="42" t="s">
        <v>52</v>
      </c>
      <c r="K19" s="53" t="s">
        <v>15</v>
      </c>
      <c r="L19" s="46" t="s">
        <v>15</v>
      </c>
      <c r="M19" s="50" t="s">
        <v>83</v>
      </c>
      <c r="N19" s="53" t="s">
        <v>15</v>
      </c>
      <c r="O19" s="41" t="s">
        <v>15</v>
      </c>
      <c r="P19" s="42" t="s">
        <v>15</v>
      </c>
      <c r="Q19" s="53" t="s">
        <v>53</v>
      </c>
      <c r="R19" s="41" t="s">
        <v>29</v>
      </c>
      <c r="S19" s="42" t="s">
        <v>30</v>
      </c>
      <c r="T19" s="44" t="s">
        <v>31</v>
      </c>
      <c r="U19" s="16"/>
      <c r="V19" s="16"/>
      <c r="W19" s="16"/>
      <c r="X19" s="16"/>
      <c r="Y19" s="16"/>
      <c r="Z19" s="16"/>
      <c r="AA19" s="7"/>
    </row>
    <row r="20" spans="1:27" ht="18" x14ac:dyDescent="0.3">
      <c r="A20" s="45" t="s">
        <v>84</v>
      </c>
      <c r="B20" s="40" t="s">
        <v>74</v>
      </c>
      <c r="C20" s="41" t="s">
        <v>56</v>
      </c>
      <c r="D20" s="42" t="s">
        <v>76</v>
      </c>
      <c r="E20" s="47" t="s">
        <v>15</v>
      </c>
      <c r="F20" s="44" t="s">
        <v>58</v>
      </c>
      <c r="G20" s="47" t="s">
        <v>15</v>
      </c>
      <c r="H20" s="45" t="s">
        <v>15</v>
      </c>
      <c r="I20" s="48" t="s">
        <v>15</v>
      </c>
      <c r="J20" s="45" t="s">
        <v>52</v>
      </c>
      <c r="K20" s="48" t="s">
        <v>21</v>
      </c>
      <c r="L20" s="49" t="s">
        <v>15</v>
      </c>
      <c r="M20" s="60" t="s">
        <v>67</v>
      </c>
      <c r="N20" s="48" t="s">
        <v>15</v>
      </c>
      <c r="O20" s="47" t="s">
        <v>15</v>
      </c>
      <c r="P20" s="50" t="s">
        <v>124</v>
      </c>
      <c r="Q20" s="48" t="s">
        <v>15</v>
      </c>
      <c r="R20" s="47" t="s">
        <v>29</v>
      </c>
      <c r="S20" s="45" t="s">
        <v>48</v>
      </c>
      <c r="T20" s="51" t="s">
        <v>31</v>
      </c>
      <c r="U20" s="16"/>
      <c r="V20" s="16"/>
      <c r="W20" s="16"/>
      <c r="X20" s="16"/>
      <c r="Y20" s="16"/>
      <c r="Z20" s="16"/>
      <c r="AA20" s="7"/>
    </row>
    <row r="21" spans="1:27" ht="36" x14ac:dyDescent="0.3">
      <c r="A21" s="45" t="s">
        <v>85</v>
      </c>
      <c r="B21" s="54" t="s">
        <v>96</v>
      </c>
      <c r="C21" s="41" t="s">
        <v>75</v>
      </c>
      <c r="D21" s="42" t="s">
        <v>97</v>
      </c>
      <c r="E21" s="47" t="s">
        <v>15</v>
      </c>
      <c r="F21" s="44" t="s">
        <v>58</v>
      </c>
      <c r="G21" s="47" t="s">
        <v>15</v>
      </c>
      <c r="H21" s="45" t="s">
        <v>15</v>
      </c>
      <c r="I21" s="48" t="s">
        <v>15</v>
      </c>
      <c r="J21" s="4" t="s">
        <v>52</v>
      </c>
      <c r="K21" s="17" t="s">
        <v>15</v>
      </c>
      <c r="L21" s="12" t="s">
        <v>15</v>
      </c>
      <c r="M21" s="18" t="s">
        <v>67</v>
      </c>
      <c r="N21" s="17" t="s">
        <v>15</v>
      </c>
      <c r="O21" s="3" t="s">
        <v>15</v>
      </c>
      <c r="P21" s="14" t="s">
        <v>234</v>
      </c>
      <c r="Q21" s="17" t="s">
        <v>15</v>
      </c>
      <c r="R21" s="3" t="s">
        <v>29</v>
      </c>
      <c r="S21" s="4" t="s">
        <v>30</v>
      </c>
      <c r="T21" s="51" t="s">
        <v>31</v>
      </c>
      <c r="U21" s="16"/>
      <c r="V21" s="16"/>
      <c r="W21" s="16"/>
      <c r="X21" s="16"/>
      <c r="Y21" s="16"/>
      <c r="Z21" s="16"/>
      <c r="AA21" s="7"/>
    </row>
    <row r="22" spans="1:27" ht="18" x14ac:dyDescent="0.3">
      <c r="A22" s="42" t="s">
        <v>797</v>
      </c>
      <c r="B22" s="40" t="s">
        <v>871</v>
      </c>
      <c r="C22" s="41" t="s">
        <v>879</v>
      </c>
      <c r="D22" s="42" t="s">
        <v>874</v>
      </c>
      <c r="E22" s="41" t="s">
        <v>15</v>
      </c>
      <c r="F22" s="44" t="s">
        <v>58</v>
      </c>
      <c r="G22" s="41" t="s">
        <v>15</v>
      </c>
      <c r="H22" s="42" t="s">
        <v>15</v>
      </c>
      <c r="I22" s="53" t="s">
        <v>15</v>
      </c>
      <c r="J22" s="42" t="s">
        <v>52</v>
      </c>
      <c r="K22" s="53" t="s">
        <v>15</v>
      </c>
      <c r="L22" s="46" t="s">
        <v>15</v>
      </c>
      <c r="M22" s="58" t="s">
        <v>67</v>
      </c>
      <c r="N22" s="53" t="s">
        <v>15</v>
      </c>
      <c r="O22" s="41" t="s">
        <v>15</v>
      </c>
      <c r="P22" s="50" t="s">
        <v>125</v>
      </c>
      <c r="Q22" s="53" t="s">
        <v>15</v>
      </c>
      <c r="R22" s="41" t="s">
        <v>29</v>
      </c>
      <c r="S22" s="42" t="s">
        <v>30</v>
      </c>
      <c r="T22" s="44" t="s">
        <v>31</v>
      </c>
      <c r="U22" s="16"/>
      <c r="V22" s="16"/>
      <c r="W22" s="16"/>
      <c r="X22" s="16"/>
      <c r="Y22" s="16"/>
      <c r="Z22" s="16"/>
      <c r="AA22" s="7"/>
    </row>
    <row r="23" spans="1:27" ht="18" x14ac:dyDescent="0.3">
      <c r="A23" s="45" t="s">
        <v>126</v>
      </c>
      <c r="B23" s="40" t="s">
        <v>74</v>
      </c>
      <c r="C23" s="41" t="s">
        <v>56</v>
      </c>
      <c r="D23" s="42" t="s">
        <v>76</v>
      </c>
      <c r="E23" s="47" t="s">
        <v>15</v>
      </c>
      <c r="F23" s="48" t="s">
        <v>39</v>
      </c>
      <c r="G23" s="47" t="s">
        <v>15</v>
      </c>
      <c r="H23" s="45" t="s">
        <v>15</v>
      </c>
      <c r="I23" s="48" t="s">
        <v>15</v>
      </c>
      <c r="J23" s="45" t="s">
        <v>52</v>
      </c>
      <c r="K23" s="48" t="s">
        <v>21</v>
      </c>
      <c r="L23" s="49" t="s">
        <v>15</v>
      </c>
      <c r="M23" s="50" t="s">
        <v>53</v>
      </c>
      <c r="N23" s="59" t="s">
        <v>88</v>
      </c>
      <c r="O23" s="47" t="s">
        <v>15</v>
      </c>
      <c r="P23" s="45" t="s">
        <v>15</v>
      </c>
      <c r="Q23" s="48" t="s">
        <v>53</v>
      </c>
      <c r="R23" s="47" t="s">
        <v>29</v>
      </c>
      <c r="S23" s="45" t="s">
        <v>48</v>
      </c>
      <c r="T23" s="51" t="s">
        <v>31</v>
      </c>
      <c r="U23" s="16"/>
      <c r="V23" s="16"/>
      <c r="W23" s="16"/>
      <c r="X23" s="16"/>
      <c r="Y23" s="16"/>
      <c r="Z23" s="16"/>
      <c r="AA23" s="7"/>
    </row>
    <row r="24" spans="1:27" ht="18" x14ac:dyDescent="0.3">
      <c r="A24" s="42" t="s">
        <v>127</v>
      </c>
      <c r="B24" s="40" t="s">
        <v>74</v>
      </c>
      <c r="C24" s="41" t="s">
        <v>56</v>
      </c>
      <c r="D24" s="42" t="s">
        <v>76</v>
      </c>
      <c r="E24" s="41" t="s">
        <v>15</v>
      </c>
      <c r="F24" s="53" t="s">
        <v>128</v>
      </c>
      <c r="G24" s="41" t="s">
        <v>15</v>
      </c>
      <c r="H24" s="42" t="s">
        <v>15</v>
      </c>
      <c r="I24" s="53" t="s">
        <v>15</v>
      </c>
      <c r="J24" s="42" t="s">
        <v>52</v>
      </c>
      <c r="K24" s="48" t="s">
        <v>21</v>
      </c>
      <c r="L24" s="46" t="s">
        <v>15</v>
      </c>
      <c r="M24" s="58" t="s">
        <v>129</v>
      </c>
      <c r="N24" s="53" t="s">
        <v>15</v>
      </c>
      <c r="O24" s="41" t="s">
        <v>15</v>
      </c>
      <c r="P24" s="50" t="s">
        <v>130</v>
      </c>
      <c r="Q24" s="53" t="s">
        <v>15</v>
      </c>
      <c r="R24" s="41" t="s">
        <v>29</v>
      </c>
      <c r="S24" s="45" t="s">
        <v>48</v>
      </c>
      <c r="T24" s="44" t="s">
        <v>31</v>
      </c>
      <c r="U24" s="16"/>
      <c r="V24" s="16"/>
      <c r="W24" s="16"/>
      <c r="X24" s="16"/>
      <c r="Y24" s="16"/>
      <c r="Z24" s="16"/>
      <c r="AA24" s="7"/>
    </row>
    <row r="25" spans="1:27" ht="18" x14ac:dyDescent="0.3">
      <c r="A25" s="45" t="s">
        <v>131</v>
      </c>
      <c r="B25" s="40" t="s">
        <v>112</v>
      </c>
      <c r="C25" s="41" t="s">
        <v>75</v>
      </c>
      <c r="D25" s="42" t="s">
        <v>113</v>
      </c>
      <c r="E25" s="46" t="s">
        <v>132</v>
      </c>
      <c r="F25" s="44" t="s">
        <v>58</v>
      </c>
      <c r="G25" s="47" t="s">
        <v>15</v>
      </c>
      <c r="H25" s="45" t="s">
        <v>15</v>
      </c>
      <c r="I25" s="48" t="s">
        <v>15</v>
      </c>
      <c r="J25" s="42" t="s">
        <v>18</v>
      </c>
      <c r="K25" s="48" t="s">
        <v>120</v>
      </c>
      <c r="L25" s="49" t="s">
        <v>15</v>
      </c>
      <c r="M25" s="50" t="s">
        <v>133</v>
      </c>
      <c r="N25" s="59" t="s">
        <v>134</v>
      </c>
      <c r="O25" s="47" t="s">
        <v>15</v>
      </c>
      <c r="P25" s="45" t="s">
        <v>15</v>
      </c>
      <c r="Q25" s="48" t="s">
        <v>15</v>
      </c>
      <c r="R25" s="47" t="s">
        <v>47</v>
      </c>
      <c r="S25" s="45" t="s">
        <v>48</v>
      </c>
      <c r="T25" s="51" t="s">
        <v>31</v>
      </c>
      <c r="U25" s="16"/>
      <c r="V25" s="16"/>
      <c r="W25" s="16"/>
      <c r="X25" s="16"/>
      <c r="Y25" s="16"/>
      <c r="Z25" s="16"/>
      <c r="AA25" s="7"/>
    </row>
    <row r="26" spans="1:27" ht="18" x14ac:dyDescent="0.3">
      <c r="A26" s="87" t="s">
        <v>135</v>
      </c>
      <c r="B26" s="40" t="s">
        <v>91</v>
      </c>
      <c r="C26" s="41" t="s">
        <v>92</v>
      </c>
      <c r="D26" s="42" t="s">
        <v>57</v>
      </c>
      <c r="E26" s="46" t="s">
        <v>136</v>
      </c>
      <c r="F26" s="44" t="s">
        <v>65</v>
      </c>
      <c r="G26" s="41" t="s">
        <v>15</v>
      </c>
      <c r="H26" s="42" t="s">
        <v>15</v>
      </c>
      <c r="I26" s="53" t="s">
        <v>15</v>
      </c>
      <c r="J26" s="42" t="s">
        <v>13</v>
      </c>
      <c r="K26" s="53" t="s">
        <v>15</v>
      </c>
      <c r="L26" s="46" t="s">
        <v>15</v>
      </c>
      <c r="M26" s="58" t="s">
        <v>67</v>
      </c>
      <c r="N26" s="53" t="s">
        <v>15</v>
      </c>
      <c r="O26" s="41" t="s">
        <v>15</v>
      </c>
      <c r="P26" s="42" t="s">
        <v>15</v>
      </c>
      <c r="Q26" s="53" t="s">
        <v>15</v>
      </c>
      <c r="R26" s="41" t="s">
        <v>15</v>
      </c>
      <c r="S26" s="42" t="s">
        <v>15</v>
      </c>
      <c r="T26" s="44" t="s">
        <v>31</v>
      </c>
      <c r="U26" s="16"/>
      <c r="V26" s="16"/>
      <c r="W26" s="16"/>
      <c r="X26" s="16"/>
      <c r="Y26" s="16"/>
      <c r="Z26" s="16"/>
      <c r="AA26" s="7"/>
    </row>
    <row r="27" spans="1:27" ht="18" x14ac:dyDescent="0.3">
      <c r="A27" s="88" t="s">
        <v>137</v>
      </c>
      <c r="B27" s="40" t="s">
        <v>91</v>
      </c>
      <c r="C27" s="41" t="s">
        <v>92</v>
      </c>
      <c r="D27" s="42" t="s">
        <v>57</v>
      </c>
      <c r="E27" s="46" t="s">
        <v>866</v>
      </c>
      <c r="F27" s="44" t="s">
        <v>138</v>
      </c>
      <c r="G27" s="47" t="s">
        <v>15</v>
      </c>
      <c r="H27" s="45" t="s">
        <v>15</v>
      </c>
      <c r="I27" s="48" t="s">
        <v>15</v>
      </c>
      <c r="J27" s="42" t="s">
        <v>18</v>
      </c>
      <c r="K27" s="48" t="s">
        <v>78</v>
      </c>
      <c r="L27" s="49" t="s">
        <v>15</v>
      </c>
      <c r="M27" s="50" t="s">
        <v>867</v>
      </c>
      <c r="N27" s="59" t="s">
        <v>139</v>
      </c>
      <c r="O27" s="47" t="s">
        <v>15</v>
      </c>
      <c r="P27" s="45" t="s">
        <v>15</v>
      </c>
      <c r="Q27" s="48" t="s">
        <v>15</v>
      </c>
      <c r="R27" s="47" t="s">
        <v>47</v>
      </c>
      <c r="S27" s="45" t="s">
        <v>48</v>
      </c>
      <c r="T27" s="51" t="s">
        <v>31</v>
      </c>
      <c r="U27" s="16"/>
      <c r="V27" s="16"/>
      <c r="W27" s="16"/>
      <c r="X27" s="16"/>
      <c r="Y27" s="16"/>
      <c r="Z27" s="16"/>
      <c r="AA27" s="7"/>
    </row>
    <row r="28" spans="1:27" ht="18" x14ac:dyDescent="0.3">
      <c r="A28" s="61" t="s">
        <v>140</v>
      </c>
      <c r="B28" s="62" t="s">
        <v>141</v>
      </c>
      <c r="C28" s="63" t="s">
        <v>56</v>
      </c>
      <c r="D28" s="42" t="s">
        <v>142</v>
      </c>
      <c r="E28" s="46" t="s">
        <v>143</v>
      </c>
      <c r="F28" s="44" t="s">
        <v>58</v>
      </c>
      <c r="G28" s="47" t="s">
        <v>15</v>
      </c>
      <c r="H28" s="45" t="s">
        <v>15</v>
      </c>
      <c r="I28" s="48" t="s">
        <v>15</v>
      </c>
      <c r="J28" s="42" t="s">
        <v>52</v>
      </c>
      <c r="K28" s="48" t="s">
        <v>26</v>
      </c>
      <c r="L28" s="49" t="s">
        <v>15</v>
      </c>
      <c r="M28" s="50" t="s">
        <v>53</v>
      </c>
      <c r="N28" s="48" t="s">
        <v>15</v>
      </c>
      <c r="O28" s="49" t="s">
        <v>144</v>
      </c>
      <c r="P28" s="45" t="s">
        <v>15</v>
      </c>
      <c r="Q28" s="59" t="s">
        <v>44</v>
      </c>
      <c r="R28" s="47" t="s">
        <v>47</v>
      </c>
      <c r="S28" s="45" t="s">
        <v>30</v>
      </c>
      <c r="T28" s="51" t="s">
        <v>31</v>
      </c>
      <c r="U28" s="16"/>
      <c r="V28" s="16"/>
      <c r="W28" s="16"/>
      <c r="X28" s="16"/>
      <c r="Y28" s="16"/>
      <c r="Z28" s="16"/>
      <c r="AA28" s="7"/>
    </row>
    <row r="29" spans="1:27" ht="18" x14ac:dyDescent="0.3">
      <c r="A29" s="61" t="s">
        <v>145</v>
      </c>
      <c r="B29" s="64" t="s">
        <v>146</v>
      </c>
      <c r="C29" s="41" t="s">
        <v>56</v>
      </c>
      <c r="D29" s="42" t="s">
        <v>147</v>
      </c>
      <c r="E29" s="46" t="s">
        <v>148</v>
      </c>
      <c r="F29" s="44" t="s">
        <v>149</v>
      </c>
      <c r="G29" s="47" t="s">
        <v>15</v>
      </c>
      <c r="H29" s="45" t="s">
        <v>15</v>
      </c>
      <c r="I29" s="48" t="s">
        <v>15</v>
      </c>
      <c r="J29" s="42" t="s">
        <v>52</v>
      </c>
      <c r="K29" s="48" t="s">
        <v>22</v>
      </c>
      <c r="L29" s="49" t="s">
        <v>15</v>
      </c>
      <c r="M29" s="50" t="s">
        <v>44</v>
      </c>
      <c r="N29" s="48" t="s">
        <v>15</v>
      </c>
      <c r="O29" s="49" t="s">
        <v>144</v>
      </c>
      <c r="P29" s="50" t="s">
        <v>150</v>
      </c>
      <c r="Q29" s="48" t="s">
        <v>15</v>
      </c>
      <c r="R29" s="47" t="s">
        <v>47</v>
      </c>
      <c r="S29" s="45" t="s">
        <v>30</v>
      </c>
      <c r="T29" s="51" t="s">
        <v>31</v>
      </c>
      <c r="U29" s="16"/>
      <c r="V29" s="16"/>
      <c r="W29" s="16"/>
      <c r="X29" s="16"/>
      <c r="Y29" s="16"/>
      <c r="Z29" s="16"/>
      <c r="AA29" s="7"/>
    </row>
    <row r="30" spans="1:27" ht="18" x14ac:dyDescent="0.3">
      <c r="A30" s="57" t="s">
        <v>151</v>
      </c>
      <c r="B30" s="40" t="s">
        <v>91</v>
      </c>
      <c r="C30" s="41" t="s">
        <v>92</v>
      </c>
      <c r="D30" s="42" t="s">
        <v>57</v>
      </c>
      <c r="E30" s="46" t="s">
        <v>877</v>
      </c>
      <c r="F30" s="44" t="s">
        <v>138</v>
      </c>
      <c r="G30" s="41" t="s">
        <v>15</v>
      </c>
      <c r="H30" s="42" t="s">
        <v>15</v>
      </c>
      <c r="I30" s="53" t="s">
        <v>15</v>
      </c>
      <c r="J30" s="42" t="s">
        <v>13</v>
      </c>
      <c r="K30" s="53" t="s">
        <v>78</v>
      </c>
      <c r="L30" s="46" t="s">
        <v>15</v>
      </c>
      <c r="M30" s="58" t="s">
        <v>878</v>
      </c>
      <c r="N30" s="53" t="s">
        <v>15</v>
      </c>
      <c r="O30" s="41" t="s">
        <v>15</v>
      </c>
      <c r="P30" s="42" t="s">
        <v>15</v>
      </c>
      <c r="Q30" s="53" t="s">
        <v>50</v>
      </c>
      <c r="R30" s="41" t="s">
        <v>15</v>
      </c>
      <c r="S30" s="42" t="s">
        <v>16</v>
      </c>
      <c r="T30" s="44" t="s">
        <v>31</v>
      </c>
      <c r="U30" s="16"/>
      <c r="V30" s="16"/>
      <c r="W30" s="16"/>
      <c r="X30" s="16"/>
      <c r="Y30" s="16"/>
      <c r="Z30" s="16"/>
      <c r="AA30" s="7"/>
    </row>
    <row r="31" spans="1:27" ht="18" x14ac:dyDescent="0.3">
      <c r="A31" s="42" t="s">
        <v>152</v>
      </c>
      <c r="B31" s="40" t="s">
        <v>91</v>
      </c>
      <c r="C31" s="41" t="s">
        <v>92</v>
      </c>
      <c r="D31" s="42" t="s">
        <v>57</v>
      </c>
      <c r="E31" s="46" t="s">
        <v>153</v>
      </c>
      <c r="F31" s="44" t="s">
        <v>154</v>
      </c>
      <c r="G31" s="41" t="s">
        <v>15</v>
      </c>
      <c r="H31" s="42" t="s">
        <v>15</v>
      </c>
      <c r="I31" s="53" t="s">
        <v>15</v>
      </c>
      <c r="J31" s="42" t="s">
        <v>13</v>
      </c>
      <c r="K31" s="53" t="s">
        <v>21</v>
      </c>
      <c r="L31" s="46" t="s">
        <v>15</v>
      </c>
      <c r="M31" s="58" t="s">
        <v>53</v>
      </c>
      <c r="N31" s="65" t="s">
        <v>88</v>
      </c>
      <c r="O31" s="41" t="s">
        <v>15</v>
      </c>
      <c r="P31" s="42" t="s">
        <v>15</v>
      </c>
      <c r="Q31" s="53" t="s">
        <v>50</v>
      </c>
      <c r="R31" s="41" t="s">
        <v>15</v>
      </c>
      <c r="S31" s="42" t="s">
        <v>16</v>
      </c>
      <c r="T31" s="44" t="s">
        <v>31</v>
      </c>
      <c r="U31" s="16"/>
      <c r="V31" s="16"/>
      <c r="W31" s="16"/>
      <c r="X31" s="16"/>
      <c r="Y31" s="16"/>
      <c r="Z31" s="16"/>
      <c r="AA31" s="7"/>
    </row>
    <row r="32" spans="1:27" ht="18" x14ac:dyDescent="0.3">
      <c r="A32" s="42" t="s">
        <v>155</v>
      </c>
      <c r="B32" s="55" t="s">
        <v>156</v>
      </c>
      <c r="C32" s="41" t="s">
        <v>75</v>
      </c>
      <c r="D32" s="42" t="s">
        <v>157</v>
      </c>
      <c r="E32" s="46" t="s">
        <v>158</v>
      </c>
      <c r="F32" s="44" t="s">
        <v>58</v>
      </c>
      <c r="G32" s="41" t="s">
        <v>15</v>
      </c>
      <c r="H32" s="42" t="s">
        <v>15</v>
      </c>
      <c r="I32" s="53" t="s">
        <v>15</v>
      </c>
      <c r="J32" s="42" t="s">
        <v>18</v>
      </c>
      <c r="K32" s="53" t="s">
        <v>21</v>
      </c>
      <c r="L32" s="46" t="s">
        <v>15</v>
      </c>
      <c r="M32" s="58" t="s">
        <v>159</v>
      </c>
      <c r="N32" s="53" t="s">
        <v>15</v>
      </c>
      <c r="O32" s="41" t="s">
        <v>15</v>
      </c>
      <c r="P32" s="42" t="s">
        <v>15</v>
      </c>
      <c r="Q32" s="53" t="s">
        <v>50</v>
      </c>
      <c r="R32" s="41" t="s">
        <v>15</v>
      </c>
      <c r="S32" s="42" t="s">
        <v>16</v>
      </c>
      <c r="T32" s="44" t="s">
        <v>31</v>
      </c>
      <c r="U32" s="16"/>
      <c r="V32" s="16"/>
      <c r="W32" s="16"/>
      <c r="X32" s="16"/>
      <c r="Y32" s="16"/>
      <c r="Z32" s="16"/>
      <c r="AA32" s="7"/>
    </row>
    <row r="33" spans="1:27" ht="18" x14ac:dyDescent="0.3">
      <c r="A33" s="45" t="s">
        <v>160</v>
      </c>
      <c r="B33" s="30" t="s">
        <v>161</v>
      </c>
      <c r="C33" s="41" t="s">
        <v>92</v>
      </c>
      <c r="D33" s="45" t="s">
        <v>162</v>
      </c>
      <c r="E33" s="49" t="s">
        <v>163</v>
      </c>
      <c r="F33" s="51" t="s">
        <v>164</v>
      </c>
      <c r="G33" s="47" t="s">
        <v>15</v>
      </c>
      <c r="H33" s="45" t="s">
        <v>15</v>
      </c>
      <c r="I33" s="48" t="s">
        <v>41</v>
      </c>
      <c r="J33" s="45" t="s">
        <v>19</v>
      </c>
      <c r="K33" s="48" t="s">
        <v>15</v>
      </c>
      <c r="L33" s="47" t="s">
        <v>15</v>
      </c>
      <c r="M33" s="45" t="s">
        <v>15</v>
      </c>
      <c r="N33" s="48" t="s">
        <v>15</v>
      </c>
      <c r="O33" s="47" t="s">
        <v>15</v>
      </c>
      <c r="P33" s="45" t="s">
        <v>15</v>
      </c>
      <c r="Q33" s="48" t="s">
        <v>15</v>
      </c>
      <c r="R33" s="47" t="s">
        <v>29</v>
      </c>
      <c r="S33" s="45" t="s">
        <v>48</v>
      </c>
      <c r="T33" s="51" t="s">
        <v>31</v>
      </c>
      <c r="U33" s="16"/>
      <c r="V33" s="16"/>
      <c r="W33" s="16"/>
      <c r="X33" s="16"/>
      <c r="Y33" s="16"/>
      <c r="Z33" s="16"/>
      <c r="AA33" s="7"/>
    </row>
    <row r="34" spans="1:27" ht="18" x14ac:dyDescent="0.3">
      <c r="A34" s="45" t="s">
        <v>165</v>
      </c>
      <c r="B34" s="40" t="s">
        <v>68</v>
      </c>
      <c r="C34" s="41" t="s">
        <v>166</v>
      </c>
      <c r="D34" s="45" t="s">
        <v>69</v>
      </c>
      <c r="E34" s="49" t="s">
        <v>167</v>
      </c>
      <c r="F34" s="48" t="s">
        <v>15</v>
      </c>
      <c r="G34" s="47" t="s">
        <v>15</v>
      </c>
      <c r="H34" s="45" t="s">
        <v>15</v>
      </c>
      <c r="I34" s="48" t="s">
        <v>15</v>
      </c>
      <c r="J34" s="45" t="s">
        <v>19</v>
      </c>
      <c r="K34" s="48" t="s">
        <v>15</v>
      </c>
      <c r="L34" s="47" t="s">
        <v>15</v>
      </c>
      <c r="M34" s="45" t="s">
        <v>15</v>
      </c>
      <c r="N34" s="48" t="s">
        <v>15</v>
      </c>
      <c r="O34" s="47" t="s">
        <v>15</v>
      </c>
      <c r="P34" s="45" t="s">
        <v>15</v>
      </c>
      <c r="Q34" s="48" t="s">
        <v>15</v>
      </c>
      <c r="R34" s="47" t="s">
        <v>29</v>
      </c>
      <c r="S34" s="45" t="s">
        <v>30</v>
      </c>
      <c r="T34" s="51" t="s">
        <v>31</v>
      </c>
      <c r="U34" s="16"/>
      <c r="V34" s="16"/>
      <c r="W34" s="16"/>
      <c r="X34" s="16"/>
      <c r="Y34" s="16"/>
      <c r="Z34" s="16"/>
      <c r="AA34" s="7"/>
    </row>
    <row r="35" spans="1:27" ht="18" x14ac:dyDescent="0.3">
      <c r="A35" s="45" t="s">
        <v>168</v>
      </c>
      <c r="B35" s="22" t="s">
        <v>17</v>
      </c>
      <c r="C35" s="41" t="s">
        <v>169</v>
      </c>
      <c r="D35" s="66" t="s">
        <v>24</v>
      </c>
      <c r="E35" s="49" t="s">
        <v>170</v>
      </c>
      <c r="F35" s="48" t="s">
        <v>15</v>
      </c>
      <c r="G35" s="47" t="s">
        <v>15</v>
      </c>
      <c r="H35" s="45" t="s">
        <v>15</v>
      </c>
      <c r="I35" s="48" t="s">
        <v>15</v>
      </c>
      <c r="J35" s="45" t="s">
        <v>19</v>
      </c>
      <c r="K35" s="48" t="s">
        <v>15</v>
      </c>
      <c r="L35" s="47" t="s">
        <v>15</v>
      </c>
      <c r="M35" s="45" t="s">
        <v>15</v>
      </c>
      <c r="N35" s="48" t="s">
        <v>15</v>
      </c>
      <c r="O35" s="47" t="s">
        <v>15</v>
      </c>
      <c r="P35" s="45" t="s">
        <v>15</v>
      </c>
      <c r="Q35" s="48" t="s">
        <v>15</v>
      </c>
      <c r="R35" s="47" t="s">
        <v>29</v>
      </c>
      <c r="S35" s="45" t="s">
        <v>48</v>
      </c>
      <c r="T35" s="51" t="s">
        <v>31</v>
      </c>
      <c r="U35" s="16"/>
      <c r="V35" s="16"/>
      <c r="W35" s="16"/>
      <c r="X35" s="16"/>
      <c r="Y35" s="16"/>
      <c r="Z35" s="16"/>
      <c r="AA35" s="7"/>
    </row>
    <row r="36" spans="1:27" ht="18" x14ac:dyDescent="0.3">
      <c r="A36" s="45" t="s">
        <v>171</v>
      </c>
      <c r="B36" s="40" t="s">
        <v>172</v>
      </c>
      <c r="C36" s="41" t="s">
        <v>166</v>
      </c>
      <c r="D36" s="42" t="s">
        <v>173</v>
      </c>
      <c r="E36" s="49" t="s">
        <v>174</v>
      </c>
      <c r="F36" s="48" t="s">
        <v>39</v>
      </c>
      <c r="G36" s="47" t="s">
        <v>15</v>
      </c>
      <c r="H36" s="45" t="s">
        <v>15</v>
      </c>
      <c r="I36" s="48" t="s">
        <v>15</v>
      </c>
      <c r="J36" s="45" t="s">
        <v>20</v>
      </c>
      <c r="K36" s="48" t="s">
        <v>15</v>
      </c>
      <c r="L36" s="47" t="s">
        <v>15</v>
      </c>
      <c r="M36" s="45" t="s">
        <v>15</v>
      </c>
      <c r="N36" s="48" t="s">
        <v>15</v>
      </c>
      <c r="O36" s="47" t="s">
        <v>15</v>
      </c>
      <c r="P36" s="45" t="s">
        <v>15</v>
      </c>
      <c r="Q36" s="48" t="s">
        <v>15</v>
      </c>
      <c r="R36" s="47" t="s">
        <v>29</v>
      </c>
      <c r="S36" s="45" t="s">
        <v>48</v>
      </c>
      <c r="T36" s="51" t="s">
        <v>31</v>
      </c>
      <c r="U36" s="16"/>
      <c r="V36" s="16"/>
      <c r="W36" s="16"/>
      <c r="X36" s="16"/>
      <c r="Y36" s="16"/>
      <c r="Z36" s="16"/>
      <c r="AA36" s="7"/>
    </row>
    <row r="37" spans="1:27" ht="18" x14ac:dyDescent="0.3">
      <c r="A37" s="45" t="s">
        <v>175</v>
      </c>
      <c r="B37" s="40" t="s">
        <v>172</v>
      </c>
      <c r="C37" s="41" t="s">
        <v>166</v>
      </c>
      <c r="D37" s="42" t="s">
        <v>173</v>
      </c>
      <c r="E37" s="49" t="s">
        <v>176</v>
      </c>
      <c r="F37" s="48" t="s">
        <v>15</v>
      </c>
      <c r="G37" s="47" t="s">
        <v>15</v>
      </c>
      <c r="H37" s="45" t="s">
        <v>15</v>
      </c>
      <c r="I37" s="48" t="s">
        <v>15</v>
      </c>
      <c r="J37" s="45" t="s">
        <v>20</v>
      </c>
      <c r="K37" s="48" t="s">
        <v>15</v>
      </c>
      <c r="L37" s="47" t="s">
        <v>15</v>
      </c>
      <c r="M37" s="45" t="s">
        <v>15</v>
      </c>
      <c r="N37" s="48" t="s">
        <v>15</v>
      </c>
      <c r="O37" s="47" t="s">
        <v>15</v>
      </c>
      <c r="P37" s="45" t="s">
        <v>15</v>
      </c>
      <c r="Q37" s="48" t="s">
        <v>15</v>
      </c>
      <c r="R37" s="47" t="s">
        <v>29</v>
      </c>
      <c r="S37" s="45" t="s">
        <v>30</v>
      </c>
      <c r="T37" s="51" t="s">
        <v>31</v>
      </c>
      <c r="U37" s="16"/>
      <c r="V37" s="16"/>
      <c r="W37" s="16"/>
      <c r="X37" s="16"/>
      <c r="Y37" s="16"/>
      <c r="Z37" s="16"/>
      <c r="AA37" s="7"/>
    </row>
    <row r="38" spans="1:27" ht="18" x14ac:dyDescent="0.3">
      <c r="A38" s="45" t="s">
        <v>177</v>
      </c>
      <c r="B38" s="30" t="s">
        <v>161</v>
      </c>
      <c r="C38" s="41" t="s">
        <v>92</v>
      </c>
      <c r="D38" s="45" t="s">
        <v>162</v>
      </c>
      <c r="E38" s="49" t="s">
        <v>178</v>
      </c>
      <c r="F38" s="48" t="s">
        <v>15</v>
      </c>
      <c r="G38" s="47" t="s">
        <v>15</v>
      </c>
      <c r="H38" s="45" t="s">
        <v>15</v>
      </c>
      <c r="I38" s="48" t="s">
        <v>15</v>
      </c>
      <c r="J38" s="45" t="s">
        <v>20</v>
      </c>
      <c r="K38" s="48" t="s">
        <v>15</v>
      </c>
      <c r="L38" s="47" t="s">
        <v>15</v>
      </c>
      <c r="M38" s="45" t="s">
        <v>15</v>
      </c>
      <c r="N38" s="48" t="s">
        <v>15</v>
      </c>
      <c r="O38" s="47" t="s">
        <v>15</v>
      </c>
      <c r="P38" s="45" t="s">
        <v>15</v>
      </c>
      <c r="Q38" s="48" t="s">
        <v>15</v>
      </c>
      <c r="R38" s="47" t="s">
        <v>29</v>
      </c>
      <c r="S38" s="45" t="s">
        <v>30</v>
      </c>
      <c r="T38" s="51" t="s">
        <v>31</v>
      </c>
      <c r="U38" s="16"/>
      <c r="V38" s="16"/>
      <c r="W38" s="16"/>
      <c r="X38" s="16"/>
      <c r="Y38" s="16"/>
      <c r="Z38" s="16"/>
      <c r="AA38" s="7"/>
    </row>
    <row r="39" spans="1:27" ht="18" x14ac:dyDescent="0.3">
      <c r="A39" s="45" t="s">
        <v>179</v>
      </c>
      <c r="B39" s="24" t="s">
        <v>180</v>
      </c>
      <c r="C39" s="41" t="s">
        <v>56</v>
      </c>
      <c r="D39" s="45" t="s">
        <v>181</v>
      </c>
      <c r="E39" s="49" t="s">
        <v>182</v>
      </c>
      <c r="F39" s="48" t="s">
        <v>39</v>
      </c>
      <c r="G39" s="47" t="s">
        <v>15</v>
      </c>
      <c r="H39" s="45" t="s">
        <v>15</v>
      </c>
      <c r="I39" s="48" t="s">
        <v>15</v>
      </c>
      <c r="J39" s="45" t="s">
        <v>20</v>
      </c>
      <c r="K39" s="48" t="s">
        <v>15</v>
      </c>
      <c r="L39" s="47" t="s">
        <v>15</v>
      </c>
      <c r="M39" s="45" t="s">
        <v>15</v>
      </c>
      <c r="N39" s="48" t="s">
        <v>15</v>
      </c>
      <c r="O39" s="47" t="s">
        <v>15</v>
      </c>
      <c r="P39" s="45" t="s">
        <v>15</v>
      </c>
      <c r="Q39" s="48" t="s">
        <v>15</v>
      </c>
      <c r="R39" s="47" t="s">
        <v>29</v>
      </c>
      <c r="S39" s="45" t="s">
        <v>30</v>
      </c>
      <c r="T39" s="51" t="s">
        <v>31</v>
      </c>
      <c r="U39" s="16"/>
      <c r="V39" s="16"/>
      <c r="W39" s="16"/>
      <c r="X39" s="16"/>
      <c r="Y39" s="16"/>
      <c r="Z39" s="16"/>
      <c r="AA39" s="7"/>
    </row>
    <row r="40" spans="1:27" ht="18" x14ac:dyDescent="0.3">
      <c r="A40" s="45" t="s">
        <v>183</v>
      </c>
      <c r="B40" s="22" t="s">
        <v>63</v>
      </c>
      <c r="C40" s="67" t="s">
        <v>56</v>
      </c>
      <c r="D40" s="45" t="s">
        <v>64</v>
      </c>
      <c r="E40" s="49" t="s">
        <v>184</v>
      </c>
      <c r="F40" s="51" t="s">
        <v>128</v>
      </c>
      <c r="G40" s="47" t="s">
        <v>15</v>
      </c>
      <c r="H40" s="45" t="s">
        <v>15</v>
      </c>
      <c r="I40" s="48" t="s">
        <v>15</v>
      </c>
      <c r="J40" s="45" t="s">
        <v>23</v>
      </c>
      <c r="K40" s="48" t="s">
        <v>15</v>
      </c>
      <c r="L40" s="47" t="s">
        <v>15</v>
      </c>
      <c r="M40" s="45" t="s">
        <v>15</v>
      </c>
      <c r="N40" s="48" t="s">
        <v>15</v>
      </c>
      <c r="O40" s="49" t="s">
        <v>184</v>
      </c>
      <c r="P40" s="45" t="s">
        <v>15</v>
      </c>
      <c r="Q40" s="48" t="s">
        <v>15</v>
      </c>
      <c r="R40" s="47" t="s">
        <v>29</v>
      </c>
      <c r="S40" s="45" t="s">
        <v>30</v>
      </c>
      <c r="T40" s="51" t="s">
        <v>31</v>
      </c>
      <c r="U40" s="16"/>
      <c r="V40" s="16"/>
      <c r="W40" s="16"/>
      <c r="X40" s="16"/>
      <c r="Y40" s="16"/>
      <c r="Z40" s="16"/>
      <c r="AA40" s="7"/>
    </row>
    <row r="41" spans="1:27" ht="18" x14ac:dyDescent="0.3">
      <c r="A41" s="45" t="s">
        <v>185</v>
      </c>
      <c r="B41" s="33" t="s">
        <v>63</v>
      </c>
      <c r="C41" s="67" t="s">
        <v>56</v>
      </c>
      <c r="D41" s="45" t="s">
        <v>64</v>
      </c>
      <c r="E41" s="49" t="s">
        <v>186</v>
      </c>
      <c r="F41" s="51" t="s">
        <v>128</v>
      </c>
      <c r="G41" s="47" t="s">
        <v>15</v>
      </c>
      <c r="H41" s="45" t="s">
        <v>15</v>
      </c>
      <c r="I41" s="48" t="s">
        <v>15</v>
      </c>
      <c r="J41" s="45" t="s">
        <v>23</v>
      </c>
      <c r="K41" s="48" t="s">
        <v>15</v>
      </c>
      <c r="L41" s="47" t="s">
        <v>15</v>
      </c>
      <c r="M41" s="45" t="s">
        <v>15</v>
      </c>
      <c r="N41" s="48" t="s">
        <v>15</v>
      </c>
      <c r="O41" s="49" t="s">
        <v>187</v>
      </c>
      <c r="P41" s="45" t="s">
        <v>15</v>
      </c>
      <c r="Q41" s="48" t="s">
        <v>15</v>
      </c>
      <c r="R41" s="47" t="s">
        <v>29</v>
      </c>
      <c r="S41" s="45" t="s">
        <v>48</v>
      </c>
      <c r="T41" s="51" t="s">
        <v>31</v>
      </c>
      <c r="U41" s="16"/>
      <c r="V41" s="16"/>
      <c r="W41" s="16"/>
      <c r="X41" s="16"/>
      <c r="Y41" s="16"/>
      <c r="Z41" s="16"/>
      <c r="AA41" s="7"/>
    </row>
    <row r="42" spans="1:27" ht="18" x14ac:dyDescent="0.3">
      <c r="A42" s="45" t="s">
        <v>188</v>
      </c>
      <c r="B42" s="22" t="s">
        <v>63</v>
      </c>
      <c r="C42" s="67" t="s">
        <v>56</v>
      </c>
      <c r="D42" s="45" t="s">
        <v>64</v>
      </c>
      <c r="E42" s="49" t="s">
        <v>189</v>
      </c>
      <c r="F42" s="51" t="s">
        <v>128</v>
      </c>
      <c r="G42" s="47" t="s">
        <v>15</v>
      </c>
      <c r="H42" s="45" t="s">
        <v>15</v>
      </c>
      <c r="I42" s="48" t="s">
        <v>15</v>
      </c>
      <c r="J42" s="45" t="s">
        <v>23</v>
      </c>
      <c r="K42" s="48" t="s">
        <v>15</v>
      </c>
      <c r="L42" s="47" t="s">
        <v>15</v>
      </c>
      <c r="M42" s="45" t="s">
        <v>15</v>
      </c>
      <c r="N42" s="48" t="s">
        <v>15</v>
      </c>
      <c r="O42" s="49" t="s">
        <v>190</v>
      </c>
      <c r="P42" s="45" t="s">
        <v>15</v>
      </c>
      <c r="Q42" s="48" t="s">
        <v>15</v>
      </c>
      <c r="R42" s="47" t="s">
        <v>29</v>
      </c>
      <c r="S42" s="45" t="s">
        <v>30</v>
      </c>
      <c r="T42" s="51" t="s">
        <v>31</v>
      </c>
      <c r="U42" s="16"/>
      <c r="V42" s="16"/>
      <c r="W42" s="16"/>
      <c r="X42" s="16"/>
      <c r="Y42" s="16"/>
      <c r="Z42" s="16"/>
      <c r="AA42" s="7"/>
    </row>
    <row r="43" spans="1:27" ht="18" x14ac:dyDescent="0.3">
      <c r="A43" s="45" t="s">
        <v>191</v>
      </c>
      <c r="B43" s="22" t="s">
        <v>63</v>
      </c>
      <c r="C43" s="67" t="s">
        <v>56</v>
      </c>
      <c r="D43" s="45" t="s">
        <v>64</v>
      </c>
      <c r="E43" s="49" t="s">
        <v>192</v>
      </c>
      <c r="F43" s="48" t="s">
        <v>39</v>
      </c>
      <c r="G43" s="47" t="s">
        <v>15</v>
      </c>
      <c r="H43" s="45" t="s">
        <v>15</v>
      </c>
      <c r="I43" s="48" t="s">
        <v>15</v>
      </c>
      <c r="J43" s="45" t="s">
        <v>25</v>
      </c>
      <c r="K43" s="48" t="s">
        <v>15</v>
      </c>
      <c r="L43" s="47" t="s">
        <v>15</v>
      </c>
      <c r="M43" s="45" t="s">
        <v>15</v>
      </c>
      <c r="N43" s="48" t="s">
        <v>15</v>
      </c>
      <c r="O43" s="49" t="s">
        <v>193</v>
      </c>
      <c r="P43" s="45" t="s">
        <v>15</v>
      </c>
      <c r="Q43" s="48" t="s">
        <v>15</v>
      </c>
      <c r="R43" s="47" t="s">
        <v>29</v>
      </c>
      <c r="S43" s="45" t="s">
        <v>30</v>
      </c>
      <c r="T43" s="51" t="s">
        <v>31</v>
      </c>
      <c r="U43" s="16"/>
      <c r="V43" s="16"/>
      <c r="W43" s="16"/>
      <c r="X43" s="16"/>
      <c r="Y43" s="16"/>
      <c r="Z43" s="16"/>
      <c r="AA43" s="7"/>
    </row>
    <row r="44" spans="1:27" ht="18" x14ac:dyDescent="0.3">
      <c r="A44" s="45" t="s">
        <v>194</v>
      </c>
      <c r="B44" s="24" t="s">
        <v>195</v>
      </c>
      <c r="C44" s="41" t="s">
        <v>56</v>
      </c>
      <c r="D44" s="45" t="s">
        <v>196</v>
      </c>
      <c r="E44" s="49" t="s">
        <v>27</v>
      </c>
      <c r="F44" s="48" t="s">
        <v>39</v>
      </c>
      <c r="G44" s="47" t="s">
        <v>15</v>
      </c>
      <c r="H44" s="45" t="s">
        <v>15</v>
      </c>
      <c r="I44" s="48" t="s">
        <v>15</v>
      </c>
      <c r="J44" s="45" t="s">
        <v>25</v>
      </c>
      <c r="K44" s="48" t="s">
        <v>15</v>
      </c>
      <c r="L44" s="47" t="s">
        <v>15</v>
      </c>
      <c r="M44" s="45" t="s">
        <v>15</v>
      </c>
      <c r="N44" s="48" t="s">
        <v>15</v>
      </c>
      <c r="O44" s="49" t="s">
        <v>28</v>
      </c>
      <c r="P44" s="45" t="s">
        <v>15</v>
      </c>
      <c r="Q44" s="48" t="s">
        <v>15</v>
      </c>
      <c r="R44" s="47" t="s">
        <v>29</v>
      </c>
      <c r="S44" s="45" t="s">
        <v>48</v>
      </c>
      <c r="T44" s="51" t="s">
        <v>31</v>
      </c>
      <c r="U44" s="16"/>
      <c r="V44" s="16"/>
      <c r="W44" s="16"/>
      <c r="X44" s="16"/>
      <c r="Y44" s="16"/>
      <c r="Z44" s="16"/>
      <c r="AA44" s="7"/>
    </row>
    <row r="45" spans="1:27" ht="18" x14ac:dyDescent="0.3">
      <c r="A45" s="68" t="s">
        <v>197</v>
      </c>
      <c r="B45" s="62" t="s">
        <v>198</v>
      </c>
      <c r="C45" s="69" t="s">
        <v>56</v>
      </c>
      <c r="D45" s="45" t="s">
        <v>199</v>
      </c>
      <c r="E45" s="49" t="s">
        <v>200</v>
      </c>
      <c r="F45" s="48" t="s">
        <v>39</v>
      </c>
      <c r="G45" s="47" t="s">
        <v>15</v>
      </c>
      <c r="H45" s="45" t="s">
        <v>15</v>
      </c>
      <c r="I45" s="48" t="s">
        <v>15</v>
      </c>
      <c r="J45" s="45" t="s">
        <v>25</v>
      </c>
      <c r="K45" s="48" t="s">
        <v>15</v>
      </c>
      <c r="L45" s="47" t="s">
        <v>15</v>
      </c>
      <c r="M45" s="45" t="s">
        <v>15</v>
      </c>
      <c r="N45" s="48" t="s">
        <v>15</v>
      </c>
      <c r="O45" s="49" t="s">
        <v>201</v>
      </c>
      <c r="P45" s="45" t="s">
        <v>15</v>
      </c>
      <c r="Q45" s="48" t="s">
        <v>15</v>
      </c>
      <c r="R45" s="47" t="s">
        <v>29</v>
      </c>
      <c r="S45" s="45" t="s">
        <v>30</v>
      </c>
      <c r="T45" s="51" t="s">
        <v>31</v>
      </c>
      <c r="U45" s="16"/>
      <c r="V45" s="16"/>
      <c r="W45" s="16"/>
      <c r="X45" s="16"/>
      <c r="Y45" s="16"/>
      <c r="Z45" s="16"/>
      <c r="AA45" s="7"/>
    </row>
    <row r="46" spans="1:27" ht="18" x14ac:dyDescent="0.3">
      <c r="A46" s="45" t="s">
        <v>202</v>
      </c>
      <c r="B46" s="28" t="s">
        <v>63</v>
      </c>
      <c r="C46" s="67" t="s">
        <v>56</v>
      </c>
      <c r="D46" s="45" t="s">
        <v>64</v>
      </c>
      <c r="E46" s="49" t="s">
        <v>203</v>
      </c>
      <c r="F46" s="48" t="s">
        <v>39</v>
      </c>
      <c r="G46" s="47" t="s">
        <v>15</v>
      </c>
      <c r="H46" s="45" t="s">
        <v>15</v>
      </c>
      <c r="I46" s="48" t="s">
        <v>15</v>
      </c>
      <c r="J46" s="45" t="s">
        <v>25</v>
      </c>
      <c r="K46" s="48" t="s">
        <v>15</v>
      </c>
      <c r="L46" s="47" t="s">
        <v>15</v>
      </c>
      <c r="M46" s="45" t="s">
        <v>15</v>
      </c>
      <c r="N46" s="48" t="s">
        <v>15</v>
      </c>
      <c r="O46" s="49" t="s">
        <v>204</v>
      </c>
      <c r="P46" s="45" t="s">
        <v>15</v>
      </c>
      <c r="Q46" s="48" t="s">
        <v>15</v>
      </c>
      <c r="R46" s="47" t="s">
        <v>29</v>
      </c>
      <c r="S46" s="45" t="s">
        <v>48</v>
      </c>
      <c r="T46" s="51" t="s">
        <v>31</v>
      </c>
      <c r="U46" s="16"/>
      <c r="V46" s="16"/>
      <c r="W46" s="16"/>
      <c r="X46" s="16"/>
      <c r="Y46" s="16"/>
      <c r="Z46" s="16"/>
      <c r="AA46" s="7"/>
    </row>
    <row r="47" spans="1:27" ht="18" x14ac:dyDescent="0.3">
      <c r="A47" s="68" t="s">
        <v>205</v>
      </c>
      <c r="B47" s="40" t="s">
        <v>74</v>
      </c>
      <c r="C47" s="41" t="s">
        <v>56</v>
      </c>
      <c r="D47" s="45" t="s">
        <v>76</v>
      </c>
      <c r="E47" s="49" t="s">
        <v>206</v>
      </c>
      <c r="F47" s="51" t="s">
        <v>128</v>
      </c>
      <c r="G47" s="47" t="s">
        <v>15</v>
      </c>
      <c r="H47" s="45" t="s">
        <v>15</v>
      </c>
      <c r="I47" s="48" t="s">
        <v>15</v>
      </c>
      <c r="J47" s="45" t="s">
        <v>18</v>
      </c>
      <c r="K47" s="48" t="s">
        <v>15</v>
      </c>
      <c r="L47" s="47" t="s">
        <v>15</v>
      </c>
      <c r="M47" s="45" t="s">
        <v>15</v>
      </c>
      <c r="N47" s="48" t="s">
        <v>15</v>
      </c>
      <c r="O47" s="49" t="s">
        <v>15</v>
      </c>
      <c r="P47" s="45" t="s">
        <v>15</v>
      </c>
      <c r="Q47" s="48" t="s">
        <v>15</v>
      </c>
      <c r="R47" s="47" t="s">
        <v>29</v>
      </c>
      <c r="S47" s="45" t="s">
        <v>48</v>
      </c>
      <c r="T47" s="51" t="s">
        <v>31</v>
      </c>
      <c r="U47" s="16"/>
      <c r="V47" s="16"/>
      <c r="W47" s="16"/>
      <c r="X47" s="16"/>
      <c r="Y47" s="16"/>
      <c r="Z47" s="16"/>
      <c r="AA47" s="7"/>
    </row>
    <row r="48" spans="1:27" ht="18" x14ac:dyDescent="0.3">
      <c r="A48" s="68" t="s">
        <v>207</v>
      </c>
      <c r="B48" s="40" t="s">
        <v>68</v>
      </c>
      <c r="C48" s="41" t="s">
        <v>166</v>
      </c>
      <c r="D48" s="45" t="s">
        <v>69</v>
      </c>
      <c r="E48" s="49" t="s">
        <v>208</v>
      </c>
      <c r="F48" s="48" t="s">
        <v>15</v>
      </c>
      <c r="G48" s="47" t="s">
        <v>15</v>
      </c>
      <c r="H48" s="45" t="s">
        <v>15</v>
      </c>
      <c r="I48" s="48" t="s">
        <v>15</v>
      </c>
      <c r="J48" s="45" t="s">
        <v>18</v>
      </c>
      <c r="K48" s="48" t="s">
        <v>15</v>
      </c>
      <c r="L48" s="47" t="s">
        <v>15</v>
      </c>
      <c r="M48" s="45" t="s">
        <v>15</v>
      </c>
      <c r="N48" s="48" t="s">
        <v>15</v>
      </c>
      <c r="O48" s="47" t="s">
        <v>15</v>
      </c>
      <c r="P48" s="45" t="s">
        <v>15</v>
      </c>
      <c r="Q48" s="48" t="s">
        <v>15</v>
      </c>
      <c r="R48" s="47" t="s">
        <v>29</v>
      </c>
      <c r="S48" s="45" t="s">
        <v>30</v>
      </c>
      <c r="T48" s="51" t="s">
        <v>31</v>
      </c>
      <c r="U48" s="16"/>
      <c r="V48" s="16"/>
      <c r="W48" s="16"/>
      <c r="X48" s="16"/>
      <c r="Y48" s="16"/>
      <c r="Z48" s="16"/>
      <c r="AA48" s="7"/>
    </row>
    <row r="49" spans="1:27" ht="18" x14ac:dyDescent="0.3">
      <c r="A49" s="68" t="s">
        <v>209</v>
      </c>
      <c r="B49" s="40" t="s">
        <v>68</v>
      </c>
      <c r="C49" s="41" t="s">
        <v>166</v>
      </c>
      <c r="D49" s="45" t="s">
        <v>69</v>
      </c>
      <c r="E49" s="49" t="s">
        <v>210</v>
      </c>
      <c r="F49" s="51" t="s">
        <v>128</v>
      </c>
      <c r="G49" s="47" t="s">
        <v>15</v>
      </c>
      <c r="H49" s="45" t="s">
        <v>15</v>
      </c>
      <c r="I49" s="48" t="s">
        <v>15</v>
      </c>
      <c r="J49" s="45" t="s">
        <v>13</v>
      </c>
      <c r="K49" s="48" t="s">
        <v>15</v>
      </c>
      <c r="L49" s="47" t="s">
        <v>15</v>
      </c>
      <c r="M49" s="45" t="s">
        <v>15</v>
      </c>
      <c r="N49" s="48" t="s">
        <v>15</v>
      </c>
      <c r="O49" s="49" t="s">
        <v>15</v>
      </c>
      <c r="P49" s="45" t="s">
        <v>15</v>
      </c>
      <c r="Q49" s="48" t="s">
        <v>15</v>
      </c>
      <c r="R49" s="47" t="s">
        <v>29</v>
      </c>
      <c r="S49" s="45" t="s">
        <v>30</v>
      </c>
      <c r="T49" s="51" t="s">
        <v>31</v>
      </c>
      <c r="U49" s="16"/>
      <c r="V49" s="16"/>
      <c r="W49" s="16"/>
      <c r="X49" s="16"/>
      <c r="Y49" s="16"/>
      <c r="Z49" s="16"/>
      <c r="AA49" s="7"/>
    </row>
    <row r="50" spans="1:27" ht="18" x14ac:dyDescent="0.3">
      <c r="A50" s="68" t="s">
        <v>211</v>
      </c>
      <c r="B50" s="40" t="s">
        <v>68</v>
      </c>
      <c r="C50" s="41" t="s">
        <v>166</v>
      </c>
      <c r="D50" s="45" t="s">
        <v>69</v>
      </c>
      <c r="E50" s="49" t="s">
        <v>212</v>
      </c>
      <c r="F50" s="51" t="s">
        <v>128</v>
      </c>
      <c r="G50" s="47" t="s">
        <v>15</v>
      </c>
      <c r="H50" s="45" t="s">
        <v>15</v>
      </c>
      <c r="I50" s="48" t="s">
        <v>15</v>
      </c>
      <c r="J50" s="45" t="s">
        <v>13</v>
      </c>
      <c r="K50" s="48" t="s">
        <v>15</v>
      </c>
      <c r="L50" s="47" t="s">
        <v>15</v>
      </c>
      <c r="M50" s="45" t="s">
        <v>15</v>
      </c>
      <c r="N50" s="48" t="s">
        <v>15</v>
      </c>
      <c r="O50" s="49" t="s">
        <v>15</v>
      </c>
      <c r="P50" s="45" t="s">
        <v>15</v>
      </c>
      <c r="Q50" s="48" t="s">
        <v>15</v>
      </c>
      <c r="R50" s="47" t="s">
        <v>29</v>
      </c>
      <c r="S50" s="45" t="s">
        <v>48</v>
      </c>
      <c r="T50" s="51" t="s">
        <v>31</v>
      </c>
      <c r="U50" s="16"/>
      <c r="V50" s="16"/>
      <c r="W50" s="16"/>
      <c r="X50" s="16"/>
      <c r="Y50" s="16"/>
      <c r="Z50" s="16"/>
      <c r="AA50" s="7"/>
    </row>
    <row r="51" spans="1:27" ht="18" x14ac:dyDescent="0.3">
      <c r="A51" s="68" t="s">
        <v>213</v>
      </c>
      <c r="B51" s="40" t="s">
        <v>172</v>
      </c>
      <c r="C51" s="41" t="s">
        <v>166</v>
      </c>
      <c r="D51" s="42" t="s">
        <v>173</v>
      </c>
      <c r="E51" s="49" t="s">
        <v>214</v>
      </c>
      <c r="F51" s="48" t="s">
        <v>39</v>
      </c>
      <c r="G51" s="47" t="s">
        <v>15</v>
      </c>
      <c r="H51" s="45" t="s">
        <v>15</v>
      </c>
      <c r="I51" s="48" t="s">
        <v>15</v>
      </c>
      <c r="J51" s="45" t="s">
        <v>66</v>
      </c>
      <c r="K51" s="48" t="s">
        <v>15</v>
      </c>
      <c r="L51" s="47" t="s">
        <v>15</v>
      </c>
      <c r="M51" s="45" t="s">
        <v>15</v>
      </c>
      <c r="N51" s="48" t="s">
        <v>15</v>
      </c>
      <c r="O51" s="47" t="s">
        <v>15</v>
      </c>
      <c r="P51" s="45" t="s">
        <v>15</v>
      </c>
      <c r="Q51" s="48" t="s">
        <v>15</v>
      </c>
      <c r="R51" s="47" t="s">
        <v>15</v>
      </c>
      <c r="S51" s="45" t="s">
        <v>30</v>
      </c>
      <c r="T51" s="51" t="s">
        <v>31</v>
      </c>
      <c r="U51" s="16"/>
      <c r="V51" s="16"/>
      <c r="W51" s="16"/>
      <c r="X51" s="16"/>
      <c r="Y51" s="16"/>
      <c r="Z51" s="16"/>
      <c r="AA51" s="7"/>
    </row>
    <row r="52" spans="1:27" ht="18" x14ac:dyDescent="0.3">
      <c r="A52" s="45" t="s">
        <v>215</v>
      </c>
      <c r="B52" s="34" t="s">
        <v>216</v>
      </c>
      <c r="C52" s="43" t="s">
        <v>217</v>
      </c>
      <c r="D52" s="42" t="s">
        <v>218</v>
      </c>
      <c r="E52" s="49" t="s">
        <v>219</v>
      </c>
      <c r="F52" s="51" t="s">
        <v>128</v>
      </c>
      <c r="G52" s="47" t="s">
        <v>15</v>
      </c>
      <c r="H52" s="45" t="s">
        <v>15</v>
      </c>
      <c r="I52" s="48" t="s">
        <v>15</v>
      </c>
      <c r="J52" s="70" t="s">
        <v>13</v>
      </c>
      <c r="K52" s="48" t="s">
        <v>15</v>
      </c>
      <c r="L52" s="47" t="s">
        <v>15</v>
      </c>
      <c r="M52" s="45" t="s">
        <v>15</v>
      </c>
      <c r="N52" s="48" t="s">
        <v>15</v>
      </c>
      <c r="O52" s="49" t="s">
        <v>15</v>
      </c>
      <c r="P52" s="45" t="s">
        <v>15</v>
      </c>
      <c r="Q52" s="48" t="s">
        <v>15</v>
      </c>
      <c r="R52" s="47" t="s">
        <v>29</v>
      </c>
      <c r="S52" s="45" t="s">
        <v>30</v>
      </c>
      <c r="T52" s="51" t="s">
        <v>31</v>
      </c>
      <c r="U52" s="16"/>
      <c r="V52" s="16"/>
      <c r="W52" s="16"/>
      <c r="X52" s="16"/>
      <c r="Y52" s="16"/>
      <c r="Z52" s="16"/>
      <c r="AA52" s="7"/>
    </row>
    <row r="53" spans="1:27" ht="18" x14ac:dyDescent="0.3">
      <c r="A53" s="57" t="s">
        <v>89</v>
      </c>
      <c r="B53" s="40" t="s">
        <v>91</v>
      </c>
      <c r="C53" s="41" t="s">
        <v>92</v>
      </c>
      <c r="D53" s="42" t="s">
        <v>57</v>
      </c>
      <c r="E53" s="46" t="s">
        <v>921</v>
      </c>
      <c r="F53" s="44" t="s">
        <v>77</v>
      </c>
      <c r="G53" s="41" t="s">
        <v>15</v>
      </c>
      <c r="H53" s="42" t="s">
        <v>15</v>
      </c>
      <c r="I53" s="53" t="s">
        <v>15</v>
      </c>
      <c r="J53" s="42" t="s">
        <v>13</v>
      </c>
      <c r="K53" s="53" t="s">
        <v>14</v>
      </c>
      <c r="L53" s="46" t="s">
        <v>15</v>
      </c>
      <c r="M53" s="58" t="s">
        <v>922</v>
      </c>
      <c r="N53" s="53" t="s">
        <v>15</v>
      </c>
      <c r="O53" s="41" t="s">
        <v>15</v>
      </c>
      <c r="P53" s="42" t="s">
        <v>15</v>
      </c>
      <c r="Q53" s="53" t="s">
        <v>50</v>
      </c>
      <c r="R53" s="41" t="s">
        <v>15</v>
      </c>
      <c r="S53" s="45" t="s">
        <v>30</v>
      </c>
      <c r="T53" s="44" t="s">
        <v>31</v>
      </c>
      <c r="U53" s="16"/>
      <c r="V53" s="16"/>
      <c r="W53" s="16"/>
      <c r="X53" s="16"/>
      <c r="Y53" s="16"/>
      <c r="Z53" s="16"/>
      <c r="AA53" s="7"/>
    </row>
    <row r="54" spans="1:27" ht="18" x14ac:dyDescent="0.3">
      <c r="A54" s="52" t="s">
        <v>229</v>
      </c>
      <c r="B54" s="40" t="s">
        <v>91</v>
      </c>
      <c r="C54" s="41" t="s">
        <v>92</v>
      </c>
      <c r="D54" s="42" t="s">
        <v>57</v>
      </c>
      <c r="E54" s="46" t="s">
        <v>868</v>
      </c>
      <c r="F54" s="44" t="s">
        <v>65</v>
      </c>
      <c r="G54" s="47" t="s">
        <v>15</v>
      </c>
      <c r="H54" s="45" t="s">
        <v>15</v>
      </c>
      <c r="I54" s="48" t="s">
        <v>15</v>
      </c>
      <c r="J54" s="45" t="s">
        <v>13</v>
      </c>
      <c r="K54" s="48" t="s">
        <v>15</v>
      </c>
      <c r="L54" s="49" t="s">
        <v>15</v>
      </c>
      <c r="M54" s="50" t="s">
        <v>81</v>
      </c>
      <c r="N54" s="48" t="s">
        <v>15</v>
      </c>
      <c r="O54" s="47" t="s">
        <v>15</v>
      </c>
      <c r="P54" s="45" t="s">
        <v>15</v>
      </c>
      <c r="Q54" s="48" t="s">
        <v>15</v>
      </c>
      <c r="R54" s="47" t="s">
        <v>15</v>
      </c>
      <c r="S54" s="45" t="s">
        <v>15</v>
      </c>
      <c r="T54" s="51" t="s">
        <v>31</v>
      </c>
      <c r="U54" s="16"/>
      <c r="V54" s="16"/>
      <c r="W54" s="16"/>
      <c r="X54" s="16"/>
      <c r="Y54" s="16"/>
      <c r="Z54" s="16"/>
      <c r="AA54" s="7"/>
    </row>
    <row r="55" spans="1:27" s="7" customFormat="1" ht="19.95" customHeight="1" x14ac:dyDescent="0.3">
      <c r="A55" s="2" t="s">
        <v>220</v>
      </c>
      <c r="B55" s="86" t="s">
        <v>161</v>
      </c>
      <c r="C55" s="3" t="s">
        <v>92</v>
      </c>
      <c r="D55" s="4" t="s">
        <v>162</v>
      </c>
      <c r="E55" s="6" t="s">
        <v>15</v>
      </c>
      <c r="F55" s="6" t="s">
        <v>15</v>
      </c>
      <c r="G55" s="6" t="s">
        <v>15</v>
      </c>
      <c r="H55" s="6" t="s">
        <v>15</v>
      </c>
      <c r="I55" s="6" t="s">
        <v>15</v>
      </c>
      <c r="J55" s="9" t="s">
        <v>13</v>
      </c>
      <c r="K55" s="6" t="s">
        <v>15</v>
      </c>
      <c r="L55" s="6" t="s">
        <v>15</v>
      </c>
      <c r="M55" s="6" t="s">
        <v>15</v>
      </c>
      <c r="N55" s="6" t="s">
        <v>15</v>
      </c>
      <c r="O55" s="6" t="s">
        <v>15</v>
      </c>
      <c r="P55" s="6" t="s">
        <v>15</v>
      </c>
      <c r="Q55" s="6" t="s">
        <v>15</v>
      </c>
      <c r="R55" s="6" t="s">
        <v>15</v>
      </c>
      <c r="S55" s="6" t="s">
        <v>15</v>
      </c>
      <c r="T55" s="6" t="s">
        <v>15</v>
      </c>
      <c r="U55" s="1"/>
      <c r="V55" s="1"/>
      <c r="W55" s="1"/>
      <c r="X55" s="1"/>
      <c r="Y55" s="1"/>
      <c r="Z55" s="1"/>
    </row>
    <row r="56" spans="1:27" s="7" customFormat="1" ht="19.95" customHeight="1" x14ac:dyDescent="0.3">
      <c r="A56" s="9" t="s">
        <v>779</v>
      </c>
      <c r="B56" s="40" t="s">
        <v>907</v>
      </c>
      <c r="C56" s="3" t="s">
        <v>75</v>
      </c>
      <c r="D56" s="42" t="s">
        <v>908</v>
      </c>
      <c r="E56" s="10" t="s">
        <v>15</v>
      </c>
      <c r="F56" s="5" t="s">
        <v>58</v>
      </c>
      <c r="G56" s="10" t="s">
        <v>15</v>
      </c>
      <c r="H56" s="9" t="s">
        <v>15</v>
      </c>
      <c r="I56" s="11" t="s">
        <v>15</v>
      </c>
      <c r="J56" s="9" t="s">
        <v>52</v>
      </c>
      <c r="K56" s="11" t="s">
        <v>14</v>
      </c>
      <c r="L56" s="13" t="s">
        <v>15</v>
      </c>
      <c r="M56" s="20" t="s">
        <v>67</v>
      </c>
      <c r="N56" s="21" t="s">
        <v>88</v>
      </c>
      <c r="O56" s="10" t="s">
        <v>15</v>
      </c>
      <c r="P56" s="14" t="s">
        <v>233</v>
      </c>
      <c r="Q56" s="11">
        <v>75</v>
      </c>
      <c r="R56" s="10" t="s">
        <v>29</v>
      </c>
      <c r="S56" s="9" t="s">
        <v>48</v>
      </c>
      <c r="T56" s="15" t="s">
        <v>31</v>
      </c>
      <c r="U56" s="16"/>
      <c r="V56" s="16"/>
      <c r="W56" s="16"/>
      <c r="X56" s="16"/>
      <c r="Y56" s="16"/>
      <c r="Z56" s="16"/>
    </row>
    <row r="57" spans="1:27" s="7" customFormat="1" ht="19.95" customHeight="1" x14ac:dyDescent="0.3">
      <c r="A57" s="2" t="s">
        <v>225</v>
      </c>
      <c r="B57" s="86" t="s">
        <v>872</v>
      </c>
      <c r="C57" s="3" t="s">
        <v>873</v>
      </c>
      <c r="D57" s="4" t="s">
        <v>231</v>
      </c>
      <c r="E57" s="95" t="s">
        <v>15</v>
      </c>
      <c r="F57" s="6" t="s">
        <v>15</v>
      </c>
      <c r="G57" s="6" t="s">
        <v>15</v>
      </c>
      <c r="H57" s="6" t="s">
        <v>15</v>
      </c>
      <c r="I57" s="6" t="s">
        <v>15</v>
      </c>
      <c r="J57" s="6" t="s">
        <v>15</v>
      </c>
      <c r="K57" s="6" t="s">
        <v>15</v>
      </c>
      <c r="L57" s="6" t="s">
        <v>15</v>
      </c>
      <c r="M57" s="6" t="s">
        <v>15</v>
      </c>
      <c r="N57" s="6" t="s">
        <v>15</v>
      </c>
      <c r="O57" s="6" t="s">
        <v>15</v>
      </c>
      <c r="P57" s="6" t="s">
        <v>15</v>
      </c>
      <c r="Q57" s="6" t="s">
        <v>15</v>
      </c>
      <c r="R57" s="6" t="s">
        <v>15</v>
      </c>
      <c r="S57" s="6" t="s">
        <v>15</v>
      </c>
      <c r="T57" s="6" t="s">
        <v>15</v>
      </c>
      <c r="U57" s="1"/>
      <c r="V57" s="1"/>
      <c r="W57" s="1"/>
      <c r="X57" s="1"/>
      <c r="Y57" s="1"/>
      <c r="Z57" s="1"/>
    </row>
    <row r="58" spans="1:27" s="7" customFormat="1" ht="19.95" customHeight="1" x14ac:dyDescent="0.3">
      <c r="A58" s="2" t="s">
        <v>86</v>
      </c>
      <c r="B58" s="86" t="s">
        <v>872</v>
      </c>
      <c r="C58" s="3" t="s">
        <v>92</v>
      </c>
      <c r="D58" s="4" t="s">
        <v>231</v>
      </c>
      <c r="E58" s="95" t="s">
        <v>15</v>
      </c>
      <c r="F58" s="6" t="s">
        <v>15</v>
      </c>
      <c r="G58" s="6" t="s">
        <v>15</v>
      </c>
      <c r="H58" s="6" t="s">
        <v>15</v>
      </c>
      <c r="I58" s="6" t="s">
        <v>15</v>
      </c>
      <c r="J58" s="6" t="s">
        <v>15</v>
      </c>
      <c r="K58" s="6" t="s">
        <v>15</v>
      </c>
      <c r="L58" s="6" t="s">
        <v>15</v>
      </c>
      <c r="M58" s="6" t="s">
        <v>15</v>
      </c>
      <c r="N58" s="6" t="s">
        <v>15</v>
      </c>
      <c r="O58" s="6" t="s">
        <v>15</v>
      </c>
      <c r="P58" s="6" t="s">
        <v>15</v>
      </c>
      <c r="Q58" s="6" t="s">
        <v>15</v>
      </c>
      <c r="R58" s="6" t="s">
        <v>15</v>
      </c>
      <c r="S58" s="6" t="s">
        <v>15</v>
      </c>
      <c r="T58" s="6" t="s">
        <v>15</v>
      </c>
      <c r="U58" s="1"/>
      <c r="V58" s="1"/>
      <c r="W58" s="1"/>
      <c r="X58" s="1"/>
      <c r="Y58" s="1"/>
      <c r="Z58" s="1"/>
    </row>
    <row r="59" spans="1:27" s="7" customFormat="1" ht="19.95" customHeight="1" x14ac:dyDescent="0.3">
      <c r="A59" s="9" t="s">
        <v>780</v>
      </c>
      <c r="B59" s="23" t="s">
        <v>880</v>
      </c>
      <c r="C59" s="3" t="s">
        <v>75</v>
      </c>
      <c r="D59" s="93" t="s">
        <v>881</v>
      </c>
      <c r="E59" s="97" t="s">
        <v>227</v>
      </c>
      <c r="F59" s="94" t="s">
        <v>65</v>
      </c>
      <c r="G59" s="10" t="s">
        <v>15</v>
      </c>
      <c r="H59" s="9" t="s">
        <v>15</v>
      </c>
      <c r="I59" s="11" t="s">
        <v>15</v>
      </c>
      <c r="J59" s="4" t="s">
        <v>66</v>
      </c>
      <c r="K59" s="11" t="s">
        <v>15</v>
      </c>
      <c r="L59" s="13" t="s">
        <v>15</v>
      </c>
      <c r="M59" s="14" t="s">
        <v>67</v>
      </c>
      <c r="N59" s="11" t="s">
        <v>15</v>
      </c>
      <c r="O59" s="10" t="s">
        <v>15</v>
      </c>
      <c r="P59" s="9" t="s">
        <v>15</v>
      </c>
      <c r="Q59" s="11" t="s">
        <v>15</v>
      </c>
      <c r="R59" s="10" t="s">
        <v>15</v>
      </c>
      <c r="S59" s="9" t="s">
        <v>15</v>
      </c>
      <c r="T59" s="15" t="s">
        <v>31</v>
      </c>
      <c r="U59" s="1"/>
      <c r="V59" s="1"/>
      <c r="W59" s="1"/>
      <c r="X59" s="1"/>
      <c r="Y59" s="1"/>
      <c r="Z59" s="1"/>
    </row>
    <row r="60" spans="1:27" s="7" customFormat="1" ht="19.95" customHeight="1" x14ac:dyDescent="0.3">
      <c r="A60" s="9" t="s">
        <v>814</v>
      </c>
      <c r="B60" s="40" t="s">
        <v>74</v>
      </c>
      <c r="C60" s="41" t="s">
        <v>56</v>
      </c>
      <c r="D60" s="42" t="s">
        <v>76</v>
      </c>
      <c r="E60" s="12" t="s">
        <v>954</v>
      </c>
      <c r="F60" s="94" t="s">
        <v>882</v>
      </c>
      <c r="G60" s="10" t="s">
        <v>15</v>
      </c>
      <c r="H60" s="9" t="s">
        <v>15</v>
      </c>
      <c r="I60" s="11" t="s">
        <v>15</v>
      </c>
      <c r="J60" s="9" t="s">
        <v>13</v>
      </c>
      <c r="K60" s="11" t="s">
        <v>14</v>
      </c>
      <c r="L60" s="13" t="s">
        <v>15</v>
      </c>
      <c r="M60" s="58" t="s">
        <v>955</v>
      </c>
      <c r="N60" s="11">
        <v>1</v>
      </c>
      <c r="O60" s="10" t="s">
        <v>15</v>
      </c>
      <c r="P60" s="9" t="s">
        <v>15</v>
      </c>
      <c r="Q60" s="11" t="s">
        <v>15</v>
      </c>
      <c r="R60" s="10" t="s">
        <v>15</v>
      </c>
      <c r="S60" s="9" t="s">
        <v>48</v>
      </c>
      <c r="T60" s="15" t="s">
        <v>31</v>
      </c>
      <c r="U60" s="1"/>
      <c r="V60" s="1"/>
      <c r="W60" s="1"/>
      <c r="X60" s="1"/>
      <c r="Y60" s="1"/>
      <c r="Z60" s="1"/>
    </row>
    <row r="61" spans="1:27" s="7" customFormat="1" ht="19.95" customHeight="1" x14ac:dyDescent="0.3">
      <c r="A61" s="9" t="s">
        <v>815</v>
      </c>
      <c r="B61" s="23" t="s">
        <v>883</v>
      </c>
      <c r="C61" s="3" t="s">
        <v>919</v>
      </c>
      <c r="D61" s="93" t="s">
        <v>886</v>
      </c>
      <c r="E61" s="97" t="s">
        <v>15</v>
      </c>
      <c r="F61" s="94" t="s">
        <v>15</v>
      </c>
      <c r="G61" s="10" t="s">
        <v>15</v>
      </c>
      <c r="H61" s="9" t="s">
        <v>15</v>
      </c>
      <c r="I61" s="11" t="s">
        <v>15</v>
      </c>
      <c r="J61" s="4" t="s">
        <v>15</v>
      </c>
      <c r="K61" s="11" t="s">
        <v>15</v>
      </c>
      <c r="L61" s="13" t="s">
        <v>15</v>
      </c>
      <c r="M61" s="14" t="s">
        <v>15</v>
      </c>
      <c r="N61" s="11" t="s">
        <v>15</v>
      </c>
      <c r="O61" s="10" t="s">
        <v>15</v>
      </c>
      <c r="P61" s="9" t="s">
        <v>15</v>
      </c>
      <c r="Q61" s="11" t="s">
        <v>15</v>
      </c>
      <c r="R61" s="10" t="s">
        <v>15</v>
      </c>
      <c r="S61" s="9" t="s">
        <v>15</v>
      </c>
      <c r="T61" s="15" t="s">
        <v>15</v>
      </c>
      <c r="U61" s="1"/>
      <c r="V61" s="1"/>
      <c r="W61" s="1"/>
      <c r="X61" s="1"/>
      <c r="Y61" s="1"/>
      <c r="Z61" s="1"/>
    </row>
    <row r="62" spans="1:27" s="7" customFormat="1" ht="19.95" customHeight="1" x14ac:dyDescent="0.3">
      <c r="A62" s="9" t="s">
        <v>744</v>
      </c>
      <c r="B62" s="138" t="s">
        <v>869</v>
      </c>
      <c r="C62" s="3" t="s">
        <v>1366</v>
      </c>
      <c r="D62" s="93" t="s">
        <v>870</v>
      </c>
      <c r="E62" s="97" t="s">
        <v>15</v>
      </c>
      <c r="F62" s="94" t="s">
        <v>15</v>
      </c>
      <c r="G62" s="10" t="s">
        <v>15</v>
      </c>
      <c r="H62" s="9" t="s">
        <v>15</v>
      </c>
      <c r="I62" s="11" t="s">
        <v>15</v>
      </c>
      <c r="J62" s="4" t="s">
        <v>15</v>
      </c>
      <c r="K62" s="11" t="s">
        <v>15</v>
      </c>
      <c r="L62" s="13" t="s">
        <v>15</v>
      </c>
      <c r="M62" s="14" t="s">
        <v>15</v>
      </c>
      <c r="N62" s="11" t="s">
        <v>15</v>
      </c>
      <c r="O62" s="10" t="s">
        <v>15</v>
      </c>
      <c r="P62" s="9" t="s">
        <v>15</v>
      </c>
      <c r="Q62" s="11" t="s">
        <v>15</v>
      </c>
      <c r="R62" s="10" t="s">
        <v>15</v>
      </c>
      <c r="S62" s="9" t="s">
        <v>15</v>
      </c>
      <c r="T62" s="15" t="s">
        <v>15</v>
      </c>
      <c r="U62" s="1"/>
      <c r="V62" s="1"/>
      <c r="W62" s="1"/>
      <c r="X62" s="1"/>
      <c r="Y62" s="1"/>
      <c r="Z62" s="1"/>
    </row>
    <row r="63" spans="1:27" s="7" customFormat="1" ht="19.95" customHeight="1" x14ac:dyDescent="0.3">
      <c r="A63" s="9" t="s">
        <v>773</v>
      </c>
      <c r="B63" s="23" t="s">
        <v>892</v>
      </c>
      <c r="C63" s="3" t="s">
        <v>879</v>
      </c>
      <c r="D63" s="93" t="s">
        <v>893</v>
      </c>
      <c r="E63" s="97" t="s">
        <v>15</v>
      </c>
      <c r="F63" s="94" t="s">
        <v>15</v>
      </c>
      <c r="G63" s="10" t="s">
        <v>15</v>
      </c>
      <c r="H63" s="9" t="s">
        <v>15</v>
      </c>
      <c r="I63" s="11" t="s">
        <v>15</v>
      </c>
      <c r="J63" s="4" t="s">
        <v>15</v>
      </c>
      <c r="K63" s="11" t="s">
        <v>15</v>
      </c>
      <c r="L63" s="13" t="s">
        <v>15</v>
      </c>
      <c r="M63" s="14" t="s">
        <v>15</v>
      </c>
      <c r="N63" s="11" t="s">
        <v>15</v>
      </c>
      <c r="O63" s="10" t="s">
        <v>15</v>
      </c>
      <c r="P63" s="9" t="s">
        <v>15</v>
      </c>
      <c r="Q63" s="11" t="s">
        <v>15</v>
      </c>
      <c r="R63" s="10" t="s">
        <v>15</v>
      </c>
      <c r="S63" s="9" t="s">
        <v>15</v>
      </c>
      <c r="T63" s="15" t="s">
        <v>15</v>
      </c>
      <c r="U63" s="1"/>
      <c r="V63" s="1"/>
      <c r="W63" s="1"/>
      <c r="X63" s="1"/>
      <c r="Y63" s="1"/>
      <c r="Z63" s="1"/>
    </row>
    <row r="64" spans="1:27" s="7" customFormat="1" ht="19.95" customHeight="1" x14ac:dyDescent="0.3">
      <c r="A64" s="2" t="s">
        <v>733</v>
      </c>
      <c r="B64" s="37" t="s">
        <v>887</v>
      </c>
      <c r="C64" s="99" t="s">
        <v>92</v>
      </c>
      <c r="D64" s="100" t="s">
        <v>888</v>
      </c>
      <c r="E64" s="6" t="s">
        <v>15</v>
      </c>
      <c r="F64" s="5" t="s">
        <v>58</v>
      </c>
      <c r="G64" s="6" t="s">
        <v>98</v>
      </c>
      <c r="H64" s="2" t="s">
        <v>15</v>
      </c>
      <c r="I64" s="5" t="s">
        <v>41</v>
      </c>
      <c r="J64" s="2" t="s">
        <v>15</v>
      </c>
      <c r="K64" s="5" t="s">
        <v>15</v>
      </c>
      <c r="L64" s="6" t="s">
        <v>42</v>
      </c>
      <c r="M64" s="2" t="s">
        <v>15</v>
      </c>
      <c r="N64" s="5" t="s">
        <v>15</v>
      </c>
      <c r="O64" s="6" t="s">
        <v>15</v>
      </c>
      <c r="P64" s="2" t="s">
        <v>15</v>
      </c>
      <c r="Q64" s="5" t="s">
        <v>15</v>
      </c>
      <c r="R64" s="6" t="s">
        <v>15</v>
      </c>
      <c r="S64" s="2" t="s">
        <v>15</v>
      </c>
      <c r="T64" s="5" t="s">
        <v>31</v>
      </c>
      <c r="U64" s="1"/>
      <c r="V64" s="1"/>
      <c r="W64" s="1"/>
      <c r="X64" s="1"/>
      <c r="Y64" s="1"/>
      <c r="Z64" s="1"/>
    </row>
    <row r="65" spans="1:27" s="7" customFormat="1" ht="19.95" customHeight="1" x14ac:dyDescent="0.3">
      <c r="A65" s="2" t="s">
        <v>863</v>
      </c>
      <c r="B65" s="86" t="s">
        <v>889</v>
      </c>
      <c r="C65" s="3" t="s">
        <v>92</v>
      </c>
      <c r="D65" s="4" t="s">
        <v>890</v>
      </c>
      <c r="E65" s="6" t="s">
        <v>15</v>
      </c>
      <c r="F65" s="6" t="s">
        <v>864</v>
      </c>
      <c r="G65" s="6" t="s">
        <v>15</v>
      </c>
      <c r="H65" s="6" t="s">
        <v>15</v>
      </c>
      <c r="I65" s="6" t="s">
        <v>15</v>
      </c>
      <c r="J65" s="6" t="s">
        <v>15</v>
      </c>
      <c r="K65" s="6" t="s">
        <v>15</v>
      </c>
      <c r="L65" s="6" t="s">
        <v>15</v>
      </c>
      <c r="M65" s="6" t="s">
        <v>15</v>
      </c>
      <c r="N65" s="6" t="s">
        <v>15</v>
      </c>
      <c r="O65" s="6" t="s">
        <v>15</v>
      </c>
      <c r="P65" s="6" t="s">
        <v>15</v>
      </c>
      <c r="Q65" s="6" t="s">
        <v>15</v>
      </c>
      <c r="R65" s="6" t="s">
        <v>15</v>
      </c>
      <c r="S65" s="6" t="s">
        <v>15</v>
      </c>
      <c r="T65" s="6" t="s">
        <v>15</v>
      </c>
      <c r="U65" s="1"/>
      <c r="V65" s="1"/>
      <c r="W65" s="1"/>
      <c r="X65" s="1"/>
      <c r="Y65" s="1"/>
      <c r="Z65" s="1"/>
    </row>
    <row r="66" spans="1:27" s="7" customFormat="1" ht="19.95" customHeight="1" x14ac:dyDescent="0.3">
      <c r="A66" s="32" t="s">
        <v>812</v>
      </c>
      <c r="B66" s="40" t="s">
        <v>91</v>
      </c>
      <c r="C66" s="41" t="s">
        <v>92</v>
      </c>
      <c r="D66" s="42" t="s">
        <v>57</v>
      </c>
      <c r="E66" s="12" t="s">
        <v>894</v>
      </c>
      <c r="F66" s="5" t="s">
        <v>77</v>
      </c>
      <c r="G66" s="3" t="s">
        <v>15</v>
      </c>
      <c r="H66" s="4" t="s">
        <v>15</v>
      </c>
      <c r="I66" s="17" t="s">
        <v>15</v>
      </c>
      <c r="J66" s="42" t="s">
        <v>18</v>
      </c>
      <c r="K66" s="11" t="s">
        <v>813</v>
      </c>
      <c r="L66" s="12" t="s">
        <v>15</v>
      </c>
      <c r="M66" s="14" t="s">
        <v>895</v>
      </c>
      <c r="N66" s="17" t="s">
        <v>15</v>
      </c>
      <c r="O66" s="3"/>
      <c r="P66" s="4" t="s">
        <v>15</v>
      </c>
      <c r="Q66" s="17" t="s">
        <v>15</v>
      </c>
      <c r="R66" s="3" t="s">
        <v>15</v>
      </c>
      <c r="S66" s="4" t="s">
        <v>16</v>
      </c>
      <c r="T66" s="5" t="s">
        <v>31</v>
      </c>
      <c r="U66" s="1"/>
      <c r="V66" s="1"/>
      <c r="W66" s="1"/>
      <c r="X66" s="1"/>
      <c r="Y66" s="1"/>
      <c r="Z66" s="1"/>
    </row>
    <row r="67" spans="1:27" ht="18" x14ac:dyDescent="0.3">
      <c r="A67" s="57" t="s">
        <v>799</v>
      </c>
      <c r="B67" s="40" t="s">
        <v>91</v>
      </c>
      <c r="C67" s="41" t="s">
        <v>92</v>
      </c>
      <c r="D67" s="42" t="s">
        <v>57</v>
      </c>
      <c r="E67" s="46" t="s">
        <v>948</v>
      </c>
      <c r="F67" s="44" t="s">
        <v>77</v>
      </c>
      <c r="G67" s="41" t="s">
        <v>15</v>
      </c>
      <c r="H67" s="42" t="s">
        <v>15</v>
      </c>
      <c r="I67" s="53" t="s">
        <v>15</v>
      </c>
      <c r="J67" s="42" t="s">
        <v>13</v>
      </c>
      <c r="K67" s="53" t="s">
        <v>14</v>
      </c>
      <c r="L67" s="46" t="s">
        <v>15</v>
      </c>
      <c r="M67" s="58" t="s">
        <v>81</v>
      </c>
      <c r="N67" s="53" t="s">
        <v>15</v>
      </c>
      <c r="O67" s="41" t="s">
        <v>15</v>
      </c>
      <c r="P67" s="42" t="s">
        <v>15</v>
      </c>
      <c r="Q67" s="53" t="s">
        <v>50</v>
      </c>
      <c r="R67" s="41" t="s">
        <v>15</v>
      </c>
      <c r="S67" s="42" t="s">
        <v>16</v>
      </c>
      <c r="T67" s="44" t="s">
        <v>31</v>
      </c>
      <c r="U67" s="16"/>
      <c r="V67" s="16"/>
      <c r="W67" s="16"/>
      <c r="X67" s="16"/>
      <c r="Y67" s="16"/>
      <c r="Z67" s="16"/>
      <c r="AA67" s="7"/>
    </row>
    <row r="68" spans="1:27" s="7" customFormat="1" ht="19.95" customHeight="1" x14ac:dyDescent="0.3">
      <c r="A68" s="32" t="s">
        <v>796</v>
      </c>
      <c r="B68" s="40" t="s">
        <v>91</v>
      </c>
      <c r="C68" s="41" t="s">
        <v>92</v>
      </c>
      <c r="D68" s="42" t="s">
        <v>57</v>
      </c>
      <c r="E68" s="12" t="s">
        <v>949</v>
      </c>
      <c r="F68" s="5" t="s">
        <v>77</v>
      </c>
      <c r="G68" s="3" t="s">
        <v>15</v>
      </c>
      <c r="H68" s="4" t="s">
        <v>15</v>
      </c>
      <c r="I68" s="17" t="s">
        <v>15</v>
      </c>
      <c r="J68" s="4" t="s">
        <v>18</v>
      </c>
      <c r="K68" s="17" t="s">
        <v>78</v>
      </c>
      <c r="L68" s="12" t="s">
        <v>15</v>
      </c>
      <c r="M68" s="58" t="s">
        <v>87</v>
      </c>
      <c r="N68" s="17" t="s">
        <v>15</v>
      </c>
      <c r="O68" s="3" t="s">
        <v>15</v>
      </c>
      <c r="P68" s="4" t="s">
        <v>15</v>
      </c>
      <c r="Q68" s="17" t="s">
        <v>50</v>
      </c>
      <c r="R68" s="3" t="s">
        <v>15</v>
      </c>
      <c r="S68" s="4" t="s">
        <v>16</v>
      </c>
      <c r="T68" s="5" t="s">
        <v>31</v>
      </c>
      <c r="U68" s="1"/>
      <c r="V68" s="1"/>
      <c r="W68" s="1"/>
      <c r="X68" s="1"/>
      <c r="Y68" s="1"/>
      <c r="Z68" s="1"/>
    </row>
    <row r="69" spans="1:27" s="7" customFormat="1" ht="19.95" customHeight="1" x14ac:dyDescent="0.3">
      <c r="A69" s="32" t="s">
        <v>792</v>
      </c>
      <c r="B69" s="40" t="s">
        <v>91</v>
      </c>
      <c r="C69" s="41" t="s">
        <v>92</v>
      </c>
      <c r="D69" s="42" t="s">
        <v>57</v>
      </c>
      <c r="E69" s="12" t="s">
        <v>950</v>
      </c>
      <c r="F69" s="5" t="s">
        <v>138</v>
      </c>
      <c r="G69" s="3" t="s">
        <v>15</v>
      </c>
      <c r="H69" s="4" t="s">
        <v>15</v>
      </c>
      <c r="I69" s="17" t="s">
        <v>15</v>
      </c>
      <c r="J69" s="4" t="s">
        <v>18</v>
      </c>
      <c r="K69" s="17" t="s">
        <v>78</v>
      </c>
      <c r="L69" s="12" t="s">
        <v>15</v>
      </c>
      <c r="M69" s="58" t="s">
        <v>87</v>
      </c>
      <c r="N69" s="17" t="s">
        <v>15</v>
      </c>
      <c r="O69" s="3" t="s">
        <v>15</v>
      </c>
      <c r="P69" s="4" t="s">
        <v>15</v>
      </c>
      <c r="Q69" s="17" t="s">
        <v>50</v>
      </c>
      <c r="R69" s="3" t="s">
        <v>15</v>
      </c>
      <c r="S69" s="4" t="s">
        <v>16</v>
      </c>
      <c r="T69" s="5" t="s">
        <v>31</v>
      </c>
      <c r="U69" s="1"/>
      <c r="V69" s="1"/>
      <c r="W69" s="1"/>
      <c r="X69" s="1"/>
      <c r="Y69" s="1"/>
      <c r="Z69" s="1"/>
    </row>
    <row r="70" spans="1:27" s="7" customFormat="1" ht="19.95" customHeight="1" x14ac:dyDescent="0.3">
      <c r="A70" s="2" t="s">
        <v>747</v>
      </c>
      <c r="B70" s="40" t="s">
        <v>91</v>
      </c>
      <c r="C70" s="41" t="s">
        <v>92</v>
      </c>
      <c r="D70" s="42" t="s">
        <v>57</v>
      </c>
      <c r="E70" s="101" t="s">
        <v>896</v>
      </c>
      <c r="F70" s="6" t="s">
        <v>15</v>
      </c>
      <c r="G70" s="6" t="s">
        <v>15</v>
      </c>
      <c r="H70" s="6" t="s">
        <v>15</v>
      </c>
      <c r="I70" s="6" t="s">
        <v>15</v>
      </c>
      <c r="J70" s="9" t="s">
        <v>18</v>
      </c>
      <c r="K70" s="11" t="s">
        <v>14</v>
      </c>
      <c r="L70" s="6" t="s">
        <v>15</v>
      </c>
      <c r="M70" s="101" t="s">
        <v>81</v>
      </c>
      <c r="N70" s="6" t="s">
        <v>15</v>
      </c>
      <c r="O70" s="6" t="s">
        <v>15</v>
      </c>
      <c r="P70" s="6" t="s">
        <v>15</v>
      </c>
      <c r="Q70" s="6" t="s">
        <v>15</v>
      </c>
      <c r="R70" s="6" t="s">
        <v>15</v>
      </c>
      <c r="S70" s="4" t="s">
        <v>16</v>
      </c>
      <c r="T70" s="6" t="s">
        <v>15</v>
      </c>
      <c r="U70" s="1"/>
      <c r="V70" s="1"/>
      <c r="W70" s="1"/>
      <c r="X70" s="1"/>
      <c r="Y70" s="1"/>
      <c r="Z70" s="1"/>
    </row>
    <row r="71" spans="1:27" s="7" customFormat="1" ht="19.95" customHeight="1" x14ac:dyDescent="0.3">
      <c r="A71" s="4" t="s">
        <v>798</v>
      </c>
      <c r="B71" s="40" t="s">
        <v>91</v>
      </c>
      <c r="C71" s="41" t="s">
        <v>92</v>
      </c>
      <c r="D71" s="42" t="s">
        <v>57</v>
      </c>
      <c r="E71" s="12" t="s">
        <v>897</v>
      </c>
      <c r="F71" s="5" t="s">
        <v>154</v>
      </c>
      <c r="G71" s="3" t="s">
        <v>15</v>
      </c>
      <c r="H71" s="4" t="s">
        <v>15</v>
      </c>
      <c r="I71" s="17" t="s">
        <v>15</v>
      </c>
      <c r="J71" s="4" t="s">
        <v>18</v>
      </c>
      <c r="K71" s="17" t="s">
        <v>21</v>
      </c>
      <c r="L71" s="12" t="s">
        <v>15</v>
      </c>
      <c r="M71" s="18" t="s">
        <v>53</v>
      </c>
      <c r="N71" s="21" t="s">
        <v>88</v>
      </c>
      <c r="O71" s="3" t="s">
        <v>15</v>
      </c>
      <c r="P71" s="4" t="s">
        <v>15</v>
      </c>
      <c r="Q71" s="17" t="s">
        <v>50</v>
      </c>
      <c r="R71" s="3" t="s">
        <v>15</v>
      </c>
      <c r="S71" s="4" t="s">
        <v>16</v>
      </c>
      <c r="T71" s="5" t="s">
        <v>31</v>
      </c>
      <c r="U71" s="1"/>
      <c r="V71" s="1"/>
      <c r="W71" s="1"/>
      <c r="X71" s="1"/>
      <c r="Y71" s="1"/>
      <c r="Z71" s="1"/>
    </row>
    <row r="72" spans="1:27" s="7" customFormat="1" ht="19.95" customHeight="1" x14ac:dyDescent="0.3">
      <c r="A72" s="2" t="s">
        <v>748</v>
      </c>
      <c r="B72" s="40" t="s">
        <v>91</v>
      </c>
      <c r="C72" s="41" t="s">
        <v>92</v>
      </c>
      <c r="D72" s="42" t="s">
        <v>57</v>
      </c>
      <c r="E72" s="101" t="s">
        <v>224</v>
      </c>
      <c r="F72" s="6" t="s">
        <v>15</v>
      </c>
      <c r="G72" s="6" t="s">
        <v>15</v>
      </c>
      <c r="H72" s="6" t="s">
        <v>15</v>
      </c>
      <c r="I72" s="6" t="s">
        <v>15</v>
      </c>
      <c r="J72" s="9" t="s">
        <v>18</v>
      </c>
      <c r="K72" s="11" t="s">
        <v>14</v>
      </c>
      <c r="L72" s="6" t="s">
        <v>15</v>
      </c>
      <c r="M72" s="101" t="s">
        <v>81</v>
      </c>
      <c r="N72" s="6" t="s">
        <v>15</v>
      </c>
      <c r="O72" s="6" t="s">
        <v>15</v>
      </c>
      <c r="P72" s="6" t="s">
        <v>15</v>
      </c>
      <c r="Q72" s="6" t="s">
        <v>15</v>
      </c>
      <c r="R72" s="6" t="s">
        <v>15</v>
      </c>
      <c r="S72" s="4" t="s">
        <v>16</v>
      </c>
      <c r="T72" s="6" t="s">
        <v>15</v>
      </c>
      <c r="U72" s="1"/>
      <c r="V72" s="1"/>
      <c r="W72" s="1"/>
      <c r="X72" s="1"/>
      <c r="Y72" s="1"/>
      <c r="Z72" s="1"/>
    </row>
    <row r="73" spans="1:27" s="7" customFormat="1" ht="19.95" customHeight="1" x14ac:dyDescent="0.3">
      <c r="A73" s="2" t="s">
        <v>223</v>
      </c>
      <c r="B73" s="40" t="s">
        <v>91</v>
      </c>
      <c r="C73" s="41" t="s">
        <v>92</v>
      </c>
      <c r="D73" s="42" t="s">
        <v>57</v>
      </c>
      <c r="E73" s="101" t="s">
        <v>898</v>
      </c>
      <c r="F73" s="6" t="s">
        <v>15</v>
      </c>
      <c r="G73" s="6" t="s">
        <v>15</v>
      </c>
      <c r="H73" s="6" t="s">
        <v>15</v>
      </c>
      <c r="I73" s="6" t="s">
        <v>15</v>
      </c>
      <c r="J73" s="9" t="s">
        <v>18</v>
      </c>
      <c r="K73" s="11" t="s">
        <v>14</v>
      </c>
      <c r="L73" s="6" t="s">
        <v>15</v>
      </c>
      <c r="M73" s="101" t="s">
        <v>81</v>
      </c>
      <c r="N73" s="6" t="s">
        <v>15</v>
      </c>
      <c r="O73" s="6" t="s">
        <v>15</v>
      </c>
      <c r="P73" s="6" t="s">
        <v>15</v>
      </c>
      <c r="Q73" s="6" t="s">
        <v>15</v>
      </c>
      <c r="R73" s="6" t="s">
        <v>15</v>
      </c>
      <c r="S73" s="4" t="s">
        <v>16</v>
      </c>
      <c r="T73" s="6" t="s">
        <v>15</v>
      </c>
      <c r="U73" s="1"/>
      <c r="V73" s="1"/>
      <c r="W73" s="1"/>
      <c r="X73" s="1"/>
      <c r="Y73" s="1"/>
      <c r="Z73" s="1"/>
    </row>
    <row r="74" spans="1:27" s="7" customFormat="1" ht="19.95" customHeight="1" x14ac:dyDescent="0.3">
      <c r="A74" s="32" t="s">
        <v>810</v>
      </c>
      <c r="B74" s="40" t="s">
        <v>91</v>
      </c>
      <c r="C74" s="41" t="s">
        <v>92</v>
      </c>
      <c r="D74" s="42" t="s">
        <v>57</v>
      </c>
      <c r="E74" s="12" t="s">
        <v>899</v>
      </c>
      <c r="F74" s="5" t="s">
        <v>77</v>
      </c>
      <c r="G74" s="3" t="s">
        <v>15</v>
      </c>
      <c r="H74" s="4" t="s">
        <v>15</v>
      </c>
      <c r="I74" s="17" t="s">
        <v>15</v>
      </c>
      <c r="J74" s="9" t="s">
        <v>18</v>
      </c>
      <c r="K74" s="17" t="s">
        <v>811</v>
      </c>
      <c r="L74" s="12" t="s">
        <v>15</v>
      </c>
      <c r="M74" s="14" t="s">
        <v>900</v>
      </c>
      <c r="N74" s="17" t="s">
        <v>15</v>
      </c>
      <c r="O74" s="3">
        <v>67555684</v>
      </c>
      <c r="P74" s="4" t="s">
        <v>15</v>
      </c>
      <c r="Q74" s="17" t="s">
        <v>15</v>
      </c>
      <c r="R74" s="3" t="s">
        <v>15</v>
      </c>
      <c r="S74" s="4" t="s">
        <v>16</v>
      </c>
      <c r="T74" s="5" t="s">
        <v>31</v>
      </c>
      <c r="U74" s="1"/>
      <c r="V74" s="1"/>
      <c r="W74" s="1"/>
      <c r="X74" s="1"/>
      <c r="Y74" s="1"/>
      <c r="Z74" s="1"/>
    </row>
    <row r="75" spans="1:27" s="7" customFormat="1" ht="19.95" customHeight="1" x14ac:dyDescent="0.3">
      <c r="A75" s="26" t="s">
        <v>820</v>
      </c>
      <c r="B75" s="40" t="s">
        <v>884</v>
      </c>
      <c r="C75" s="41" t="s">
        <v>919</v>
      </c>
      <c r="D75" s="42" t="s">
        <v>885</v>
      </c>
      <c r="E75" s="13" t="s">
        <v>901</v>
      </c>
      <c r="F75" s="15" t="s">
        <v>128</v>
      </c>
      <c r="G75" s="10" t="s">
        <v>15</v>
      </c>
      <c r="H75" s="9" t="s">
        <v>15</v>
      </c>
      <c r="I75" s="11" t="s">
        <v>15</v>
      </c>
      <c r="J75" s="9" t="s">
        <v>19</v>
      </c>
      <c r="K75" s="11" t="s">
        <v>230</v>
      </c>
      <c r="L75" s="10" t="s">
        <v>15</v>
      </c>
      <c r="M75" s="18" t="s">
        <v>90</v>
      </c>
      <c r="N75" s="11" t="s">
        <v>15</v>
      </c>
      <c r="O75" s="13" t="s">
        <v>15</v>
      </c>
      <c r="P75" s="9" t="s">
        <v>15</v>
      </c>
      <c r="Q75" s="11" t="s">
        <v>15</v>
      </c>
      <c r="R75" s="10" t="s">
        <v>29</v>
      </c>
      <c r="S75" s="4" t="s">
        <v>16</v>
      </c>
      <c r="T75" s="15" t="s">
        <v>31</v>
      </c>
      <c r="U75" s="1"/>
      <c r="V75" s="1"/>
      <c r="W75" s="1"/>
      <c r="X75" s="1"/>
      <c r="Y75" s="1"/>
      <c r="Z75" s="1"/>
    </row>
    <row r="76" spans="1:27" s="7" customFormat="1" ht="19.95" customHeight="1" x14ac:dyDescent="0.3">
      <c r="A76" s="26" t="s">
        <v>821</v>
      </c>
      <c r="B76" s="40" t="s">
        <v>884</v>
      </c>
      <c r="C76" s="41" t="s">
        <v>919</v>
      </c>
      <c r="D76" s="42" t="s">
        <v>885</v>
      </c>
      <c r="E76" s="13" t="s">
        <v>236</v>
      </c>
      <c r="F76" s="15" t="s">
        <v>128</v>
      </c>
      <c r="G76" s="10" t="s">
        <v>15</v>
      </c>
      <c r="H76" s="9" t="s">
        <v>15</v>
      </c>
      <c r="I76" s="11" t="s">
        <v>15</v>
      </c>
      <c r="J76" s="9" t="s">
        <v>19</v>
      </c>
      <c r="K76" s="11" t="s">
        <v>14</v>
      </c>
      <c r="L76" s="10" t="s">
        <v>15</v>
      </c>
      <c r="M76" s="18" t="s">
        <v>822</v>
      </c>
      <c r="N76" s="11" t="s">
        <v>15</v>
      </c>
      <c r="O76" s="13" t="s">
        <v>15</v>
      </c>
      <c r="P76" s="9" t="s">
        <v>15</v>
      </c>
      <c r="Q76" s="11" t="s">
        <v>15</v>
      </c>
      <c r="R76" s="10" t="s">
        <v>29</v>
      </c>
      <c r="S76" s="4" t="s">
        <v>16</v>
      </c>
      <c r="T76" s="15" t="s">
        <v>31</v>
      </c>
      <c r="U76" s="1"/>
      <c r="V76" s="1"/>
      <c r="W76" s="1"/>
      <c r="X76" s="1"/>
      <c r="Y76" s="1"/>
      <c r="Z76" s="1"/>
    </row>
    <row r="77" spans="1:27" s="7" customFormat="1" ht="19.95" customHeight="1" x14ac:dyDescent="0.3">
      <c r="A77" s="2" t="s">
        <v>747</v>
      </c>
      <c r="B77" s="40" t="s">
        <v>884</v>
      </c>
      <c r="C77" s="41" t="s">
        <v>919</v>
      </c>
      <c r="D77" s="42" t="s">
        <v>885</v>
      </c>
      <c r="E77" s="101" t="s">
        <v>902</v>
      </c>
      <c r="F77" s="6" t="s">
        <v>15</v>
      </c>
      <c r="G77" s="6" t="s">
        <v>15</v>
      </c>
      <c r="H77" s="6" t="s">
        <v>15</v>
      </c>
      <c r="I77" s="6" t="s">
        <v>15</v>
      </c>
      <c r="J77" s="9" t="s">
        <v>18</v>
      </c>
      <c r="K77" s="11" t="s">
        <v>14</v>
      </c>
      <c r="L77" s="6" t="s">
        <v>15</v>
      </c>
      <c r="M77" s="101" t="s">
        <v>81</v>
      </c>
      <c r="N77" s="6" t="s">
        <v>15</v>
      </c>
      <c r="O77" s="6" t="s">
        <v>15</v>
      </c>
      <c r="P77" s="6" t="s">
        <v>15</v>
      </c>
      <c r="Q77" s="6" t="s">
        <v>15</v>
      </c>
      <c r="R77" s="6" t="s">
        <v>15</v>
      </c>
      <c r="S77" s="4" t="s">
        <v>16</v>
      </c>
      <c r="T77" s="6" t="s">
        <v>15</v>
      </c>
      <c r="U77" s="1"/>
      <c r="V77" s="1"/>
      <c r="W77" s="1"/>
      <c r="X77" s="1"/>
      <c r="Y77" s="1"/>
      <c r="Z77" s="1"/>
    </row>
    <row r="78" spans="1:27" s="7" customFormat="1" ht="19.95" customHeight="1" x14ac:dyDescent="0.3">
      <c r="A78" s="2" t="s">
        <v>791</v>
      </c>
      <c r="B78" s="40" t="s">
        <v>91</v>
      </c>
      <c r="C78" s="41" t="s">
        <v>92</v>
      </c>
      <c r="D78" s="42" t="s">
        <v>57</v>
      </c>
      <c r="E78" s="13" t="s">
        <v>951</v>
      </c>
      <c r="F78" s="6" t="s">
        <v>77</v>
      </c>
      <c r="G78" s="6" t="s">
        <v>15</v>
      </c>
      <c r="H78" s="6" t="s">
        <v>15</v>
      </c>
      <c r="I78" s="6" t="s">
        <v>15</v>
      </c>
      <c r="J78" s="9" t="s">
        <v>18</v>
      </c>
      <c r="K78" s="11" t="s">
        <v>26</v>
      </c>
      <c r="L78" s="6" t="s">
        <v>15</v>
      </c>
      <c r="M78" s="101">
        <v>100</v>
      </c>
      <c r="N78" s="6">
        <v>1</v>
      </c>
      <c r="O78" s="6" t="s">
        <v>15</v>
      </c>
      <c r="P78" s="6" t="s">
        <v>15</v>
      </c>
      <c r="Q78" s="6" t="s">
        <v>15</v>
      </c>
      <c r="R78" s="6" t="s">
        <v>47</v>
      </c>
      <c r="S78" s="4" t="s">
        <v>48</v>
      </c>
      <c r="T78" s="6" t="s">
        <v>31</v>
      </c>
      <c r="U78" s="1"/>
      <c r="V78" s="1"/>
      <c r="W78" s="1"/>
      <c r="X78" s="1"/>
      <c r="Y78" s="1"/>
      <c r="Z78" s="1"/>
    </row>
    <row r="79" spans="1:27" s="7" customFormat="1" ht="19.95" customHeight="1" x14ac:dyDescent="0.3">
      <c r="A79" s="103" t="s">
        <v>800</v>
      </c>
      <c r="B79" s="40" t="s">
        <v>91</v>
      </c>
      <c r="C79" s="41" t="s">
        <v>92</v>
      </c>
      <c r="D79" s="42" t="s">
        <v>57</v>
      </c>
      <c r="E79" s="12" t="s">
        <v>914</v>
      </c>
      <c r="F79" s="5" t="s">
        <v>77</v>
      </c>
      <c r="G79" s="10" t="s">
        <v>15</v>
      </c>
      <c r="H79" s="9" t="s">
        <v>15</v>
      </c>
      <c r="I79" s="11" t="s">
        <v>15</v>
      </c>
      <c r="J79" s="4" t="s">
        <v>18</v>
      </c>
      <c r="K79" s="11" t="s">
        <v>78</v>
      </c>
      <c r="L79" s="13" t="s">
        <v>15</v>
      </c>
      <c r="M79" s="14" t="s">
        <v>915</v>
      </c>
      <c r="N79" s="11" t="s">
        <v>15</v>
      </c>
      <c r="O79" s="10" t="s">
        <v>15</v>
      </c>
      <c r="P79" s="9" t="s">
        <v>15</v>
      </c>
      <c r="Q79" s="11" t="s">
        <v>15</v>
      </c>
      <c r="R79" s="10" t="s">
        <v>47</v>
      </c>
      <c r="S79" s="9" t="s">
        <v>48</v>
      </c>
      <c r="T79" s="15" t="s">
        <v>31</v>
      </c>
      <c r="U79" s="1"/>
      <c r="V79" s="1"/>
      <c r="W79" s="1"/>
      <c r="X79" s="1"/>
      <c r="Y79" s="1"/>
      <c r="Z79" s="1"/>
    </row>
    <row r="80" spans="1:27" s="7" customFormat="1" ht="19.95" customHeight="1" x14ac:dyDescent="0.3">
      <c r="A80" s="31" t="s">
        <v>781</v>
      </c>
      <c r="B80" s="40" t="s">
        <v>91</v>
      </c>
      <c r="C80" s="41" t="s">
        <v>92</v>
      </c>
      <c r="D80" s="42" t="s">
        <v>57</v>
      </c>
      <c r="E80" s="12" t="s">
        <v>903</v>
      </c>
      <c r="F80" s="5" t="s">
        <v>138</v>
      </c>
      <c r="G80" s="10" t="s">
        <v>15</v>
      </c>
      <c r="H80" s="9" t="s">
        <v>15</v>
      </c>
      <c r="I80" s="11" t="s">
        <v>15</v>
      </c>
      <c r="J80" s="4" t="s">
        <v>18</v>
      </c>
      <c r="K80" s="11" t="s">
        <v>78</v>
      </c>
      <c r="L80" s="13" t="s">
        <v>15</v>
      </c>
      <c r="M80" s="14" t="s">
        <v>904</v>
      </c>
      <c r="N80" s="19" t="s">
        <v>139</v>
      </c>
      <c r="O80" s="10" t="s">
        <v>15</v>
      </c>
      <c r="P80" s="9" t="s">
        <v>15</v>
      </c>
      <c r="Q80" s="11" t="s">
        <v>15</v>
      </c>
      <c r="R80" s="10" t="s">
        <v>47</v>
      </c>
      <c r="S80" s="9" t="s">
        <v>48</v>
      </c>
      <c r="T80" s="15" t="s">
        <v>31</v>
      </c>
      <c r="U80" s="1"/>
      <c r="V80" s="1"/>
      <c r="W80" s="1"/>
      <c r="X80" s="1"/>
      <c r="Y80" s="1"/>
      <c r="Z80" s="1"/>
    </row>
    <row r="81" spans="1:26" s="7" customFormat="1" ht="19.95" customHeight="1" x14ac:dyDescent="0.3">
      <c r="A81" s="103" t="s">
        <v>809</v>
      </c>
      <c r="B81" s="40" t="s">
        <v>91</v>
      </c>
      <c r="C81" s="41" t="s">
        <v>92</v>
      </c>
      <c r="D81" s="42" t="s">
        <v>57</v>
      </c>
      <c r="E81" s="12" t="s">
        <v>905</v>
      </c>
      <c r="F81" s="5" t="s">
        <v>77</v>
      </c>
      <c r="G81" s="10" t="s">
        <v>15</v>
      </c>
      <c r="H81" s="9" t="s">
        <v>15</v>
      </c>
      <c r="I81" s="11" t="s">
        <v>15</v>
      </c>
      <c r="J81" s="9" t="s">
        <v>18</v>
      </c>
      <c r="K81" s="17" t="s">
        <v>78</v>
      </c>
      <c r="L81" s="12" t="s">
        <v>15</v>
      </c>
      <c r="M81" s="14" t="s">
        <v>53</v>
      </c>
      <c r="N81" s="19" t="s">
        <v>88</v>
      </c>
      <c r="O81" s="10" t="s">
        <v>15</v>
      </c>
      <c r="P81" s="9" t="s">
        <v>15</v>
      </c>
      <c r="Q81" s="11" t="s">
        <v>15</v>
      </c>
      <c r="R81" s="10" t="s">
        <v>47</v>
      </c>
      <c r="S81" s="9" t="s">
        <v>48</v>
      </c>
      <c r="T81" s="15" t="s">
        <v>31</v>
      </c>
      <c r="U81" s="1"/>
      <c r="V81" s="1"/>
      <c r="W81" s="1"/>
      <c r="X81" s="1"/>
      <c r="Y81" s="1"/>
      <c r="Z81" s="1"/>
    </row>
    <row r="82" spans="1:26" s="7" customFormat="1" ht="19.95" customHeight="1" x14ac:dyDescent="0.3">
      <c r="A82" s="4" t="s">
        <v>778</v>
      </c>
      <c r="B82" s="40" t="s">
        <v>91</v>
      </c>
      <c r="C82" s="41" t="s">
        <v>92</v>
      </c>
      <c r="D82" s="42" t="s">
        <v>57</v>
      </c>
      <c r="E82" s="12" t="s">
        <v>952</v>
      </c>
      <c r="F82" s="5" t="s">
        <v>70</v>
      </c>
      <c r="G82" s="3" t="s">
        <v>15</v>
      </c>
      <c r="H82" s="4" t="s">
        <v>15</v>
      </c>
      <c r="I82" s="17" t="s">
        <v>15</v>
      </c>
      <c r="J82" s="9" t="s">
        <v>18</v>
      </c>
      <c r="K82" s="17" t="s">
        <v>15</v>
      </c>
      <c r="L82" s="12" t="s">
        <v>15</v>
      </c>
      <c r="M82" s="14" t="s">
        <v>906</v>
      </c>
      <c r="N82" s="17" t="s">
        <v>15</v>
      </c>
      <c r="O82" s="3" t="s">
        <v>15</v>
      </c>
      <c r="P82" s="4" t="s">
        <v>15</v>
      </c>
      <c r="Q82" s="17" t="s">
        <v>15</v>
      </c>
      <c r="R82" s="3" t="s">
        <v>15</v>
      </c>
      <c r="S82" s="9" t="s">
        <v>30</v>
      </c>
      <c r="T82" s="5" t="s">
        <v>31</v>
      </c>
      <c r="U82" s="1"/>
      <c r="V82" s="1"/>
      <c r="W82" s="1"/>
      <c r="X82" s="1"/>
      <c r="Y82" s="1"/>
      <c r="Z82" s="1"/>
    </row>
    <row r="83" spans="1:26" s="7" customFormat="1" ht="19.95" customHeight="1" x14ac:dyDescent="0.3">
      <c r="A83" s="35" t="s">
        <v>777</v>
      </c>
      <c r="B83" s="40" t="s">
        <v>91</v>
      </c>
      <c r="C83" s="41" t="s">
        <v>92</v>
      </c>
      <c r="D83" s="42" t="s">
        <v>57</v>
      </c>
      <c r="E83" s="96" t="s">
        <v>1379</v>
      </c>
      <c r="F83" s="5" t="s">
        <v>65</v>
      </c>
      <c r="G83" s="10" t="s">
        <v>15</v>
      </c>
      <c r="H83" s="9" t="s">
        <v>15</v>
      </c>
      <c r="I83" s="11" t="s">
        <v>15</v>
      </c>
      <c r="J83" s="9" t="s">
        <v>20</v>
      </c>
      <c r="K83" s="11" t="s">
        <v>15</v>
      </c>
      <c r="L83" s="13" t="s">
        <v>15</v>
      </c>
      <c r="M83" s="14" t="s">
        <v>67</v>
      </c>
      <c r="N83" s="11" t="s">
        <v>15</v>
      </c>
      <c r="O83" s="10" t="s">
        <v>15</v>
      </c>
      <c r="P83" s="9" t="s">
        <v>15</v>
      </c>
      <c r="Q83" s="11" t="s">
        <v>15</v>
      </c>
      <c r="R83" s="10" t="s">
        <v>15</v>
      </c>
      <c r="S83" s="9" t="s">
        <v>15</v>
      </c>
      <c r="T83" s="15" t="s">
        <v>31</v>
      </c>
      <c r="U83" s="1"/>
      <c r="V83" s="1"/>
      <c r="W83" s="1"/>
      <c r="X83" s="1"/>
      <c r="Y83" s="1"/>
      <c r="Z83" s="1"/>
    </row>
    <row r="84" spans="1:26" s="7" customFormat="1" ht="19.95" customHeight="1" x14ac:dyDescent="0.3">
      <c r="A84" s="35" t="s">
        <v>807</v>
      </c>
      <c r="B84" s="40" t="s">
        <v>91</v>
      </c>
      <c r="C84" s="41" t="s">
        <v>92</v>
      </c>
      <c r="D84" s="42" t="s">
        <v>57</v>
      </c>
      <c r="E84" s="96" t="s">
        <v>953</v>
      </c>
      <c r="F84" s="5" t="s">
        <v>65</v>
      </c>
      <c r="G84" s="10" t="s">
        <v>15</v>
      </c>
      <c r="H84" s="9" t="s">
        <v>15</v>
      </c>
      <c r="I84" s="11" t="s">
        <v>15</v>
      </c>
      <c r="J84" s="9" t="s">
        <v>18</v>
      </c>
      <c r="K84" s="11" t="s">
        <v>15</v>
      </c>
      <c r="L84" s="13" t="s">
        <v>15</v>
      </c>
      <c r="M84" s="14" t="s">
        <v>808</v>
      </c>
      <c r="N84" s="11" t="s">
        <v>15</v>
      </c>
      <c r="O84" s="10" t="s">
        <v>15</v>
      </c>
      <c r="P84" s="9" t="s">
        <v>15</v>
      </c>
      <c r="Q84" s="11" t="s">
        <v>15</v>
      </c>
      <c r="R84" s="10" t="s">
        <v>15</v>
      </c>
      <c r="S84" s="9" t="s">
        <v>15</v>
      </c>
      <c r="T84" s="15" t="s">
        <v>31</v>
      </c>
      <c r="U84" s="1"/>
      <c r="V84" s="1"/>
      <c r="W84" s="1"/>
      <c r="X84" s="1"/>
      <c r="Y84" s="1"/>
      <c r="Z84" s="1"/>
    </row>
    <row r="85" spans="1:26" s="7" customFormat="1" ht="19.95" customHeight="1" x14ac:dyDescent="0.3">
      <c r="A85" s="111" t="s">
        <v>782</v>
      </c>
      <c r="B85" s="23" t="s">
        <v>1380</v>
      </c>
      <c r="C85" s="41" t="s">
        <v>56</v>
      </c>
      <c r="D85" s="42" t="s">
        <v>1381</v>
      </c>
      <c r="E85" s="112" t="s">
        <v>15</v>
      </c>
      <c r="F85" s="113" t="s">
        <v>58</v>
      </c>
      <c r="G85" s="112" t="s">
        <v>15</v>
      </c>
      <c r="H85" s="111" t="s">
        <v>15</v>
      </c>
      <c r="I85" s="113" t="s">
        <v>15</v>
      </c>
      <c r="J85" s="111" t="s">
        <v>52</v>
      </c>
      <c r="K85" s="113" t="s">
        <v>21</v>
      </c>
      <c r="L85" s="114" t="s">
        <v>15</v>
      </c>
      <c r="M85" s="115" t="s">
        <v>53</v>
      </c>
      <c r="N85" s="113" t="s">
        <v>15</v>
      </c>
      <c r="O85" s="112" t="s">
        <v>15</v>
      </c>
      <c r="P85" s="111" t="s">
        <v>15</v>
      </c>
      <c r="Q85" s="113" t="s">
        <v>53</v>
      </c>
      <c r="R85" s="112" t="s">
        <v>29</v>
      </c>
      <c r="S85" s="111" t="s">
        <v>48</v>
      </c>
      <c r="T85" s="116" t="s">
        <v>31</v>
      </c>
      <c r="U85" s="110"/>
      <c r="V85" s="110"/>
      <c r="W85" s="110"/>
      <c r="X85" s="110"/>
      <c r="Y85" s="110"/>
      <c r="Z85" s="110"/>
    </row>
    <row r="86" spans="1:26" s="7" customFormat="1" ht="19.95" customHeight="1" x14ac:dyDescent="0.3">
      <c r="A86" s="9" t="s">
        <v>795</v>
      </c>
      <c r="B86" s="23" t="s">
        <v>301</v>
      </c>
      <c r="C86" s="3" t="s">
        <v>879</v>
      </c>
      <c r="D86" s="42" t="s">
        <v>916</v>
      </c>
      <c r="E86" s="10" t="s">
        <v>15</v>
      </c>
      <c r="F86" s="11" t="s">
        <v>39</v>
      </c>
      <c r="G86" s="10" t="s">
        <v>15</v>
      </c>
      <c r="H86" s="9" t="s">
        <v>15</v>
      </c>
      <c r="I86" s="11" t="s">
        <v>15</v>
      </c>
      <c r="J86" s="9" t="s">
        <v>52</v>
      </c>
      <c r="K86" s="11" t="s">
        <v>21</v>
      </c>
      <c r="L86" s="13" t="s">
        <v>15</v>
      </c>
      <c r="M86" s="19" t="s">
        <v>1382</v>
      </c>
      <c r="N86" s="19" t="s">
        <v>88</v>
      </c>
      <c r="O86" s="10" t="s">
        <v>15</v>
      </c>
      <c r="P86" s="9" t="s">
        <v>15</v>
      </c>
      <c r="Q86" s="19" t="s">
        <v>83</v>
      </c>
      <c r="R86" s="10" t="s">
        <v>29</v>
      </c>
      <c r="S86" s="9" t="s">
        <v>48</v>
      </c>
      <c r="T86" s="15" t="s">
        <v>31</v>
      </c>
      <c r="U86" s="1"/>
      <c r="V86" s="1"/>
      <c r="W86" s="1"/>
      <c r="X86" s="1"/>
      <c r="Y86" s="1"/>
      <c r="Z86" s="1"/>
    </row>
    <row r="87" spans="1:26" s="7" customFormat="1" ht="19.95" customHeight="1" x14ac:dyDescent="0.3">
      <c r="A87" s="35" t="s">
        <v>816</v>
      </c>
      <c r="B87" s="36" t="s">
        <v>103</v>
      </c>
      <c r="C87" s="3" t="s">
        <v>75</v>
      </c>
      <c r="D87" s="4" t="s">
        <v>104</v>
      </c>
      <c r="E87" s="6" t="s">
        <v>15</v>
      </c>
      <c r="F87" s="5" t="s">
        <v>65</v>
      </c>
      <c r="G87" s="10" t="s">
        <v>15</v>
      </c>
      <c r="H87" s="9" t="s">
        <v>15</v>
      </c>
      <c r="I87" s="11" t="s">
        <v>15</v>
      </c>
      <c r="J87" s="9" t="s">
        <v>15</v>
      </c>
      <c r="K87" s="11" t="s">
        <v>15</v>
      </c>
      <c r="L87" s="13" t="s">
        <v>15</v>
      </c>
      <c r="M87" s="14" t="s">
        <v>15</v>
      </c>
      <c r="N87" s="11" t="s">
        <v>15</v>
      </c>
      <c r="O87" s="10" t="s">
        <v>15</v>
      </c>
      <c r="P87" s="9" t="s">
        <v>15</v>
      </c>
      <c r="Q87" s="11" t="s">
        <v>15</v>
      </c>
      <c r="R87" s="10" t="s">
        <v>15</v>
      </c>
      <c r="S87" s="9" t="s">
        <v>15</v>
      </c>
      <c r="T87" s="15" t="s">
        <v>31</v>
      </c>
      <c r="U87" s="1"/>
      <c r="V87" s="1"/>
      <c r="W87" s="1"/>
      <c r="X87" s="1"/>
      <c r="Y87" s="1"/>
      <c r="Z87" s="1"/>
    </row>
    <row r="88" spans="1:26" s="7" customFormat="1" ht="19.95" customHeight="1" x14ac:dyDescent="0.3">
      <c r="A88" s="9" t="s">
        <v>784</v>
      </c>
      <c r="B88" s="30" t="s">
        <v>909</v>
      </c>
      <c r="C88" s="3" t="s">
        <v>92</v>
      </c>
      <c r="D88" s="9" t="s">
        <v>910</v>
      </c>
      <c r="E88" s="13" t="s">
        <v>911</v>
      </c>
      <c r="F88" s="15" t="s">
        <v>164</v>
      </c>
      <c r="G88" s="10" t="s">
        <v>15</v>
      </c>
      <c r="H88" s="9" t="s">
        <v>15</v>
      </c>
      <c r="I88" s="11" t="s">
        <v>41</v>
      </c>
      <c r="J88" s="9" t="s">
        <v>18</v>
      </c>
      <c r="K88" s="11" t="s">
        <v>15</v>
      </c>
      <c r="L88" s="10" t="s">
        <v>15</v>
      </c>
      <c r="M88" s="9" t="s">
        <v>15</v>
      </c>
      <c r="N88" s="11" t="s">
        <v>15</v>
      </c>
      <c r="O88" s="10" t="s">
        <v>15</v>
      </c>
      <c r="P88" s="9" t="s">
        <v>15</v>
      </c>
      <c r="Q88" s="11" t="s">
        <v>15</v>
      </c>
      <c r="R88" s="10" t="s">
        <v>29</v>
      </c>
      <c r="S88" s="9" t="s">
        <v>48</v>
      </c>
      <c r="T88" s="15" t="s">
        <v>31</v>
      </c>
      <c r="U88" s="1" t="s">
        <v>1374</v>
      </c>
      <c r="V88" s="1"/>
      <c r="W88" s="1"/>
      <c r="X88" s="1"/>
      <c r="Y88" s="1"/>
      <c r="Z88" s="1"/>
    </row>
    <row r="89" spans="1:26" s="7" customFormat="1" ht="19.95" customHeight="1" x14ac:dyDescent="0.3">
      <c r="A89" s="9" t="s">
        <v>785</v>
      </c>
      <c r="B89" s="30" t="s">
        <v>880</v>
      </c>
      <c r="C89" s="3" t="s">
        <v>75</v>
      </c>
      <c r="D89" s="9" t="s">
        <v>881</v>
      </c>
      <c r="E89" s="13" t="s">
        <v>1375</v>
      </c>
      <c r="F89" s="15" t="s">
        <v>164</v>
      </c>
      <c r="G89" s="10" t="s">
        <v>15</v>
      </c>
      <c r="H89" s="9" t="s">
        <v>15</v>
      </c>
      <c r="I89" s="11" t="s">
        <v>41</v>
      </c>
      <c r="J89" s="9" t="s">
        <v>18</v>
      </c>
      <c r="K89" s="11" t="s">
        <v>15</v>
      </c>
      <c r="L89" s="10" t="s">
        <v>15</v>
      </c>
      <c r="M89" s="9" t="s">
        <v>15</v>
      </c>
      <c r="N89" s="11" t="s">
        <v>15</v>
      </c>
      <c r="O89" s="10" t="s">
        <v>15</v>
      </c>
      <c r="P89" s="9" t="s">
        <v>15</v>
      </c>
      <c r="Q89" s="11" t="s">
        <v>15</v>
      </c>
      <c r="R89" s="10" t="s">
        <v>29</v>
      </c>
      <c r="S89" s="9" t="s">
        <v>48</v>
      </c>
      <c r="T89" s="15" t="s">
        <v>31</v>
      </c>
      <c r="U89" s="1" t="s">
        <v>1376</v>
      </c>
      <c r="V89" s="1"/>
      <c r="W89" s="1"/>
      <c r="X89" s="1"/>
      <c r="Y89" s="1"/>
      <c r="Z89" s="1"/>
    </row>
    <row r="90" spans="1:26" s="7" customFormat="1" ht="19.95" customHeight="1" x14ac:dyDescent="0.3">
      <c r="A90" s="9" t="s">
        <v>786</v>
      </c>
      <c r="B90" s="30" t="s">
        <v>880</v>
      </c>
      <c r="C90" s="3" t="s">
        <v>75</v>
      </c>
      <c r="D90" s="9" t="s">
        <v>881</v>
      </c>
      <c r="E90" s="13" t="s">
        <v>912</v>
      </c>
      <c r="F90" s="15" t="s">
        <v>128</v>
      </c>
      <c r="G90" s="10" t="s">
        <v>15</v>
      </c>
      <c r="H90" s="9" t="s">
        <v>15</v>
      </c>
      <c r="I90" s="11" t="s">
        <v>15</v>
      </c>
      <c r="J90" s="9" t="s">
        <v>18</v>
      </c>
      <c r="K90" s="11" t="s">
        <v>15</v>
      </c>
      <c r="L90" s="10" t="s">
        <v>15</v>
      </c>
      <c r="M90" s="9" t="s">
        <v>15</v>
      </c>
      <c r="N90" s="11" t="s">
        <v>15</v>
      </c>
      <c r="O90" s="13" t="s">
        <v>15</v>
      </c>
      <c r="P90" s="9" t="s">
        <v>15</v>
      </c>
      <c r="Q90" s="11" t="s">
        <v>15</v>
      </c>
      <c r="R90" s="10" t="s">
        <v>29</v>
      </c>
      <c r="S90" s="9" t="s">
        <v>48</v>
      </c>
      <c r="T90" s="15" t="s">
        <v>31</v>
      </c>
      <c r="U90" s="1"/>
      <c r="V90" s="1"/>
      <c r="W90" s="1"/>
      <c r="X90" s="1"/>
      <c r="Y90" s="1"/>
      <c r="Z90" s="1"/>
    </row>
    <row r="91" spans="1:26" s="7" customFormat="1" ht="19.95" customHeight="1" x14ac:dyDescent="0.3">
      <c r="A91" s="9" t="s">
        <v>787</v>
      </c>
      <c r="B91" s="40" t="s">
        <v>884</v>
      </c>
      <c r="C91" s="41" t="s">
        <v>919</v>
      </c>
      <c r="D91" s="42" t="s">
        <v>885</v>
      </c>
      <c r="E91" s="13" t="s">
        <v>913</v>
      </c>
      <c r="F91" s="11" t="s">
        <v>15</v>
      </c>
      <c r="G91" s="10" t="s">
        <v>15</v>
      </c>
      <c r="H91" s="9" t="s">
        <v>15</v>
      </c>
      <c r="I91" s="11" t="s">
        <v>15</v>
      </c>
      <c r="J91" s="9" t="s">
        <v>18</v>
      </c>
      <c r="K91" s="11" t="s">
        <v>15</v>
      </c>
      <c r="L91" s="10" t="s">
        <v>15</v>
      </c>
      <c r="M91" s="9" t="s">
        <v>15</v>
      </c>
      <c r="N91" s="11" t="s">
        <v>15</v>
      </c>
      <c r="O91" s="10" t="s">
        <v>15</v>
      </c>
      <c r="P91" s="9" t="s">
        <v>15</v>
      </c>
      <c r="Q91" s="11" t="s">
        <v>15</v>
      </c>
      <c r="R91" s="10" t="s">
        <v>29</v>
      </c>
      <c r="S91" s="9" t="s">
        <v>30</v>
      </c>
      <c r="T91" s="15" t="s">
        <v>31</v>
      </c>
      <c r="U91" s="1"/>
      <c r="V91" s="1"/>
      <c r="W91" s="1"/>
      <c r="X91" s="1"/>
      <c r="Y91" s="1"/>
      <c r="Z91" s="1"/>
    </row>
    <row r="92" spans="1:26" s="7" customFormat="1" ht="19.95" customHeight="1" x14ac:dyDescent="0.3">
      <c r="A92" s="4" t="s">
        <v>54</v>
      </c>
      <c r="B92" s="23" t="s">
        <v>924</v>
      </c>
      <c r="C92" s="3" t="s">
        <v>56</v>
      </c>
      <c r="D92" s="4" t="s">
        <v>925</v>
      </c>
      <c r="E92" s="3" t="s">
        <v>15</v>
      </c>
      <c r="F92" s="5" t="s">
        <v>58</v>
      </c>
      <c r="G92" s="3" t="s">
        <v>15</v>
      </c>
      <c r="H92" s="4" t="s">
        <v>15</v>
      </c>
      <c r="I92" s="17" t="s">
        <v>15</v>
      </c>
      <c r="J92" s="4" t="s">
        <v>52</v>
      </c>
      <c r="K92" s="17" t="s">
        <v>15</v>
      </c>
      <c r="L92" s="12" t="s">
        <v>15</v>
      </c>
      <c r="M92" s="14" t="s">
        <v>923</v>
      </c>
      <c r="N92" s="17" t="s">
        <v>15</v>
      </c>
      <c r="O92" s="3" t="s">
        <v>15</v>
      </c>
      <c r="P92" s="4" t="s">
        <v>15</v>
      </c>
      <c r="Q92" s="21" t="s">
        <v>67</v>
      </c>
      <c r="R92" s="3" t="s">
        <v>29</v>
      </c>
      <c r="S92" s="4" t="s">
        <v>30</v>
      </c>
      <c r="T92" s="5" t="s">
        <v>31</v>
      </c>
      <c r="U92" s="1"/>
      <c r="V92" s="1"/>
      <c r="W92" s="1"/>
      <c r="X92" s="1"/>
      <c r="Y92" s="1"/>
      <c r="Z92" s="1"/>
    </row>
    <row r="93" spans="1:26" s="7" customFormat="1" ht="19.95" customHeight="1" x14ac:dyDescent="0.3">
      <c r="A93" s="9" t="s">
        <v>917</v>
      </c>
      <c r="B93" s="23" t="s">
        <v>875</v>
      </c>
      <c r="C93" s="3" t="s">
        <v>873</v>
      </c>
      <c r="D93" s="4" t="s">
        <v>876</v>
      </c>
      <c r="E93" s="10" t="s">
        <v>15</v>
      </c>
      <c r="F93" s="11" t="s">
        <v>39</v>
      </c>
      <c r="G93" s="10" t="s">
        <v>15</v>
      </c>
      <c r="H93" s="9" t="s">
        <v>15</v>
      </c>
      <c r="I93" s="11" t="s">
        <v>15</v>
      </c>
      <c r="J93" s="9" t="s">
        <v>52</v>
      </c>
      <c r="K93" s="11" t="s">
        <v>21</v>
      </c>
      <c r="L93" s="13" t="s">
        <v>15</v>
      </c>
      <c r="M93" s="14" t="s">
        <v>53</v>
      </c>
      <c r="N93" s="19" t="s">
        <v>88</v>
      </c>
      <c r="O93" s="10" t="s">
        <v>15</v>
      </c>
      <c r="P93" s="9" t="s">
        <v>15</v>
      </c>
      <c r="Q93" s="11" t="s">
        <v>53</v>
      </c>
      <c r="R93" s="10" t="s">
        <v>29</v>
      </c>
      <c r="S93" s="9" t="s">
        <v>48</v>
      </c>
      <c r="T93" s="15" t="s">
        <v>31</v>
      </c>
      <c r="U93" s="1"/>
      <c r="V93" s="1"/>
      <c r="W93" s="1"/>
      <c r="X93" s="1"/>
      <c r="Y93" s="1"/>
      <c r="Z93" s="1"/>
    </row>
    <row r="94" spans="1:26" s="7" customFormat="1" ht="19.95" customHeight="1" x14ac:dyDescent="0.3">
      <c r="A94" s="9" t="s">
        <v>926</v>
      </c>
      <c r="B94" s="40" t="s">
        <v>907</v>
      </c>
      <c r="C94" s="3" t="s">
        <v>75</v>
      </c>
      <c r="D94" s="42" t="s">
        <v>908</v>
      </c>
      <c r="E94" s="10" t="s">
        <v>15</v>
      </c>
      <c r="F94" s="11" t="s">
        <v>58</v>
      </c>
      <c r="G94" s="10" t="s">
        <v>15</v>
      </c>
      <c r="H94" s="9" t="s">
        <v>15</v>
      </c>
      <c r="I94" s="11" t="s">
        <v>15</v>
      </c>
      <c r="J94" s="9" t="s">
        <v>52</v>
      </c>
      <c r="K94" s="11" t="s">
        <v>21</v>
      </c>
      <c r="L94" s="13" t="s">
        <v>15</v>
      </c>
      <c r="M94" s="14" t="s">
        <v>67</v>
      </c>
      <c r="N94" s="11" t="s">
        <v>15</v>
      </c>
      <c r="O94" s="10" t="s">
        <v>15</v>
      </c>
      <c r="P94" s="9" t="s">
        <v>15</v>
      </c>
      <c r="Q94" s="21" t="s">
        <v>232</v>
      </c>
      <c r="R94" s="10" t="s">
        <v>29</v>
      </c>
      <c r="S94" s="9" t="s">
        <v>48</v>
      </c>
      <c r="T94" s="15" t="s">
        <v>31</v>
      </c>
      <c r="U94" s="1"/>
      <c r="V94" s="1"/>
      <c r="W94" s="1"/>
      <c r="X94" s="1"/>
      <c r="Y94" s="1"/>
      <c r="Z94" s="1"/>
    </row>
    <row r="95" spans="1:26" s="7" customFormat="1" ht="19.95" customHeight="1" x14ac:dyDescent="0.3">
      <c r="A95" s="9" t="s">
        <v>789</v>
      </c>
      <c r="B95" s="23" t="s">
        <v>301</v>
      </c>
      <c r="C95" s="3" t="s">
        <v>879</v>
      </c>
      <c r="D95" s="42" t="s">
        <v>916</v>
      </c>
      <c r="E95" s="10" t="s">
        <v>15</v>
      </c>
      <c r="F95" s="11" t="s">
        <v>58</v>
      </c>
      <c r="G95" s="10" t="s">
        <v>15</v>
      </c>
      <c r="H95" s="9" t="s">
        <v>15</v>
      </c>
      <c r="I95" s="11" t="s">
        <v>15</v>
      </c>
      <c r="J95" s="9" t="s">
        <v>52</v>
      </c>
      <c r="K95" s="11" t="s">
        <v>14</v>
      </c>
      <c r="L95" s="13" t="s">
        <v>15</v>
      </c>
      <c r="M95" s="14" t="s">
        <v>67</v>
      </c>
      <c r="N95" s="11" t="s">
        <v>15</v>
      </c>
      <c r="O95" s="10" t="s">
        <v>15</v>
      </c>
      <c r="P95" s="9" t="s">
        <v>15</v>
      </c>
      <c r="Q95" s="11">
        <v>50</v>
      </c>
      <c r="R95" s="10" t="s">
        <v>29</v>
      </c>
      <c r="S95" s="9" t="s">
        <v>48</v>
      </c>
      <c r="T95" s="15" t="s">
        <v>72</v>
      </c>
      <c r="U95" s="1"/>
      <c r="V95" s="1"/>
      <c r="W95" s="1"/>
      <c r="X95" s="1"/>
      <c r="Y95" s="1"/>
      <c r="Z95" s="1"/>
    </row>
    <row r="96" spans="1:26" s="7" customFormat="1" ht="19.95" customHeight="1" x14ac:dyDescent="0.3">
      <c r="A96" s="2" t="s">
        <v>931</v>
      </c>
      <c r="B96" s="37" t="s">
        <v>927</v>
      </c>
      <c r="C96" s="99" t="s">
        <v>56</v>
      </c>
      <c r="D96" s="100" t="s">
        <v>928</v>
      </c>
      <c r="E96" s="6" t="s">
        <v>15</v>
      </c>
      <c r="F96" s="5" t="s">
        <v>58</v>
      </c>
      <c r="G96" s="6" t="s">
        <v>98</v>
      </c>
      <c r="H96" s="2" t="s">
        <v>15</v>
      </c>
      <c r="I96" s="5" t="s">
        <v>41</v>
      </c>
      <c r="J96" s="2" t="s">
        <v>15</v>
      </c>
      <c r="K96" s="5" t="s">
        <v>15</v>
      </c>
      <c r="L96" s="6" t="s">
        <v>42</v>
      </c>
      <c r="M96" s="2" t="s">
        <v>15</v>
      </c>
      <c r="N96" s="5" t="s">
        <v>15</v>
      </c>
      <c r="O96" s="6" t="s">
        <v>15</v>
      </c>
      <c r="P96" s="2" t="s">
        <v>15</v>
      </c>
      <c r="Q96" s="5" t="s">
        <v>15</v>
      </c>
      <c r="R96" s="6" t="s">
        <v>15</v>
      </c>
      <c r="S96" s="2" t="s">
        <v>15</v>
      </c>
      <c r="T96" s="5" t="s">
        <v>31</v>
      </c>
      <c r="U96" s="1"/>
      <c r="V96" s="1"/>
      <c r="W96" s="1"/>
      <c r="X96" s="1"/>
      <c r="Y96" s="1"/>
      <c r="Z96" s="1"/>
    </row>
    <row r="97" spans="1:26" s="7" customFormat="1" ht="19.95" customHeight="1" x14ac:dyDescent="0.3">
      <c r="A97" s="2" t="s">
        <v>793</v>
      </c>
      <c r="B97" s="37" t="s">
        <v>929</v>
      </c>
      <c r="C97" s="98" t="s">
        <v>56</v>
      </c>
      <c r="D97" s="100" t="s">
        <v>930</v>
      </c>
      <c r="E97" s="6" t="s">
        <v>15</v>
      </c>
      <c r="F97" s="5" t="s">
        <v>58</v>
      </c>
      <c r="G97" s="6" t="s">
        <v>61</v>
      </c>
      <c r="H97" s="2" t="s">
        <v>15</v>
      </c>
      <c r="I97" s="5" t="s">
        <v>41</v>
      </c>
      <c r="J97" s="2" t="s">
        <v>15</v>
      </c>
      <c r="K97" s="5" t="s">
        <v>15</v>
      </c>
      <c r="L97" s="6" t="s">
        <v>42</v>
      </c>
      <c r="M97" s="2" t="s">
        <v>15</v>
      </c>
      <c r="N97" s="5" t="s">
        <v>15</v>
      </c>
      <c r="O97" s="6" t="s">
        <v>15</v>
      </c>
      <c r="P97" s="2" t="s">
        <v>15</v>
      </c>
      <c r="Q97" s="5" t="s">
        <v>15</v>
      </c>
      <c r="R97" s="6" t="s">
        <v>15</v>
      </c>
      <c r="S97" s="2" t="s">
        <v>15</v>
      </c>
      <c r="T97" s="5" t="s">
        <v>31</v>
      </c>
      <c r="U97" s="1"/>
      <c r="V97" s="1"/>
      <c r="W97" s="1"/>
      <c r="X97" s="1"/>
      <c r="Y97" s="1"/>
      <c r="Z97" s="1"/>
    </row>
    <row r="98" spans="1:26" s="7" customFormat="1" ht="19.95" customHeight="1" x14ac:dyDescent="0.3">
      <c r="A98" s="9" t="s">
        <v>732</v>
      </c>
      <c r="B98" s="23" t="s">
        <v>880</v>
      </c>
      <c r="C98" s="3" t="s">
        <v>75</v>
      </c>
      <c r="D98" s="93" t="s">
        <v>881</v>
      </c>
      <c r="E98" s="97" t="s">
        <v>227</v>
      </c>
      <c r="F98" s="5" t="s">
        <v>58</v>
      </c>
      <c r="G98" s="6" t="s">
        <v>98</v>
      </c>
      <c r="H98" s="9" t="s">
        <v>15</v>
      </c>
      <c r="I98" s="11" t="s">
        <v>15</v>
      </c>
      <c r="J98" s="4" t="s">
        <v>66</v>
      </c>
      <c r="K98" s="11" t="s">
        <v>15</v>
      </c>
      <c r="L98" s="13" t="s">
        <v>15</v>
      </c>
      <c r="M98" s="14" t="s">
        <v>67</v>
      </c>
      <c r="N98" s="11" t="s">
        <v>15</v>
      </c>
      <c r="O98" s="10" t="s">
        <v>15</v>
      </c>
      <c r="P98" s="9" t="s">
        <v>15</v>
      </c>
      <c r="Q98" s="11" t="s">
        <v>15</v>
      </c>
      <c r="R98" s="10" t="s">
        <v>15</v>
      </c>
      <c r="S98" s="9" t="s">
        <v>15</v>
      </c>
      <c r="T98" s="15" t="s">
        <v>31</v>
      </c>
      <c r="U98" s="1"/>
      <c r="V98" s="1"/>
      <c r="W98" s="1"/>
      <c r="X98" s="1"/>
      <c r="Y98" s="1"/>
      <c r="Z98" s="1"/>
    </row>
    <row r="99" spans="1:26" s="7" customFormat="1" ht="19.95" customHeight="1" x14ac:dyDescent="0.3">
      <c r="A99" s="2" t="s">
        <v>932</v>
      </c>
      <c r="B99" s="37" t="s">
        <v>927</v>
      </c>
      <c r="C99" s="99" t="s">
        <v>56</v>
      </c>
      <c r="D99" s="100" t="s">
        <v>928</v>
      </c>
      <c r="E99" s="6" t="s">
        <v>15</v>
      </c>
      <c r="F99" s="5" t="s">
        <v>58</v>
      </c>
      <c r="G99" s="6" t="s">
        <v>98</v>
      </c>
      <c r="H99" s="2" t="s">
        <v>15</v>
      </c>
      <c r="I99" s="5" t="s">
        <v>41</v>
      </c>
      <c r="J99" s="2" t="s">
        <v>15</v>
      </c>
      <c r="K99" s="5" t="s">
        <v>15</v>
      </c>
      <c r="L99" s="6" t="s">
        <v>42</v>
      </c>
      <c r="M99" s="2" t="s">
        <v>15</v>
      </c>
      <c r="N99" s="5" t="s">
        <v>15</v>
      </c>
      <c r="O99" s="6" t="s">
        <v>15</v>
      </c>
      <c r="P99" s="2" t="s">
        <v>15</v>
      </c>
      <c r="Q99" s="5" t="s">
        <v>15</v>
      </c>
      <c r="R99" s="6" t="s">
        <v>15</v>
      </c>
      <c r="S99" s="2" t="s">
        <v>15</v>
      </c>
      <c r="T99" s="5" t="s">
        <v>31</v>
      </c>
      <c r="U99" s="1"/>
      <c r="V99" s="1"/>
      <c r="W99" s="1"/>
      <c r="X99" s="1"/>
      <c r="Y99" s="1"/>
      <c r="Z99" s="1"/>
    </row>
    <row r="100" spans="1:26" s="7" customFormat="1" ht="19.95" customHeight="1" x14ac:dyDescent="0.3">
      <c r="A100" s="4" t="s">
        <v>742</v>
      </c>
      <c r="B100" s="25" t="s">
        <v>934</v>
      </c>
      <c r="C100" s="3" t="s">
        <v>56</v>
      </c>
      <c r="D100" s="100" t="s">
        <v>935</v>
      </c>
      <c r="E100" s="12" t="s">
        <v>933</v>
      </c>
      <c r="F100" s="5" t="s">
        <v>58</v>
      </c>
      <c r="G100" s="3" t="s">
        <v>15</v>
      </c>
      <c r="H100" s="4" t="s">
        <v>15</v>
      </c>
      <c r="I100" s="17" t="s">
        <v>15</v>
      </c>
      <c r="J100" s="4" t="s">
        <v>18</v>
      </c>
      <c r="K100" s="17" t="s">
        <v>21</v>
      </c>
      <c r="L100" s="12" t="s">
        <v>15</v>
      </c>
      <c r="M100" s="18" t="s">
        <v>159</v>
      </c>
      <c r="N100" s="17" t="s">
        <v>15</v>
      </c>
      <c r="O100" s="3" t="s">
        <v>15</v>
      </c>
      <c r="P100" s="4" t="s">
        <v>15</v>
      </c>
      <c r="Q100" s="17" t="s">
        <v>50</v>
      </c>
      <c r="R100" s="3" t="s">
        <v>15</v>
      </c>
      <c r="S100" s="4" t="s">
        <v>16</v>
      </c>
      <c r="T100" s="5" t="s">
        <v>31</v>
      </c>
      <c r="U100" s="1"/>
      <c r="V100" s="1"/>
      <c r="W100" s="1"/>
      <c r="X100" s="1"/>
      <c r="Y100" s="1"/>
      <c r="Z100" s="1"/>
    </row>
    <row r="101" spans="1:26" s="7" customFormat="1" ht="19.95" customHeight="1" x14ac:dyDescent="0.3">
      <c r="A101" s="31" t="s">
        <v>801</v>
      </c>
      <c r="B101" s="25" t="s">
        <v>936</v>
      </c>
      <c r="C101" s="3" t="s">
        <v>56</v>
      </c>
      <c r="D101" s="100" t="s">
        <v>937</v>
      </c>
      <c r="E101" s="12" t="s">
        <v>938</v>
      </c>
      <c r="F101" s="5" t="s">
        <v>138</v>
      </c>
      <c r="G101" s="10" t="s">
        <v>15</v>
      </c>
      <c r="H101" s="9" t="s">
        <v>15</v>
      </c>
      <c r="I101" s="11" t="s">
        <v>15</v>
      </c>
      <c r="J101" s="9" t="s">
        <v>20</v>
      </c>
      <c r="K101" s="11" t="s">
        <v>235</v>
      </c>
      <c r="L101" s="13" t="s">
        <v>15</v>
      </c>
      <c r="M101" s="14" t="s">
        <v>918</v>
      </c>
      <c r="N101" s="19" t="s">
        <v>139</v>
      </c>
      <c r="O101" s="10" t="s">
        <v>15</v>
      </c>
      <c r="P101" s="9" t="s">
        <v>15</v>
      </c>
      <c r="Q101" s="11" t="s">
        <v>15</v>
      </c>
      <c r="R101" s="10" t="s">
        <v>47</v>
      </c>
      <c r="S101" s="9" t="s">
        <v>48</v>
      </c>
      <c r="T101" s="15" t="s">
        <v>31</v>
      </c>
      <c r="U101" s="1"/>
      <c r="V101" s="1"/>
      <c r="W101" s="1"/>
      <c r="X101" s="1"/>
      <c r="Y101" s="1"/>
      <c r="Z101" s="1"/>
    </row>
    <row r="102" spans="1:26" s="7" customFormat="1" ht="19.95" customHeight="1" x14ac:dyDescent="0.3">
      <c r="A102" s="31" t="s">
        <v>740</v>
      </c>
      <c r="B102" s="25" t="s">
        <v>939</v>
      </c>
      <c r="C102" s="3" t="s">
        <v>56</v>
      </c>
      <c r="D102" s="100" t="s">
        <v>940</v>
      </c>
      <c r="E102" s="12" t="s">
        <v>941</v>
      </c>
      <c r="F102" s="5" t="s">
        <v>58</v>
      </c>
      <c r="G102" s="10" t="s">
        <v>15</v>
      </c>
      <c r="H102" s="9" t="s">
        <v>15</v>
      </c>
      <c r="I102" s="11" t="s">
        <v>15</v>
      </c>
      <c r="J102" s="9" t="s">
        <v>13</v>
      </c>
      <c r="K102" s="11" t="s">
        <v>15</v>
      </c>
      <c r="L102" s="13" t="s">
        <v>15</v>
      </c>
      <c r="M102" s="14">
        <v>100</v>
      </c>
      <c r="N102" s="19" t="s">
        <v>15</v>
      </c>
      <c r="O102" s="10" t="s">
        <v>15</v>
      </c>
      <c r="P102" s="9" t="s">
        <v>15</v>
      </c>
      <c r="Q102" s="11" t="s">
        <v>15</v>
      </c>
      <c r="R102" s="10" t="s">
        <v>15</v>
      </c>
      <c r="S102" s="9" t="s">
        <v>15</v>
      </c>
      <c r="T102" s="15" t="s">
        <v>72</v>
      </c>
      <c r="U102" s="1"/>
      <c r="V102" s="1"/>
      <c r="W102" s="1"/>
      <c r="X102" s="1"/>
      <c r="Y102" s="1"/>
      <c r="Z102" s="1"/>
    </row>
    <row r="103" spans="1:26" s="7" customFormat="1" ht="19.95" customHeight="1" x14ac:dyDescent="0.3">
      <c r="A103" s="9" t="s">
        <v>788</v>
      </c>
      <c r="B103" s="23" t="s">
        <v>942</v>
      </c>
      <c r="C103" s="3" t="s">
        <v>169</v>
      </c>
      <c r="D103" s="4" t="s">
        <v>947</v>
      </c>
      <c r="E103" s="10" t="s">
        <v>15</v>
      </c>
      <c r="F103" s="5" t="s">
        <v>138</v>
      </c>
      <c r="G103" s="10" t="s">
        <v>15</v>
      </c>
      <c r="H103" s="9" t="s">
        <v>15</v>
      </c>
      <c r="I103" s="11" t="s">
        <v>15</v>
      </c>
      <c r="J103" s="9" t="s">
        <v>52</v>
      </c>
      <c r="K103" s="11" t="s">
        <v>22</v>
      </c>
      <c r="L103" s="13" t="s">
        <v>15</v>
      </c>
      <c r="M103" s="14" t="s">
        <v>67</v>
      </c>
      <c r="N103" s="11" t="s">
        <v>15</v>
      </c>
      <c r="O103" s="10" t="s">
        <v>15</v>
      </c>
      <c r="P103" s="9" t="s">
        <v>15</v>
      </c>
      <c r="Q103" s="11">
        <v>75</v>
      </c>
      <c r="R103" s="10" t="s">
        <v>29</v>
      </c>
      <c r="S103" s="9" t="s">
        <v>48</v>
      </c>
      <c r="T103" s="15" t="s">
        <v>72</v>
      </c>
      <c r="U103" s="1"/>
      <c r="V103" s="1"/>
      <c r="W103" s="1"/>
      <c r="X103" s="1"/>
      <c r="Y103" s="1"/>
      <c r="Z103" s="1"/>
    </row>
    <row r="104" spans="1:26" s="7" customFormat="1" ht="19.95" customHeight="1" x14ac:dyDescent="0.3">
      <c r="A104" s="4" t="s">
        <v>741</v>
      </c>
      <c r="B104" s="37" t="s">
        <v>943</v>
      </c>
      <c r="C104" s="3" t="s">
        <v>56</v>
      </c>
      <c r="D104" s="100" t="s">
        <v>944</v>
      </c>
      <c r="E104" s="12" t="s">
        <v>945</v>
      </c>
      <c r="F104" s="5" t="s">
        <v>58</v>
      </c>
      <c r="G104" s="3" t="s">
        <v>15</v>
      </c>
      <c r="H104" s="4" t="s">
        <v>15</v>
      </c>
      <c r="I104" s="17" t="s">
        <v>15</v>
      </c>
      <c r="J104" s="4" t="s">
        <v>18</v>
      </c>
      <c r="K104" s="17" t="s">
        <v>15</v>
      </c>
      <c r="L104" s="3" t="s">
        <v>15</v>
      </c>
      <c r="M104" s="18" t="s">
        <v>946</v>
      </c>
      <c r="N104" s="17" t="s">
        <v>15</v>
      </c>
      <c r="O104" s="3" t="s">
        <v>15</v>
      </c>
      <c r="P104" s="4" t="s">
        <v>15</v>
      </c>
      <c r="Q104" s="17" t="s">
        <v>15</v>
      </c>
      <c r="R104" s="3" t="s">
        <v>15</v>
      </c>
      <c r="S104" s="9" t="s">
        <v>30</v>
      </c>
      <c r="T104" s="5" t="s">
        <v>72</v>
      </c>
      <c r="U104" s="1"/>
      <c r="V104" s="1"/>
      <c r="W104" s="1"/>
      <c r="X104" s="1"/>
      <c r="Y104" s="1"/>
      <c r="Z104" s="1"/>
    </row>
    <row r="105" spans="1:26" s="7" customFormat="1" ht="19.95" customHeight="1" x14ac:dyDescent="0.3">
      <c r="A105" s="9" t="s">
        <v>788</v>
      </c>
      <c r="B105" s="23" t="s">
        <v>956</v>
      </c>
      <c r="C105" s="3" t="s">
        <v>56</v>
      </c>
      <c r="D105" s="4" t="s">
        <v>957</v>
      </c>
      <c r="E105" s="10" t="s">
        <v>15</v>
      </c>
      <c r="F105" s="5" t="s">
        <v>138</v>
      </c>
      <c r="G105" s="10" t="s">
        <v>15</v>
      </c>
      <c r="H105" s="9" t="s">
        <v>15</v>
      </c>
      <c r="I105" s="11" t="s">
        <v>15</v>
      </c>
      <c r="J105" s="9" t="s">
        <v>52</v>
      </c>
      <c r="K105" s="11" t="s">
        <v>22</v>
      </c>
      <c r="L105" s="13" t="s">
        <v>15</v>
      </c>
      <c r="M105" s="14" t="s">
        <v>67</v>
      </c>
      <c r="N105" s="11" t="s">
        <v>15</v>
      </c>
      <c r="O105" s="10" t="s">
        <v>15</v>
      </c>
      <c r="P105" s="9" t="s">
        <v>15</v>
      </c>
      <c r="Q105" s="11">
        <v>75</v>
      </c>
      <c r="R105" s="10" t="s">
        <v>29</v>
      </c>
      <c r="S105" s="9" t="s">
        <v>48</v>
      </c>
      <c r="T105" s="15" t="s">
        <v>72</v>
      </c>
      <c r="U105" s="1"/>
      <c r="V105" s="1"/>
      <c r="W105" s="1"/>
      <c r="X105" s="1"/>
      <c r="Y105" s="1"/>
      <c r="Z105" s="1"/>
    </row>
    <row r="106" spans="1:26" s="7" customFormat="1" ht="19.95" customHeight="1" x14ac:dyDescent="0.3">
      <c r="A106" s="2" t="s">
        <v>1364</v>
      </c>
      <c r="B106" s="86" t="s">
        <v>91</v>
      </c>
      <c r="C106" s="3" t="s">
        <v>92</v>
      </c>
      <c r="D106" s="4" t="s">
        <v>57</v>
      </c>
      <c r="E106" s="101" t="s">
        <v>224</v>
      </c>
      <c r="F106" s="6" t="s">
        <v>15</v>
      </c>
      <c r="G106" s="6" t="s">
        <v>15</v>
      </c>
      <c r="H106" s="6" t="s">
        <v>15</v>
      </c>
      <c r="I106" s="6" t="s">
        <v>15</v>
      </c>
      <c r="J106" s="9" t="s">
        <v>18</v>
      </c>
      <c r="K106" s="11" t="s">
        <v>14</v>
      </c>
      <c r="L106" s="6" t="s">
        <v>15</v>
      </c>
      <c r="M106" s="101" t="s">
        <v>1365</v>
      </c>
      <c r="N106" s="6" t="s">
        <v>15</v>
      </c>
      <c r="O106" s="6" t="s">
        <v>15</v>
      </c>
      <c r="P106" s="6" t="s">
        <v>15</v>
      </c>
      <c r="Q106" s="6" t="s">
        <v>15</v>
      </c>
      <c r="R106" s="6" t="s">
        <v>15</v>
      </c>
      <c r="S106" s="9" t="s">
        <v>30</v>
      </c>
      <c r="T106" s="6" t="s">
        <v>15</v>
      </c>
      <c r="U106" s="1"/>
      <c r="V106" s="1"/>
      <c r="W106" s="1"/>
      <c r="X106" s="1"/>
      <c r="Y106" s="1"/>
      <c r="Z106" s="1"/>
    </row>
    <row r="107" spans="1:26" s="7" customFormat="1" ht="19.95" customHeight="1" x14ac:dyDescent="0.3">
      <c r="A107" s="9" t="s">
        <v>1370</v>
      </c>
      <c r="B107" s="137" t="s">
        <v>1371</v>
      </c>
      <c r="C107" s="3" t="s">
        <v>1366</v>
      </c>
      <c r="D107" s="4" t="s">
        <v>1372</v>
      </c>
      <c r="E107" s="101" t="s">
        <v>903</v>
      </c>
      <c r="F107" s="5" t="s">
        <v>58</v>
      </c>
      <c r="G107" s="10" t="s">
        <v>15</v>
      </c>
      <c r="H107" s="9" t="s">
        <v>15</v>
      </c>
      <c r="I107" s="11" t="s">
        <v>15</v>
      </c>
      <c r="J107" s="9" t="s">
        <v>52</v>
      </c>
      <c r="K107" s="11" t="s">
        <v>14</v>
      </c>
      <c r="L107" s="13" t="s">
        <v>15</v>
      </c>
      <c r="M107" s="20" t="s">
        <v>67</v>
      </c>
      <c r="N107" s="11">
        <v>1</v>
      </c>
      <c r="O107" s="10" t="s">
        <v>15</v>
      </c>
      <c r="P107" s="14" t="s">
        <v>233</v>
      </c>
      <c r="Q107" s="11" t="s">
        <v>15</v>
      </c>
      <c r="R107" s="10" t="s">
        <v>29</v>
      </c>
      <c r="S107" s="9" t="s">
        <v>48</v>
      </c>
      <c r="T107" s="15" t="s">
        <v>31</v>
      </c>
      <c r="U107" s="16"/>
      <c r="V107" s="16"/>
      <c r="W107" s="16"/>
      <c r="X107" s="16"/>
      <c r="Y107" s="16"/>
      <c r="Z107" s="16"/>
    </row>
  </sheetData>
  <phoneticPr fontId="25" type="noConversion"/>
  <conditionalFormatting sqref="E1:E16 E18:E1048576">
    <cfRule type="duplicateValues" dxfId="4" priority="4"/>
  </conditionalFormatting>
  <conditionalFormatting sqref="E2:E16 E18:E54">
    <cfRule type="duplicateValues" dxfId="3" priority="5"/>
  </conditionalFormatting>
  <conditionalFormatting sqref="E17">
    <cfRule type="duplicateValues" dxfId="2" priority="1"/>
    <cfRule type="duplicateValues" dxfId="1" priority="2"/>
  </conditionalFormatting>
  <conditionalFormatting sqref="E67">
    <cfRule type="duplicateValues" dxfId="0" priority="3"/>
  </conditionalFormatting>
  <hyperlinks>
    <hyperlink ref="B29" r:id="rId1" xr:uid="{46AD8586-6929-4CA4-AA58-B85D3843AAAB}"/>
    <hyperlink ref="B45" r:id="rId2" xr:uid="{6139FDDA-BD33-4093-A1A6-1179C03D6E4E}"/>
    <hyperlink ref="B12" r:id="rId3" xr:uid="{4BF62C1D-F22F-44F5-B03F-A20779A5F77B}"/>
    <hyperlink ref="B41" r:id="rId4" xr:uid="{180C5516-D625-4043-957B-E250B88DCC98}"/>
    <hyperlink ref="B28" r:id="rId5" xr:uid="{177414D5-2D8E-4589-A0CF-44E179E4632A}"/>
    <hyperlink ref="B52" r:id="rId6" xr:uid="{2D1996B8-4DB9-4E44-8DEE-B83AE5B873C5}"/>
    <hyperlink ref="B2" r:id="rId7" xr:uid="{06B7D20E-36A4-4684-A535-9B6C62D13080}"/>
    <hyperlink ref="B11" r:id="rId8" xr:uid="{1555E721-7728-40EC-9A2B-BE311CBDC50C}"/>
    <hyperlink ref="B9" r:id="rId9" xr:uid="{34B19FEC-772C-4973-B4DE-04B230DE1647}"/>
    <hyperlink ref="B10" r:id="rId10" xr:uid="{34B81BD4-4DCF-4558-93BE-26445EFCA187}"/>
    <hyperlink ref="B26" r:id="rId11" xr:uid="{DAD8537A-2671-40CA-9936-9DE9BEFF8BA4}"/>
    <hyperlink ref="B19" r:id="rId12" xr:uid="{786C92AA-F72A-4B14-9D9B-8F8ED3BF38BA}"/>
    <hyperlink ref="B20" r:id="rId13" xr:uid="{35331467-C7FD-48E4-9927-8447FA237204}"/>
    <hyperlink ref="B13" r:id="rId14" xr:uid="{720E3A5F-2EA8-49CF-A100-6716FE1270D9}"/>
    <hyperlink ref="B25" r:id="rId15" xr:uid="{41AD1D74-6791-4111-950E-D1A43FEDF531}"/>
    <hyperlink ref="B27" r:id="rId16" xr:uid="{1BD929F1-DEA8-4849-B192-084C90344D7C}"/>
    <hyperlink ref="B24" r:id="rId17" xr:uid="{53A0A8BC-3808-46B2-B41B-58711EC96C55}"/>
    <hyperlink ref="B23" r:id="rId18" xr:uid="{379E27C1-9477-4643-8C96-9F6D58396C0D}"/>
    <hyperlink ref="B16" r:id="rId19" xr:uid="{381B0712-113B-4BDA-B215-B0D7B0525316}"/>
    <hyperlink ref="B30" r:id="rId20" xr:uid="{DFE119AD-3886-48BA-8E05-391C3D7C222E}"/>
    <hyperlink ref="B31" r:id="rId21" xr:uid="{CC7B2FA9-E043-4303-BB41-A2538727084A}"/>
    <hyperlink ref="B8" r:id="rId22" xr:uid="{B17C832E-2928-411D-A52C-7810FC2FDD0A}"/>
    <hyperlink ref="B36" r:id="rId23" xr:uid="{7C0E3091-CC13-4CD7-BF34-3D38A8E07195}"/>
    <hyperlink ref="B37" r:id="rId24" xr:uid="{B7676A8E-E8BD-43FB-8E83-844C1A9ADDA2}"/>
    <hyperlink ref="B33" r:id="rId25" xr:uid="{EC7F0EC1-B9D9-4420-AF82-ABC895D5E48B}"/>
    <hyperlink ref="B34" r:id="rId26" xr:uid="{3CCC4FBF-7F89-461E-A8D1-E4CA9E617907}"/>
    <hyperlink ref="B38" r:id="rId27" xr:uid="{88147B2A-0505-4890-97DE-1ACFF7F02371}"/>
    <hyperlink ref="B47" r:id="rId28" xr:uid="{2A7FB34C-9458-4F3D-88C9-BEFE2FBBB891}"/>
    <hyperlink ref="B48" r:id="rId29" xr:uid="{C1FF1BE6-7A14-4997-84CE-23284F0F6EAD}"/>
    <hyperlink ref="B49" r:id="rId30" xr:uid="{50E5B9CD-8740-4F6A-BA7B-F0228D57141A}"/>
    <hyperlink ref="B50" r:id="rId31" xr:uid="{2581686A-B16F-40B7-A7A9-47627AF73FDF}"/>
    <hyperlink ref="B51" r:id="rId32" xr:uid="{12ECB7F7-0E69-4C24-B640-2A7EA617DD86}"/>
    <hyperlink ref="B32" r:id="rId33" xr:uid="{B1578730-7547-4D39-87B5-069C4358955E}"/>
    <hyperlink ref="B18" r:id="rId34" xr:uid="{E797E092-FAF2-4381-9DE6-705EF47F9D54}"/>
    <hyperlink ref="B14" r:id="rId35" xr:uid="{F524EBD0-1C8B-4408-B655-950EBEF8DCED}"/>
    <hyperlink ref="B3" r:id="rId36" xr:uid="{2D5AE126-0C93-44A8-B18C-C97C7454E8A8}"/>
    <hyperlink ref="B4" r:id="rId37" xr:uid="{EE07F84F-0DD5-4267-B575-A1CBAFD87862}"/>
    <hyperlink ref="B5" r:id="rId38" xr:uid="{2913AFC7-E891-4E8A-8894-7538E2EF3821}"/>
    <hyperlink ref="B6" r:id="rId39" xr:uid="{5206E677-94BB-4584-BE68-2F67800AE053}"/>
    <hyperlink ref="B7" r:id="rId40" xr:uid="{A3815D3C-D337-40C0-AF8B-2508A310C25C}"/>
    <hyperlink ref="B15" r:id="rId41" xr:uid="{C82A0BB9-2725-442A-B77B-5AB57936FB62}"/>
    <hyperlink ref="B53" r:id="rId42" xr:uid="{1CB7CF64-C743-48CC-AE3D-FC68ACD16FF3}"/>
    <hyperlink ref="B54" r:id="rId43" xr:uid="{EEA58EB6-C4D2-43FA-B8CD-4F61BE1CA8D2}"/>
    <hyperlink ref="B55" r:id="rId44" xr:uid="{79704039-3830-4126-BD1C-1DC130099BC0}"/>
    <hyperlink ref="B56" r:id="rId45" xr:uid="{9163C7D5-0C0B-435D-9865-2828E1956263}"/>
    <hyperlink ref="B22" r:id="rId46" xr:uid="{D530BA8C-DA3A-4078-A0F8-6BEEF01C1823}"/>
    <hyperlink ref="B57" r:id="rId47" xr:uid="{465EE11F-6186-4401-98AD-842DCF8A27C1}"/>
    <hyperlink ref="B58" r:id="rId48" xr:uid="{12F04DB9-2C33-4D19-90C1-429613C04827}"/>
    <hyperlink ref="B59" r:id="rId49" xr:uid="{006D947A-40B2-44B7-BA8A-6D709166D803}"/>
    <hyperlink ref="B61" r:id="rId50" xr:uid="{EEC1E11C-663D-4312-BE2B-37C8E4F343EB}"/>
    <hyperlink ref="B63" r:id="rId51" xr:uid="{362E2464-A6D4-47C8-94E3-30479864DF70}"/>
    <hyperlink ref="B64" r:id="rId52" xr:uid="{F173D95E-EE23-4ED7-9125-9A6409E126CD}"/>
    <hyperlink ref="B65" r:id="rId53" xr:uid="{940E82F0-8EB5-43FC-A4C1-B82B54639563}"/>
    <hyperlink ref="B66" r:id="rId54" xr:uid="{EBAA5504-F1C4-4CB4-9229-8D3221FED96C}"/>
    <hyperlink ref="B67" r:id="rId55" xr:uid="{434F9778-52D8-41DB-A7D6-12F5BFA8E533}"/>
    <hyperlink ref="B68" r:id="rId56" xr:uid="{1FD4A8C2-321C-4FBA-98E8-B0A9DF0CA257}"/>
    <hyperlink ref="B69" r:id="rId57" xr:uid="{23BFE61A-B126-4B0A-A246-DBA1735A65DB}"/>
    <hyperlink ref="B70" r:id="rId58" xr:uid="{C3AF6A1C-CE23-403A-A20B-FA3306867609}"/>
    <hyperlink ref="B71" r:id="rId59" xr:uid="{1C5C0B19-4070-4EC1-B0C6-5E9AA6C500EC}"/>
    <hyperlink ref="B72" r:id="rId60" xr:uid="{E36523DD-1AE6-4BC4-A309-2F9B823684EB}"/>
    <hyperlink ref="B73" r:id="rId61" xr:uid="{29165065-B861-4BFD-B8E0-7205108DF55B}"/>
    <hyperlink ref="B74" r:id="rId62" xr:uid="{B7500FD4-FDCA-4E1F-9A91-5F7AC9480F48}"/>
    <hyperlink ref="B75" r:id="rId63" xr:uid="{3E317095-4134-435F-9BC5-0B6DF1F93049}"/>
    <hyperlink ref="B76" r:id="rId64" xr:uid="{3E53DADD-A44E-4B40-A247-019A9686CC7F}"/>
    <hyperlink ref="B77" r:id="rId65" xr:uid="{FE832379-A595-428E-BFB6-1434BEECD399}"/>
    <hyperlink ref="B78" r:id="rId66" xr:uid="{28CE49DD-59F0-44BD-BC4F-63CCD866F4C9}"/>
    <hyperlink ref="B79" r:id="rId67" xr:uid="{D53C99D0-EDC1-4892-A03B-DA14837BC0F2}"/>
    <hyperlink ref="B80" r:id="rId68" xr:uid="{7631AA33-40C0-42A2-BC39-296F4B291BA9}"/>
    <hyperlink ref="B81" r:id="rId69" xr:uid="{4D00A91F-A530-4C98-925C-4DA23A0E6C3C}"/>
    <hyperlink ref="B82" r:id="rId70" xr:uid="{1A6BD8E8-8E22-4DF4-8E16-9CE37CA1CDE1}"/>
    <hyperlink ref="B83" r:id="rId71" xr:uid="{C11F31C1-88B7-4B7F-9E08-67998375D8A5}"/>
    <hyperlink ref="B84" r:id="rId72" xr:uid="{71C75D48-F684-40EA-B0E9-64AE37DF69B3}"/>
    <hyperlink ref="B85" r:id="rId73" xr:uid="{305CCA1D-E752-4CD3-B94E-7B169029A24B}"/>
    <hyperlink ref="B87" r:id="rId74" xr:uid="{64BB8D4C-2AC1-4B97-866F-6B852ED37E2C}"/>
    <hyperlink ref="B88" r:id="rId75" xr:uid="{789A46F3-202A-43C4-BA84-889D9C3661A6}"/>
    <hyperlink ref="B89" r:id="rId76" xr:uid="{84EBAC57-421E-4343-9C73-419D7F8F4C7A}"/>
    <hyperlink ref="B90" r:id="rId77" xr:uid="{F456A9A0-DB63-430F-A2C9-670C55A3DBC9}"/>
    <hyperlink ref="B91" r:id="rId78" xr:uid="{2894B6CA-EEA9-4F6F-962C-EFB7A8661E4F}"/>
    <hyperlink ref="B86" r:id="rId79" xr:uid="{E46E82DD-CCB0-4E6C-85F6-605EBC5FA59C}"/>
    <hyperlink ref="B93" r:id="rId80" xr:uid="{670BF921-6545-431E-B4AE-8A801D5E3F74}"/>
    <hyperlink ref="B92" r:id="rId81" xr:uid="{A4A3C567-F6E5-4F62-9095-9FCFFC92543C}"/>
    <hyperlink ref="B21" r:id="rId82" xr:uid="{A3775A29-1166-40C8-9F93-4DBC9D0FA769}"/>
    <hyperlink ref="B94" r:id="rId83" xr:uid="{766A650D-FC57-4558-B52A-A46FB33CB268}"/>
    <hyperlink ref="B95" r:id="rId84" xr:uid="{57CE259C-1852-4308-AF5A-B960AC9700C1}"/>
    <hyperlink ref="B96" r:id="rId85" xr:uid="{0CF89979-EBCE-4B6E-9466-4C7A7E40AE25}"/>
    <hyperlink ref="B97" r:id="rId86" xr:uid="{C5903C40-0095-4B6C-AF93-1A68FF3E34D8}"/>
    <hyperlink ref="B98" r:id="rId87" xr:uid="{DD812538-0BEF-4535-AAE6-C89606822372}"/>
    <hyperlink ref="B99" r:id="rId88" xr:uid="{ECA02C79-19A6-40FD-8685-349BD57B0DE1}"/>
    <hyperlink ref="B100" r:id="rId89" xr:uid="{F1A044D4-1334-4B4E-B98E-9CD29E7D2B00}"/>
    <hyperlink ref="B101" r:id="rId90" xr:uid="{788FE5BC-387F-44EB-B17B-B7416C68E96D}"/>
    <hyperlink ref="B102" r:id="rId91" xr:uid="{BF65B509-E234-4A5E-9EC0-1AF9D364663D}"/>
    <hyperlink ref="B103" r:id="rId92" xr:uid="{899E50BF-8FB4-4543-BF16-04E7D7D2796E}"/>
    <hyperlink ref="B104" r:id="rId93" xr:uid="{DC8B8054-1F2F-4757-97D4-9E01D5D5B1A5}"/>
    <hyperlink ref="B105" r:id="rId94" xr:uid="{22166D78-92D2-4364-8BCE-BD7888FF9B48}"/>
    <hyperlink ref="B60" r:id="rId95" xr:uid="{F4E5B582-0FD7-4042-9781-339C32168149}"/>
    <hyperlink ref="B106" r:id="rId96" xr:uid="{ADE21C05-16D1-4769-A87D-D886E7843FCE}"/>
    <hyperlink ref="B107" r:id="rId97" xr:uid="{7F704654-83A9-4ABD-B7D4-13A87F10C515}"/>
    <hyperlink ref="B17" r:id="rId98" xr:uid="{D16DC45A-45D3-4871-8A78-455D5A099427}"/>
    <hyperlink ref="B62" r:id="rId99" xr:uid="{2989ED4F-ABF8-4EC2-A957-3579CAEF25F3}"/>
  </hyperlinks>
  <pageMargins left="0.7" right="0.7" top="0.75" bottom="0.75" header="0.3" footer="0.3"/>
  <headerFooter>
    <oddHeader>&amp;L&amp;"Aptos"&amp;10&amp;K000000 Classification: Internal Use&amp;1#_x000D_</oddHeader>
  </headerFooter>
  <tableParts count="2">
    <tablePart r:id="rId100"/>
    <tablePart r:id="rId10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91541-DF1E-4928-9C5B-32D1F5C23F83}">
  <sheetPr>
    <tabColor rgb="FF00B0F0"/>
  </sheetPr>
  <dimension ref="A1:N113"/>
  <sheetViews>
    <sheetView topLeftCell="A48" workbookViewId="0">
      <selection activeCell="A59" sqref="A59"/>
    </sheetView>
  </sheetViews>
  <sheetFormatPr defaultRowHeight="14.4" x14ac:dyDescent="0.3"/>
  <cols>
    <col min="1" max="1" width="28.88671875" bestFit="1" customWidth="1"/>
    <col min="2" max="2" width="43.5546875" bestFit="1" customWidth="1"/>
    <col min="3" max="3" width="18.44140625" customWidth="1"/>
    <col min="4" max="4" width="15.33203125" bestFit="1" customWidth="1"/>
    <col min="5" max="5" width="29.5546875" bestFit="1" customWidth="1"/>
    <col min="6" max="6" width="29.5546875" customWidth="1"/>
    <col min="7" max="7" width="16.33203125" bestFit="1" customWidth="1"/>
    <col min="8" max="8" width="94.5546875" bestFit="1" customWidth="1"/>
  </cols>
  <sheetData>
    <row r="1" spans="1:14" s="7" customFormat="1" ht="19.95" customHeight="1" x14ac:dyDescent="0.3">
      <c r="A1" s="8" t="s">
        <v>0</v>
      </c>
      <c r="B1" s="8" t="s">
        <v>1</v>
      </c>
      <c r="C1" s="8" t="s">
        <v>2</v>
      </c>
      <c r="D1" s="8" t="s">
        <v>3</v>
      </c>
      <c r="E1" s="8" t="s">
        <v>265</v>
      </c>
      <c r="F1" s="8" t="s">
        <v>240</v>
      </c>
      <c r="G1" s="8" t="s">
        <v>11</v>
      </c>
      <c r="H1" s="8" t="s">
        <v>266</v>
      </c>
      <c r="I1" s="1"/>
      <c r="J1" s="1"/>
      <c r="K1" s="1"/>
      <c r="L1" s="1"/>
      <c r="M1" s="1"/>
      <c r="N1" s="1"/>
    </row>
    <row r="2" spans="1:14" x14ac:dyDescent="0.3">
      <c r="A2" t="s">
        <v>267</v>
      </c>
      <c r="H2" t="s">
        <v>268</v>
      </c>
    </row>
    <row r="3" spans="1:14" x14ac:dyDescent="0.3">
      <c r="A3" t="s">
        <v>269</v>
      </c>
      <c r="B3" s="90" t="s">
        <v>270</v>
      </c>
      <c r="C3" t="s">
        <v>271</v>
      </c>
      <c r="H3" t="s">
        <v>272</v>
      </c>
    </row>
    <row r="4" spans="1:14" x14ac:dyDescent="0.3">
      <c r="A4" t="s">
        <v>273</v>
      </c>
      <c r="B4" s="90" t="s">
        <v>270</v>
      </c>
      <c r="C4" t="s">
        <v>56</v>
      </c>
      <c r="H4" t="s">
        <v>272</v>
      </c>
    </row>
    <row r="5" spans="1:14" x14ac:dyDescent="0.3">
      <c r="A5" t="s">
        <v>274</v>
      </c>
      <c r="B5" s="90" t="s">
        <v>275</v>
      </c>
      <c r="C5" t="s">
        <v>276</v>
      </c>
      <c r="H5" t="s">
        <v>277</v>
      </c>
    </row>
    <row r="6" spans="1:14" x14ac:dyDescent="0.3">
      <c r="A6" t="s">
        <v>278</v>
      </c>
      <c r="B6" s="90" t="s">
        <v>279</v>
      </c>
      <c r="C6" t="s">
        <v>75</v>
      </c>
      <c r="H6" t="s">
        <v>280</v>
      </c>
    </row>
    <row r="7" spans="1:14" ht="18" x14ac:dyDescent="0.3">
      <c r="A7" t="s">
        <v>281</v>
      </c>
      <c r="B7" s="86" t="s">
        <v>221</v>
      </c>
      <c r="C7" s="3" t="s">
        <v>60</v>
      </c>
      <c r="D7" s="42" t="s">
        <v>222</v>
      </c>
      <c r="E7" s="92"/>
      <c r="F7" s="92"/>
      <c r="G7" s="92"/>
      <c r="H7" t="s">
        <v>282</v>
      </c>
    </row>
    <row r="8" spans="1:14" ht="18" x14ac:dyDescent="0.3">
      <c r="A8" t="s">
        <v>283</v>
      </c>
      <c r="B8" s="86" t="s">
        <v>221</v>
      </c>
      <c r="C8" s="3" t="s">
        <v>60</v>
      </c>
      <c r="D8" s="42" t="s">
        <v>284</v>
      </c>
      <c r="E8" s="92" t="s">
        <v>285</v>
      </c>
      <c r="F8" s="92"/>
      <c r="G8" s="92"/>
      <c r="H8" t="s">
        <v>290</v>
      </c>
    </row>
    <row r="9" spans="1:14" ht="18" x14ac:dyDescent="0.3">
      <c r="A9" t="s">
        <v>287</v>
      </c>
      <c r="B9" s="86" t="s">
        <v>221</v>
      </c>
      <c r="C9" s="3" t="s">
        <v>60</v>
      </c>
      <c r="D9" s="42" t="s">
        <v>288</v>
      </c>
      <c r="E9" s="92">
        <v>123456</v>
      </c>
      <c r="F9" s="92"/>
      <c r="G9" s="92"/>
      <c r="H9" t="s">
        <v>286</v>
      </c>
    </row>
    <row r="10" spans="1:14" ht="18" x14ac:dyDescent="0.3">
      <c r="A10" t="s">
        <v>724</v>
      </c>
      <c r="B10" s="86" t="s">
        <v>221</v>
      </c>
      <c r="C10" s="3" t="s">
        <v>60</v>
      </c>
      <c r="D10" s="42" t="s">
        <v>289</v>
      </c>
      <c r="E10" s="92">
        <v>1234</v>
      </c>
      <c r="F10" s="92"/>
      <c r="G10" s="92"/>
      <c r="H10" t="s">
        <v>290</v>
      </c>
    </row>
    <row r="11" spans="1:14" ht="86.4" x14ac:dyDescent="0.3">
      <c r="A11" t="s">
        <v>291</v>
      </c>
      <c r="B11" s="90" t="s">
        <v>292</v>
      </c>
      <c r="C11" s="91" t="s">
        <v>169</v>
      </c>
      <c r="H11" s="89" t="s">
        <v>860</v>
      </c>
    </row>
    <row r="12" spans="1:14" ht="18" x14ac:dyDescent="0.3">
      <c r="A12" t="s">
        <v>293</v>
      </c>
      <c r="B12" s="90"/>
      <c r="C12" s="91"/>
      <c r="H12" s="89" t="s">
        <v>294</v>
      </c>
    </row>
    <row r="13" spans="1:14" ht="18" x14ac:dyDescent="0.3">
      <c r="A13" t="s">
        <v>295</v>
      </c>
      <c r="B13" s="90" t="s">
        <v>296</v>
      </c>
      <c r="C13" s="91"/>
      <c r="H13" s="89" t="s">
        <v>297</v>
      </c>
    </row>
    <row r="14" spans="1:14" ht="28.8" x14ac:dyDescent="0.3">
      <c r="A14" t="s">
        <v>298</v>
      </c>
      <c r="B14" s="90" t="s">
        <v>279</v>
      </c>
      <c r="C14" t="s">
        <v>75</v>
      </c>
      <c r="H14" s="89" t="s">
        <v>299</v>
      </c>
    </row>
    <row r="15" spans="1:14" ht="18" x14ac:dyDescent="0.3">
      <c r="A15" t="s">
        <v>300</v>
      </c>
      <c r="B15" s="90" t="s">
        <v>301</v>
      </c>
      <c r="C15" s="91" t="s">
        <v>169</v>
      </c>
      <c r="H15" t="s">
        <v>302</v>
      </c>
    </row>
    <row r="16" spans="1:14" x14ac:dyDescent="0.3">
      <c r="A16" t="s">
        <v>303</v>
      </c>
      <c r="H16" s="89" t="s">
        <v>304</v>
      </c>
    </row>
    <row r="17" spans="1:8" x14ac:dyDescent="0.3">
      <c r="A17" t="s">
        <v>305</v>
      </c>
      <c r="B17" s="90" t="s">
        <v>226</v>
      </c>
      <c r="H17" s="89" t="s">
        <v>306</v>
      </c>
    </row>
    <row r="18" spans="1:8" x14ac:dyDescent="0.3">
      <c r="A18" t="s">
        <v>307</v>
      </c>
      <c r="B18" t="s">
        <v>308</v>
      </c>
      <c r="H18" s="89" t="s">
        <v>309</v>
      </c>
    </row>
    <row r="19" spans="1:8" x14ac:dyDescent="0.3">
      <c r="A19" t="s">
        <v>310</v>
      </c>
      <c r="B19" s="90" t="s">
        <v>228</v>
      </c>
      <c r="H19" s="89" t="s">
        <v>311</v>
      </c>
    </row>
    <row r="20" spans="1:8" x14ac:dyDescent="0.3">
      <c r="A20" t="s">
        <v>891</v>
      </c>
      <c r="B20" s="90" t="s">
        <v>883</v>
      </c>
      <c r="H20" s="89" t="s">
        <v>311</v>
      </c>
    </row>
    <row r="21" spans="1:8" x14ac:dyDescent="0.3">
      <c r="A21" t="s">
        <v>312</v>
      </c>
      <c r="H21" s="89" t="s">
        <v>313</v>
      </c>
    </row>
    <row r="22" spans="1:8" x14ac:dyDescent="0.3">
      <c r="A22" s="102" t="s">
        <v>314</v>
      </c>
      <c r="H22" s="89" t="s">
        <v>315</v>
      </c>
    </row>
    <row r="23" spans="1:8" x14ac:dyDescent="0.3">
      <c r="A23" s="102" t="s">
        <v>316</v>
      </c>
      <c r="H23" s="89" t="s">
        <v>317</v>
      </c>
    </row>
    <row r="24" spans="1:8" x14ac:dyDescent="0.3">
      <c r="A24" s="102" t="s">
        <v>318</v>
      </c>
      <c r="B24" s="90" t="s">
        <v>319</v>
      </c>
      <c r="C24" t="s">
        <v>56</v>
      </c>
      <c r="D24" t="s">
        <v>320</v>
      </c>
      <c r="H24" s="89" t="s">
        <v>321</v>
      </c>
    </row>
    <row r="25" spans="1:8" ht="28.8" x14ac:dyDescent="0.3">
      <c r="A25" s="102" t="s">
        <v>322</v>
      </c>
      <c r="G25" t="s">
        <v>323</v>
      </c>
      <c r="H25" s="89" t="s">
        <v>324</v>
      </c>
    </row>
    <row r="26" spans="1:8" ht="28.8" x14ac:dyDescent="0.3">
      <c r="A26" s="102" t="s">
        <v>325</v>
      </c>
      <c r="G26" t="s">
        <v>326</v>
      </c>
      <c r="H26" s="89" t="s">
        <v>327</v>
      </c>
    </row>
    <row r="27" spans="1:8" x14ac:dyDescent="0.3">
      <c r="A27" s="102" t="s">
        <v>328</v>
      </c>
      <c r="G27" t="s">
        <v>58</v>
      </c>
      <c r="H27" s="89" t="s">
        <v>329</v>
      </c>
    </row>
    <row r="28" spans="1:8" x14ac:dyDescent="0.3">
      <c r="A28" s="109" t="s">
        <v>330</v>
      </c>
      <c r="H28" s="89" t="s">
        <v>331</v>
      </c>
    </row>
    <row r="29" spans="1:8" x14ac:dyDescent="0.3">
      <c r="A29" s="109" t="s">
        <v>332</v>
      </c>
      <c r="H29" s="89" t="s">
        <v>333</v>
      </c>
    </row>
    <row r="30" spans="1:8" x14ac:dyDescent="0.3">
      <c r="A30" s="108" t="s">
        <v>334</v>
      </c>
      <c r="H30" s="89" t="s">
        <v>333</v>
      </c>
    </row>
    <row r="31" spans="1:8" x14ac:dyDescent="0.3">
      <c r="A31" s="108" t="s">
        <v>828</v>
      </c>
      <c r="H31" s="89" t="s">
        <v>336</v>
      </c>
    </row>
    <row r="32" spans="1:8" x14ac:dyDescent="0.3">
      <c r="A32" s="109" t="s">
        <v>335</v>
      </c>
      <c r="H32" s="89" t="s">
        <v>336</v>
      </c>
    </row>
    <row r="33" spans="1:8" x14ac:dyDescent="0.3">
      <c r="A33" s="109" t="s">
        <v>337</v>
      </c>
      <c r="H33" s="89" t="s">
        <v>338</v>
      </c>
    </row>
    <row r="34" spans="1:8" x14ac:dyDescent="0.3">
      <c r="A34" s="102" t="s">
        <v>339</v>
      </c>
      <c r="H34" s="89" t="s">
        <v>340</v>
      </c>
    </row>
    <row r="35" spans="1:8" x14ac:dyDescent="0.3">
      <c r="A35" s="109" t="s">
        <v>341</v>
      </c>
      <c r="H35" s="89" t="s">
        <v>342</v>
      </c>
    </row>
    <row r="36" spans="1:8" x14ac:dyDescent="0.3">
      <c r="A36" s="109" t="s">
        <v>826</v>
      </c>
      <c r="H36" s="89" t="s">
        <v>827</v>
      </c>
    </row>
    <row r="37" spans="1:8" x14ac:dyDescent="0.3">
      <c r="A37" s="102" t="s">
        <v>343</v>
      </c>
      <c r="H37" s="89" t="s">
        <v>344</v>
      </c>
    </row>
    <row r="38" spans="1:8" x14ac:dyDescent="0.3">
      <c r="A38" s="108" t="s">
        <v>345</v>
      </c>
      <c r="H38" s="89" t="s">
        <v>346</v>
      </c>
    </row>
    <row r="39" spans="1:8" x14ac:dyDescent="0.3">
      <c r="A39" s="107" t="s">
        <v>817</v>
      </c>
      <c r="H39" s="89" t="s">
        <v>348</v>
      </c>
    </row>
    <row r="40" spans="1:8" x14ac:dyDescent="0.3">
      <c r="A40" s="108" t="s">
        <v>347</v>
      </c>
      <c r="H40" s="89" t="s">
        <v>348</v>
      </c>
    </row>
    <row r="41" spans="1:8" x14ac:dyDescent="0.3">
      <c r="A41" s="102" t="s">
        <v>349</v>
      </c>
      <c r="H41" s="89" t="s">
        <v>346</v>
      </c>
    </row>
    <row r="42" spans="1:8" x14ac:dyDescent="0.3">
      <c r="A42" s="107" t="s">
        <v>350</v>
      </c>
      <c r="H42" s="89" t="s">
        <v>348</v>
      </c>
    </row>
    <row r="43" spans="1:8" x14ac:dyDescent="0.3">
      <c r="A43" s="102" t="s">
        <v>351</v>
      </c>
      <c r="H43" s="89" t="s">
        <v>352</v>
      </c>
    </row>
    <row r="44" spans="1:8" x14ac:dyDescent="0.3">
      <c r="A44" t="s">
        <v>749</v>
      </c>
      <c r="H44" t="s">
        <v>268</v>
      </c>
    </row>
    <row r="45" spans="1:8" x14ac:dyDescent="0.3">
      <c r="A45" t="s">
        <v>750</v>
      </c>
      <c r="B45" s="90" t="s">
        <v>270</v>
      </c>
      <c r="C45" t="s">
        <v>271</v>
      </c>
      <c r="H45" t="s">
        <v>272</v>
      </c>
    </row>
    <row r="46" spans="1:8" x14ac:dyDescent="0.3">
      <c r="A46" t="s">
        <v>751</v>
      </c>
      <c r="B46" s="90" t="s">
        <v>270</v>
      </c>
      <c r="C46" t="s">
        <v>56</v>
      </c>
      <c r="H46" t="s">
        <v>272</v>
      </c>
    </row>
    <row r="47" spans="1:8" x14ac:dyDescent="0.3">
      <c r="A47" t="s">
        <v>752</v>
      </c>
      <c r="B47" s="90" t="s">
        <v>275</v>
      </c>
      <c r="C47" t="s">
        <v>276</v>
      </c>
      <c r="H47" t="s">
        <v>277</v>
      </c>
    </row>
    <row r="48" spans="1:8" ht="18" x14ac:dyDescent="0.3">
      <c r="A48" t="s">
        <v>360</v>
      </c>
      <c r="B48" s="90"/>
      <c r="C48" s="91"/>
      <c r="H48" s="89" t="s">
        <v>294</v>
      </c>
    </row>
    <row r="49" spans="1:8" ht="18" x14ac:dyDescent="0.3">
      <c r="A49" t="s">
        <v>362</v>
      </c>
      <c r="B49" s="90" t="s">
        <v>296</v>
      </c>
      <c r="C49" s="91"/>
      <c r="H49" s="89" t="s">
        <v>297</v>
      </c>
    </row>
    <row r="50" spans="1:8" ht="28.8" x14ac:dyDescent="0.3">
      <c r="A50" s="117" t="s">
        <v>616</v>
      </c>
      <c r="B50" s="90" t="s">
        <v>279</v>
      </c>
      <c r="C50" t="s">
        <v>75</v>
      </c>
      <c r="H50" s="89" t="s">
        <v>299</v>
      </c>
    </row>
    <row r="51" spans="1:8" x14ac:dyDescent="0.3">
      <c r="A51" t="s">
        <v>774</v>
      </c>
      <c r="B51" s="90" t="s">
        <v>279</v>
      </c>
      <c r="C51" t="s">
        <v>75</v>
      </c>
      <c r="H51" t="s">
        <v>280</v>
      </c>
    </row>
    <row r="52" spans="1:8" ht="18" x14ac:dyDescent="0.3">
      <c r="A52" t="s">
        <v>782</v>
      </c>
      <c r="B52" s="90" t="s">
        <v>301</v>
      </c>
      <c r="C52" s="91" t="s">
        <v>169</v>
      </c>
      <c r="H52" t="s">
        <v>302</v>
      </c>
    </row>
    <row r="53" spans="1:8" x14ac:dyDescent="0.3">
      <c r="A53" s="105" t="s">
        <v>779</v>
      </c>
      <c r="H53" s="89" t="s">
        <v>331</v>
      </c>
    </row>
    <row r="54" spans="1:8" x14ac:dyDescent="0.3">
      <c r="A54" s="105" t="s">
        <v>782</v>
      </c>
      <c r="H54" s="89" t="s">
        <v>333</v>
      </c>
    </row>
    <row r="55" spans="1:8" x14ac:dyDescent="0.3">
      <c r="A55" s="106" t="s">
        <v>803</v>
      </c>
      <c r="H55" s="89" t="s">
        <v>331</v>
      </c>
    </row>
    <row r="56" spans="1:8" x14ac:dyDescent="0.3">
      <c r="A56" s="106" t="s">
        <v>804</v>
      </c>
      <c r="H56" s="89" t="s">
        <v>333</v>
      </c>
    </row>
    <row r="57" spans="1:8" x14ac:dyDescent="0.3">
      <c r="A57" s="106" t="s">
        <v>736</v>
      </c>
      <c r="H57" s="89" t="s">
        <v>342</v>
      </c>
    </row>
    <row r="58" spans="1:8" x14ac:dyDescent="0.3">
      <c r="A58" s="106" t="s">
        <v>735</v>
      </c>
      <c r="H58" s="89" t="s">
        <v>344</v>
      </c>
    </row>
    <row r="59" spans="1:8" x14ac:dyDescent="0.3">
      <c r="A59" s="106" t="s">
        <v>733</v>
      </c>
      <c r="H59" s="89" t="s">
        <v>331</v>
      </c>
    </row>
    <row r="60" spans="1:8" x14ac:dyDescent="0.3">
      <c r="A60" s="106" t="s">
        <v>805</v>
      </c>
      <c r="H60" s="89" t="s">
        <v>333</v>
      </c>
    </row>
    <row r="61" spans="1:8" x14ac:dyDescent="0.3">
      <c r="A61" s="106" t="s">
        <v>734</v>
      </c>
      <c r="H61" s="89" t="s">
        <v>336</v>
      </c>
    </row>
    <row r="62" spans="1:8" x14ac:dyDescent="0.3">
      <c r="A62" s="106" t="s">
        <v>737</v>
      </c>
      <c r="H62" s="89" t="s">
        <v>340</v>
      </c>
    </row>
    <row r="63" spans="1:8" x14ac:dyDescent="0.3">
      <c r="A63" s="106" t="s">
        <v>738</v>
      </c>
      <c r="H63" s="89" t="s">
        <v>333</v>
      </c>
    </row>
    <row r="64" spans="1:8" x14ac:dyDescent="0.3">
      <c r="A64" s="106" t="s">
        <v>739</v>
      </c>
      <c r="H64" s="89" t="s">
        <v>338</v>
      </c>
    </row>
    <row r="65" spans="1:8" x14ac:dyDescent="0.3">
      <c r="A65" s="106" t="s">
        <v>740</v>
      </c>
      <c r="H65" s="89" t="s">
        <v>336</v>
      </c>
    </row>
    <row r="66" spans="1:8" x14ac:dyDescent="0.3">
      <c r="A66" s="106" t="s">
        <v>741</v>
      </c>
      <c r="H66" s="89" t="s">
        <v>342</v>
      </c>
    </row>
    <row r="67" spans="1:8" x14ac:dyDescent="0.3">
      <c r="A67" s="106" t="s">
        <v>742</v>
      </c>
      <c r="H67" s="89" t="s">
        <v>340</v>
      </c>
    </row>
    <row r="68" spans="1:8" x14ac:dyDescent="0.3">
      <c r="A68" s="106" t="s">
        <v>777</v>
      </c>
      <c r="H68" s="89" t="s">
        <v>344</v>
      </c>
    </row>
    <row r="69" spans="1:8" x14ac:dyDescent="0.3">
      <c r="A69" s="106" t="s">
        <v>806</v>
      </c>
      <c r="H69" s="89" t="s">
        <v>333</v>
      </c>
    </row>
    <row r="70" spans="1:8" x14ac:dyDescent="0.3">
      <c r="A70" s="106" t="s">
        <v>778</v>
      </c>
      <c r="H70" s="89" t="s">
        <v>338</v>
      </c>
    </row>
    <row r="71" spans="1:8" x14ac:dyDescent="0.3">
      <c r="A71" s="107" t="s">
        <v>819</v>
      </c>
      <c r="H71" s="89" t="s">
        <v>336</v>
      </c>
    </row>
    <row r="72" spans="1:8" x14ac:dyDescent="0.3">
      <c r="A72" s="108" t="s">
        <v>824</v>
      </c>
      <c r="H72" t="s">
        <v>823</v>
      </c>
    </row>
    <row r="73" spans="1:8" x14ac:dyDescent="0.3">
      <c r="A73" t="s">
        <v>825</v>
      </c>
      <c r="H73" t="s">
        <v>336</v>
      </c>
    </row>
    <row r="74" spans="1:8" x14ac:dyDescent="0.3">
      <c r="A74" t="s">
        <v>830</v>
      </c>
      <c r="H74" t="s">
        <v>829</v>
      </c>
    </row>
    <row r="75" spans="1:8" x14ac:dyDescent="0.3">
      <c r="A75" t="s">
        <v>832</v>
      </c>
      <c r="H75" t="s">
        <v>831</v>
      </c>
    </row>
    <row r="76" spans="1:8" x14ac:dyDescent="0.3">
      <c r="A76" t="s">
        <v>833</v>
      </c>
      <c r="H76" t="s">
        <v>831</v>
      </c>
    </row>
    <row r="77" spans="1:8" x14ac:dyDescent="0.3">
      <c r="A77" t="s">
        <v>834</v>
      </c>
      <c r="H77" t="s">
        <v>831</v>
      </c>
    </row>
    <row r="78" spans="1:8" x14ac:dyDescent="0.3">
      <c r="A78" t="s">
        <v>835</v>
      </c>
      <c r="H78" t="s">
        <v>829</v>
      </c>
    </row>
    <row r="79" spans="1:8" x14ac:dyDescent="0.3">
      <c r="A79" t="s">
        <v>836</v>
      </c>
      <c r="H79" t="s">
        <v>829</v>
      </c>
    </row>
    <row r="80" spans="1:8" x14ac:dyDescent="0.3">
      <c r="A80" t="s">
        <v>837</v>
      </c>
      <c r="H80" t="s">
        <v>838</v>
      </c>
    </row>
    <row r="81" spans="1:8" x14ac:dyDescent="0.3">
      <c r="A81" t="s">
        <v>839</v>
      </c>
      <c r="H81" t="s">
        <v>309</v>
      </c>
    </row>
    <row r="82" spans="1:8" x14ac:dyDescent="0.3">
      <c r="A82" t="s">
        <v>840</v>
      </c>
      <c r="H82" t="s">
        <v>829</v>
      </c>
    </row>
    <row r="83" spans="1:8" x14ac:dyDescent="0.3">
      <c r="A83" t="s">
        <v>841</v>
      </c>
      <c r="H83" t="s">
        <v>309</v>
      </c>
    </row>
    <row r="84" spans="1:8" x14ac:dyDescent="0.3">
      <c r="A84" t="s">
        <v>842</v>
      </c>
      <c r="H84" t="s">
        <v>843</v>
      </c>
    </row>
    <row r="85" spans="1:8" x14ac:dyDescent="0.3">
      <c r="A85" t="s">
        <v>844</v>
      </c>
      <c r="H85" t="s">
        <v>845</v>
      </c>
    </row>
    <row r="86" spans="1:8" x14ac:dyDescent="0.3">
      <c r="A86" t="s">
        <v>846</v>
      </c>
      <c r="H86" t="s">
        <v>309</v>
      </c>
    </row>
    <row r="87" spans="1:8" x14ac:dyDescent="0.3">
      <c r="A87" t="s">
        <v>847</v>
      </c>
      <c r="H87" t="s">
        <v>848</v>
      </c>
    </row>
    <row r="88" spans="1:8" x14ac:dyDescent="0.3">
      <c r="A88" t="s">
        <v>849</v>
      </c>
      <c r="H88" t="s">
        <v>843</v>
      </c>
    </row>
    <row r="89" spans="1:8" x14ac:dyDescent="0.3">
      <c r="A89" t="s">
        <v>850</v>
      </c>
      <c r="H89" t="s">
        <v>845</v>
      </c>
    </row>
    <row r="90" spans="1:8" x14ac:dyDescent="0.3">
      <c r="A90" t="s">
        <v>851</v>
      </c>
      <c r="H90" t="s">
        <v>309</v>
      </c>
    </row>
    <row r="91" spans="1:8" x14ac:dyDescent="0.3">
      <c r="A91" t="s">
        <v>852</v>
      </c>
      <c r="H91" t="s">
        <v>853</v>
      </c>
    </row>
    <row r="92" spans="1:8" x14ac:dyDescent="0.3">
      <c r="A92" t="s">
        <v>854</v>
      </c>
      <c r="H92" t="s">
        <v>845</v>
      </c>
    </row>
    <row r="93" spans="1:8" x14ac:dyDescent="0.3">
      <c r="A93" t="s">
        <v>855</v>
      </c>
      <c r="H93" t="s">
        <v>845</v>
      </c>
    </row>
    <row r="94" spans="1:8" x14ac:dyDescent="0.3">
      <c r="A94" t="s">
        <v>856</v>
      </c>
      <c r="H94" t="s">
        <v>857</v>
      </c>
    </row>
    <row r="95" spans="1:8" x14ac:dyDescent="0.3">
      <c r="A95" t="s">
        <v>859</v>
      </c>
      <c r="H95" t="s">
        <v>858</v>
      </c>
    </row>
    <row r="96" spans="1:8" ht="86.4" x14ac:dyDescent="0.3">
      <c r="A96" t="s">
        <v>861</v>
      </c>
      <c r="F96" s="89" t="s">
        <v>865</v>
      </c>
      <c r="H96" t="s">
        <v>845</v>
      </c>
    </row>
    <row r="113" spans="6:6" ht="86.4" x14ac:dyDescent="0.3">
      <c r="F113" s="89" t="s">
        <v>862</v>
      </c>
    </row>
  </sheetData>
  <phoneticPr fontId="27" type="noConversion"/>
  <hyperlinks>
    <hyperlink ref="B3" r:id="rId1" xr:uid="{F3B168CA-C597-43E1-86B9-4E75B30876A7}"/>
    <hyperlink ref="B4" r:id="rId2" xr:uid="{EA82DEA9-5D2D-444C-90B3-096C37861BD0}"/>
    <hyperlink ref="B5" r:id="rId3" xr:uid="{F921A922-310A-4BBA-BCD1-EC286FB877D5}"/>
    <hyperlink ref="B6" r:id="rId4" xr:uid="{58D19984-FA31-4403-92FC-D99C45BEDD24}"/>
    <hyperlink ref="B7" r:id="rId5" xr:uid="{6796E2E6-1CF1-4379-A75D-B8BC884DEAB9}"/>
    <hyperlink ref="B8" r:id="rId6" xr:uid="{803DA518-F8EF-4E45-8718-F6F14BE97D55}"/>
    <hyperlink ref="B9" r:id="rId7" xr:uid="{07736B17-DD1F-4341-ABBD-E4A33802BF49}"/>
    <hyperlink ref="B10" r:id="rId8" xr:uid="{7367EE17-F17B-4A71-A13D-D3778CF39818}"/>
    <hyperlink ref="B11" r:id="rId9" xr:uid="{808D72D9-5467-470B-A5B0-E3BF1AD50988}"/>
    <hyperlink ref="B15" r:id="rId10" xr:uid="{7C5FFE50-032F-49BF-8BE0-BCEFDA8E1E88}"/>
    <hyperlink ref="B14" r:id="rId11" xr:uid="{2A1A72B5-931A-43A7-A63B-993B62771CFE}"/>
    <hyperlink ref="B17" r:id="rId12" xr:uid="{7506E268-E8E7-4303-BADD-C347FD27792F}"/>
    <hyperlink ref="B19" r:id="rId13" xr:uid="{5E8D0166-DDAC-40CD-9943-008233F5A3F4}"/>
    <hyperlink ref="B24" r:id="rId14" xr:uid="{FF871FB6-86AC-4238-B003-B3EBB5ECCD52}"/>
    <hyperlink ref="B45" r:id="rId15" xr:uid="{A13A31DA-2D67-4A30-A71E-7F28D0EB5991}"/>
    <hyperlink ref="B46" r:id="rId16" xr:uid="{30D23E84-A7EE-4E22-93B5-311D186B70F2}"/>
    <hyperlink ref="B47" r:id="rId17" xr:uid="{509C793E-F89D-4DE7-AB52-D1835A6E8D9B}"/>
    <hyperlink ref="B52" r:id="rId18" xr:uid="{AD2F8C9D-8FF8-42E1-BD8F-D1734FA1AD95}"/>
    <hyperlink ref="B50" r:id="rId19" xr:uid="{ED9103CC-CC06-4F27-85BC-051D5B1B5F0F}"/>
    <hyperlink ref="B51" r:id="rId20" xr:uid="{39EB15AF-0493-4966-B72A-F4C778A2C1EB}"/>
    <hyperlink ref="B20" r:id="rId21" xr:uid="{95C7C80D-A038-48DE-94ED-C57126BD11E3}"/>
  </hyperlinks>
  <pageMargins left="0.7" right="0.7" top="0.75" bottom="0.75" header="0.3" footer="0.3"/>
  <headerFooter>
    <oddHeader>&amp;L&amp;"Aptos"&amp;10&amp;K000000 Classification: Internal Use&amp;1#_x000D_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93EC-B391-43CA-BFCE-2CB58E37A3C0}">
  <sheetPr>
    <tabColor rgb="FF00B050"/>
  </sheetPr>
  <dimension ref="A1:Z36"/>
  <sheetViews>
    <sheetView topLeftCell="A35" workbookViewId="0">
      <selection activeCell="B3" sqref="B3"/>
    </sheetView>
  </sheetViews>
  <sheetFormatPr defaultRowHeight="14.4" x14ac:dyDescent="0.3"/>
  <cols>
    <col min="2" max="2" width="10.6640625" bestFit="1" customWidth="1"/>
    <col min="3" max="3" width="14" customWidth="1"/>
    <col min="5" max="5" width="18.33203125" customWidth="1"/>
    <col min="6" max="7" width="30.109375" bestFit="1" customWidth="1"/>
    <col min="9" max="9" width="21.33203125" customWidth="1"/>
    <col min="11" max="11" width="23.5546875" customWidth="1"/>
    <col min="13" max="13" width="23.109375" customWidth="1"/>
    <col min="21" max="21" width="17.5546875" customWidth="1"/>
    <col min="22" max="22" width="10.33203125" bestFit="1" customWidth="1"/>
    <col min="24" max="24" width="24.33203125" customWidth="1"/>
  </cols>
  <sheetData>
    <row r="1" spans="1:26" ht="31.95" customHeight="1" x14ac:dyDescent="0.3">
      <c r="A1" s="73" t="s">
        <v>0</v>
      </c>
      <c r="B1" s="73" t="s">
        <v>237</v>
      </c>
      <c r="C1" s="73" t="s">
        <v>238</v>
      </c>
      <c r="D1" s="73" t="s">
        <v>239</v>
      </c>
      <c r="E1" s="73" t="s">
        <v>240</v>
      </c>
      <c r="F1" s="73" t="s">
        <v>241</v>
      </c>
      <c r="G1" s="73" t="s">
        <v>242</v>
      </c>
      <c r="H1" s="73" t="s">
        <v>243</v>
      </c>
      <c r="I1" s="73" t="s">
        <v>244</v>
      </c>
      <c r="J1" s="73" t="s">
        <v>245</v>
      </c>
      <c r="K1" s="73" t="s">
        <v>246</v>
      </c>
      <c r="L1" s="73" t="s">
        <v>247</v>
      </c>
      <c r="M1" s="73" t="s">
        <v>248</v>
      </c>
      <c r="N1" s="73" t="s">
        <v>2</v>
      </c>
      <c r="O1" s="73" t="s">
        <v>249</v>
      </c>
      <c r="P1" s="73" t="s">
        <v>250</v>
      </c>
      <c r="Q1" s="73" t="s">
        <v>251</v>
      </c>
      <c r="R1" s="73" t="s">
        <v>252</v>
      </c>
      <c r="S1" s="73" t="s">
        <v>253</v>
      </c>
      <c r="T1" s="73" t="s">
        <v>254</v>
      </c>
      <c r="U1" s="73" t="s">
        <v>255</v>
      </c>
      <c r="V1" s="73" t="s">
        <v>256</v>
      </c>
      <c r="W1" s="73" t="s">
        <v>257</v>
      </c>
      <c r="X1" s="73" t="s">
        <v>258</v>
      </c>
      <c r="Y1" s="73" t="s">
        <v>259</v>
      </c>
      <c r="Z1" s="73" t="s">
        <v>260</v>
      </c>
    </row>
    <row r="2" spans="1:26" ht="31.95" customHeight="1" x14ac:dyDescent="0.3">
      <c r="A2" s="74" t="s">
        <v>364</v>
      </c>
      <c r="B2" s="74">
        <v>461020700</v>
      </c>
      <c r="C2" s="74" t="s">
        <v>603</v>
      </c>
      <c r="D2" s="74" t="s">
        <v>604</v>
      </c>
      <c r="E2" s="75" t="s">
        <v>605</v>
      </c>
      <c r="F2" s="29" t="s">
        <v>617</v>
      </c>
      <c r="G2" s="29" t="s">
        <v>617</v>
      </c>
      <c r="H2" s="74" t="s">
        <v>15</v>
      </c>
      <c r="I2" s="82" t="s">
        <v>618</v>
      </c>
      <c r="J2" s="76" t="s">
        <v>261</v>
      </c>
      <c r="K2" s="82" t="s">
        <v>618</v>
      </c>
      <c r="L2" s="76" t="s">
        <v>261</v>
      </c>
      <c r="M2" s="82" t="s">
        <v>619</v>
      </c>
      <c r="N2" s="74" t="s">
        <v>75</v>
      </c>
      <c r="O2" s="74" t="s">
        <v>606</v>
      </c>
      <c r="P2" s="74" t="s">
        <v>15</v>
      </c>
      <c r="Q2" s="77" t="s">
        <v>379</v>
      </c>
      <c r="R2" s="78" t="s">
        <v>15</v>
      </c>
      <c r="S2" s="78" t="s">
        <v>15</v>
      </c>
      <c r="T2" s="78" t="s">
        <v>15</v>
      </c>
      <c r="U2" s="72" t="s">
        <v>620</v>
      </c>
      <c r="V2" s="78" t="s">
        <v>621</v>
      </c>
      <c r="W2" s="74" t="s">
        <v>366</v>
      </c>
      <c r="X2" s="74" t="s">
        <v>41</v>
      </c>
      <c r="Y2" s="104" t="s">
        <v>607</v>
      </c>
      <c r="Z2" s="83" t="s">
        <v>15</v>
      </c>
    </row>
    <row r="3" spans="1:26" ht="31.95" customHeight="1" x14ac:dyDescent="0.3">
      <c r="A3" s="74" t="s">
        <v>367</v>
      </c>
      <c r="B3" s="74">
        <v>242597688</v>
      </c>
      <c r="C3" s="74" t="s">
        <v>565</v>
      </c>
      <c r="D3" s="74" t="s">
        <v>566</v>
      </c>
      <c r="E3" s="75" t="s">
        <v>567</v>
      </c>
      <c r="F3" s="27" t="s">
        <v>622</v>
      </c>
      <c r="G3" s="29" t="s">
        <v>622</v>
      </c>
      <c r="H3" s="74" t="s">
        <v>15</v>
      </c>
      <c r="I3" s="82" t="s">
        <v>623</v>
      </c>
      <c r="J3" s="76" t="s">
        <v>261</v>
      </c>
      <c r="K3" s="82" t="s">
        <v>623</v>
      </c>
      <c r="L3" s="76" t="s">
        <v>261</v>
      </c>
      <c r="M3" s="82" t="s">
        <v>624</v>
      </c>
      <c r="N3" s="74" t="s">
        <v>75</v>
      </c>
      <c r="O3" s="74" t="s">
        <v>568</v>
      </c>
      <c r="P3" s="74" t="s">
        <v>15</v>
      </c>
      <c r="Q3" s="77" t="s">
        <v>475</v>
      </c>
      <c r="R3" s="78" t="s">
        <v>15</v>
      </c>
      <c r="S3" s="78" t="s">
        <v>15</v>
      </c>
      <c r="T3" s="78" t="s">
        <v>15</v>
      </c>
      <c r="U3" s="72" t="s">
        <v>625</v>
      </c>
      <c r="V3" s="78" t="s">
        <v>621</v>
      </c>
      <c r="W3" s="74" t="s">
        <v>366</v>
      </c>
      <c r="X3" s="74" t="s">
        <v>41</v>
      </c>
      <c r="Y3" s="78" t="s">
        <v>569</v>
      </c>
      <c r="Z3" s="83" t="s">
        <v>15</v>
      </c>
    </row>
    <row r="4" spans="1:26" ht="31.95" customHeight="1" x14ac:dyDescent="0.3">
      <c r="A4" s="74" t="s">
        <v>374</v>
      </c>
      <c r="B4" s="74">
        <v>242597696</v>
      </c>
      <c r="C4" s="74" t="s">
        <v>570</v>
      </c>
      <c r="D4" s="74" t="s">
        <v>571</v>
      </c>
      <c r="E4" s="75" t="s">
        <v>572</v>
      </c>
      <c r="F4" s="29" t="s">
        <v>626</v>
      </c>
      <c r="G4" s="29" t="s">
        <v>626</v>
      </c>
      <c r="H4" s="74" t="s">
        <v>15</v>
      </c>
      <c r="I4" s="82" t="s">
        <v>627</v>
      </c>
      <c r="J4" s="76" t="s">
        <v>261</v>
      </c>
      <c r="K4" s="82" t="s">
        <v>627</v>
      </c>
      <c r="L4" s="76" t="s">
        <v>261</v>
      </c>
      <c r="M4" s="82" t="s">
        <v>628</v>
      </c>
      <c r="N4" s="74" t="s">
        <v>75</v>
      </c>
      <c r="O4" s="74" t="s">
        <v>573</v>
      </c>
      <c r="P4" s="74" t="s">
        <v>15</v>
      </c>
      <c r="Q4" s="77" t="s">
        <v>574</v>
      </c>
      <c r="R4" s="78" t="s">
        <v>15</v>
      </c>
      <c r="S4" s="78" t="s">
        <v>15</v>
      </c>
      <c r="T4" s="78" t="s">
        <v>15</v>
      </c>
      <c r="U4" s="72" t="s">
        <v>355</v>
      </c>
      <c r="V4" s="78" t="s">
        <v>263</v>
      </c>
      <c r="W4" s="74" t="s">
        <v>366</v>
      </c>
      <c r="X4" s="74" t="s">
        <v>41</v>
      </c>
      <c r="Y4" s="78" t="s">
        <v>15</v>
      </c>
      <c r="Z4" s="83" t="s">
        <v>15</v>
      </c>
    </row>
    <row r="5" spans="1:26" ht="31.95" customHeight="1" x14ac:dyDescent="0.3">
      <c r="A5" s="74" t="s">
        <v>383</v>
      </c>
      <c r="B5" s="74">
        <v>242596762</v>
      </c>
      <c r="C5" s="74" t="s">
        <v>575</v>
      </c>
      <c r="D5" s="74" t="s">
        <v>576</v>
      </c>
      <c r="E5" s="75" t="s">
        <v>577</v>
      </c>
      <c r="F5" s="29" t="s">
        <v>629</v>
      </c>
      <c r="G5" s="29" t="s">
        <v>629</v>
      </c>
      <c r="H5" s="74" t="s">
        <v>15</v>
      </c>
      <c r="I5" s="82" t="s">
        <v>630</v>
      </c>
      <c r="J5" s="76" t="s">
        <v>261</v>
      </c>
      <c r="K5" s="82" t="s">
        <v>630</v>
      </c>
      <c r="L5" s="76" t="s">
        <v>261</v>
      </c>
      <c r="M5" s="82" t="s">
        <v>631</v>
      </c>
      <c r="N5" s="74" t="s">
        <v>75</v>
      </c>
      <c r="O5" s="74" t="s">
        <v>578</v>
      </c>
      <c r="P5" s="74" t="s">
        <v>15</v>
      </c>
      <c r="Q5" s="77" t="s">
        <v>372</v>
      </c>
      <c r="R5" s="78" t="s">
        <v>15</v>
      </c>
      <c r="S5" s="78" t="s">
        <v>15</v>
      </c>
      <c r="T5" s="78" t="s">
        <v>15</v>
      </c>
      <c r="U5" s="72" t="s">
        <v>564</v>
      </c>
      <c r="V5" s="78" t="s">
        <v>263</v>
      </c>
      <c r="W5" s="74" t="s">
        <v>366</v>
      </c>
      <c r="X5" s="74" t="s">
        <v>41</v>
      </c>
      <c r="Y5" s="80" t="s">
        <v>579</v>
      </c>
      <c r="Z5" s="83" t="s">
        <v>15</v>
      </c>
    </row>
    <row r="6" spans="1:26" ht="31.95" customHeight="1" x14ac:dyDescent="0.3">
      <c r="A6" s="74" t="s">
        <v>391</v>
      </c>
      <c r="B6" s="74">
        <v>242598790</v>
      </c>
      <c r="C6" s="74" t="s">
        <v>580</v>
      </c>
      <c r="D6" s="74" t="s">
        <v>581</v>
      </c>
      <c r="E6" s="75" t="s">
        <v>582</v>
      </c>
      <c r="F6" s="29" t="s">
        <v>632</v>
      </c>
      <c r="G6" s="29" t="s">
        <v>632</v>
      </c>
      <c r="H6" s="74" t="s">
        <v>15</v>
      </c>
      <c r="I6" s="82" t="s">
        <v>633</v>
      </c>
      <c r="J6" s="76" t="s">
        <v>261</v>
      </c>
      <c r="K6" s="82" t="s">
        <v>633</v>
      </c>
      <c r="L6" s="76" t="s">
        <v>261</v>
      </c>
      <c r="M6" s="82" t="s">
        <v>634</v>
      </c>
      <c r="N6" s="74" t="s">
        <v>75</v>
      </c>
      <c r="O6" s="74" t="s">
        <v>583</v>
      </c>
      <c r="P6" s="74" t="s">
        <v>15</v>
      </c>
      <c r="Q6" s="77" t="s">
        <v>584</v>
      </c>
      <c r="R6" s="78" t="s">
        <v>15</v>
      </c>
      <c r="S6" s="78" t="s">
        <v>15</v>
      </c>
      <c r="T6" s="78" t="s">
        <v>15</v>
      </c>
      <c r="U6" s="72" t="s">
        <v>357</v>
      </c>
      <c r="V6" s="78" t="s">
        <v>263</v>
      </c>
      <c r="W6" s="74" t="s">
        <v>366</v>
      </c>
      <c r="X6" s="74" t="s">
        <v>41</v>
      </c>
      <c r="Y6" s="80" t="s">
        <v>585</v>
      </c>
      <c r="Z6" s="83" t="s">
        <v>15</v>
      </c>
    </row>
    <row r="7" spans="1:26" ht="31.95" customHeight="1" x14ac:dyDescent="0.3">
      <c r="A7" s="81" t="s">
        <v>400</v>
      </c>
      <c r="B7" s="74">
        <v>242595464</v>
      </c>
      <c r="C7" s="74" t="s">
        <v>368</v>
      </c>
      <c r="D7" s="74" t="s">
        <v>369</v>
      </c>
      <c r="E7" s="79" t="s">
        <v>370</v>
      </c>
      <c r="F7" s="29" t="s">
        <v>635</v>
      </c>
      <c r="G7" s="29" t="s">
        <v>635</v>
      </c>
      <c r="H7" s="74" t="s">
        <v>15</v>
      </c>
      <c r="I7" s="82" t="s">
        <v>636</v>
      </c>
      <c r="J7" s="76" t="s">
        <v>261</v>
      </c>
      <c r="K7" s="82" t="s">
        <v>636</v>
      </c>
      <c r="L7" s="76" t="s">
        <v>261</v>
      </c>
      <c r="M7" s="82" t="s">
        <v>637</v>
      </c>
      <c r="N7" s="74" t="s">
        <v>75</v>
      </c>
      <c r="O7" s="74" t="s">
        <v>371</v>
      </c>
      <c r="P7" s="74" t="s">
        <v>15</v>
      </c>
      <c r="Q7" s="77" t="s">
        <v>372</v>
      </c>
      <c r="R7" s="78" t="s">
        <v>15</v>
      </c>
      <c r="S7" s="78" t="s">
        <v>15</v>
      </c>
      <c r="T7" s="78" t="s">
        <v>15</v>
      </c>
      <c r="U7" s="72" t="s">
        <v>480</v>
      </c>
      <c r="V7" s="78" t="s">
        <v>263</v>
      </c>
      <c r="W7" s="74" t="s">
        <v>366</v>
      </c>
      <c r="X7" s="74" t="s">
        <v>41</v>
      </c>
      <c r="Y7" s="104" t="s">
        <v>638</v>
      </c>
      <c r="Z7" s="84" t="s">
        <v>373</v>
      </c>
    </row>
    <row r="8" spans="1:26" ht="31.95" customHeight="1" x14ac:dyDescent="0.3">
      <c r="A8" s="81" t="s">
        <v>401</v>
      </c>
      <c r="B8" s="74">
        <v>242596720</v>
      </c>
      <c r="C8" s="74" t="s">
        <v>375</v>
      </c>
      <c r="D8" s="74" t="s">
        <v>376</v>
      </c>
      <c r="E8" s="79" t="s">
        <v>377</v>
      </c>
      <c r="F8" s="29" t="s">
        <v>639</v>
      </c>
      <c r="G8" s="29" t="s">
        <v>639</v>
      </c>
      <c r="H8" s="74" t="s">
        <v>15</v>
      </c>
      <c r="I8" s="82" t="s">
        <v>640</v>
      </c>
      <c r="J8" s="76" t="s">
        <v>261</v>
      </c>
      <c r="K8" s="82" t="s">
        <v>640</v>
      </c>
      <c r="L8" s="76" t="s">
        <v>261</v>
      </c>
      <c r="M8" s="82" t="s">
        <v>641</v>
      </c>
      <c r="N8" s="74" t="s">
        <v>75</v>
      </c>
      <c r="O8" s="74" t="s">
        <v>378</v>
      </c>
      <c r="P8" s="74" t="s">
        <v>15</v>
      </c>
      <c r="Q8" s="77" t="s">
        <v>379</v>
      </c>
      <c r="R8" s="78" t="s">
        <v>15</v>
      </c>
      <c r="S8" s="78" t="s">
        <v>15</v>
      </c>
      <c r="T8" s="78" t="s">
        <v>15</v>
      </c>
      <c r="U8" s="72" t="s">
        <v>642</v>
      </c>
      <c r="V8" s="78" t="s">
        <v>621</v>
      </c>
      <c r="W8" s="74" t="s">
        <v>366</v>
      </c>
      <c r="X8" s="74" t="s">
        <v>41</v>
      </c>
      <c r="Y8" s="104" t="s">
        <v>381</v>
      </c>
      <c r="Z8" s="84" t="s">
        <v>382</v>
      </c>
    </row>
    <row r="9" spans="1:26" ht="31.95" customHeight="1" x14ac:dyDescent="0.3">
      <c r="A9" s="74" t="s">
        <v>408</v>
      </c>
      <c r="B9" s="74">
        <v>242597149</v>
      </c>
      <c r="C9" s="74" t="s">
        <v>587</v>
      </c>
      <c r="D9" s="74" t="s">
        <v>588</v>
      </c>
      <c r="E9" s="75" t="s">
        <v>589</v>
      </c>
      <c r="F9" s="29" t="s">
        <v>643</v>
      </c>
      <c r="G9" s="29" t="s">
        <v>643</v>
      </c>
      <c r="H9" s="74" t="s">
        <v>15</v>
      </c>
      <c r="I9" s="82" t="s">
        <v>644</v>
      </c>
      <c r="J9" s="76" t="s">
        <v>261</v>
      </c>
      <c r="K9" s="82" t="s">
        <v>644</v>
      </c>
      <c r="L9" s="76" t="s">
        <v>261</v>
      </c>
      <c r="M9" s="82" t="s">
        <v>645</v>
      </c>
      <c r="N9" s="74" t="s">
        <v>75</v>
      </c>
      <c r="O9" s="74" t="s">
        <v>590</v>
      </c>
      <c r="P9" s="74" t="s">
        <v>15</v>
      </c>
      <c r="Q9" s="77" t="s">
        <v>574</v>
      </c>
      <c r="R9" s="78" t="s">
        <v>15</v>
      </c>
      <c r="S9" s="78" t="s">
        <v>15</v>
      </c>
      <c r="T9" s="78" t="s">
        <v>15</v>
      </c>
      <c r="U9" s="72" t="s">
        <v>262</v>
      </c>
      <c r="V9" s="78" t="s">
        <v>263</v>
      </c>
      <c r="W9" s="74" t="s">
        <v>366</v>
      </c>
      <c r="X9" s="74" t="s">
        <v>41</v>
      </c>
      <c r="Y9" s="78" t="s">
        <v>591</v>
      </c>
      <c r="Z9" s="83" t="s">
        <v>15</v>
      </c>
    </row>
    <row r="10" spans="1:26" ht="31.95" customHeight="1" x14ac:dyDescent="0.3">
      <c r="A10" s="81" t="s">
        <v>415</v>
      </c>
      <c r="B10" s="74">
        <v>242596428</v>
      </c>
      <c r="C10" s="74" t="s">
        <v>384</v>
      </c>
      <c r="D10" s="74" t="s">
        <v>385</v>
      </c>
      <c r="E10" s="79" t="s">
        <v>386</v>
      </c>
      <c r="F10" s="29" t="s">
        <v>646</v>
      </c>
      <c r="G10" s="29" t="s">
        <v>646</v>
      </c>
      <c r="H10" s="74" t="s">
        <v>15</v>
      </c>
      <c r="I10" s="82" t="s">
        <v>647</v>
      </c>
      <c r="J10" s="76" t="s">
        <v>261</v>
      </c>
      <c r="K10" s="82" t="s">
        <v>647</v>
      </c>
      <c r="L10" s="76" t="s">
        <v>261</v>
      </c>
      <c r="M10" s="82" t="s">
        <v>648</v>
      </c>
      <c r="N10" s="74" t="s">
        <v>75</v>
      </c>
      <c r="O10" s="74" t="s">
        <v>387</v>
      </c>
      <c r="P10" s="74" t="s">
        <v>15</v>
      </c>
      <c r="Q10" s="77" t="s">
        <v>388</v>
      </c>
      <c r="R10" s="78" t="s">
        <v>15</v>
      </c>
      <c r="S10" s="78" t="s">
        <v>15</v>
      </c>
      <c r="T10" s="78" t="s">
        <v>15</v>
      </c>
      <c r="U10" s="72" t="s">
        <v>649</v>
      </c>
      <c r="V10" s="78" t="s">
        <v>621</v>
      </c>
      <c r="W10" s="74" t="s">
        <v>366</v>
      </c>
      <c r="X10" s="74" t="s">
        <v>41</v>
      </c>
      <c r="Y10" s="104" t="s">
        <v>389</v>
      </c>
      <c r="Z10" s="84" t="s">
        <v>390</v>
      </c>
    </row>
    <row r="11" spans="1:26" ht="31.95" customHeight="1" x14ac:dyDescent="0.3">
      <c r="A11" s="81" t="s">
        <v>424</v>
      </c>
      <c r="B11" s="74">
        <v>242598951</v>
      </c>
      <c r="C11" s="74" t="s">
        <v>392</v>
      </c>
      <c r="D11" s="74" t="s">
        <v>393</v>
      </c>
      <c r="E11" s="79" t="s">
        <v>394</v>
      </c>
      <c r="F11" s="29" t="s">
        <v>650</v>
      </c>
      <c r="G11" s="29" t="s">
        <v>650</v>
      </c>
      <c r="H11" s="74" t="s">
        <v>15</v>
      </c>
      <c r="I11" s="82" t="s">
        <v>651</v>
      </c>
      <c r="J11" s="76" t="s">
        <v>261</v>
      </c>
      <c r="K11" s="82" t="s">
        <v>651</v>
      </c>
      <c r="L11" s="76" t="s">
        <v>261</v>
      </c>
      <c r="M11" s="82" t="s">
        <v>652</v>
      </c>
      <c r="N11" s="74" t="s">
        <v>75</v>
      </c>
      <c r="O11" s="74" t="s">
        <v>395</v>
      </c>
      <c r="P11" s="74" t="s">
        <v>15</v>
      </c>
      <c r="Q11" s="77" t="s">
        <v>396</v>
      </c>
      <c r="R11" s="78" t="s">
        <v>15</v>
      </c>
      <c r="S11" s="78" t="s">
        <v>15</v>
      </c>
      <c r="T11" s="78" t="s">
        <v>15</v>
      </c>
      <c r="U11" s="72" t="s">
        <v>359</v>
      </c>
      <c r="V11" s="78" t="s">
        <v>263</v>
      </c>
      <c r="W11" s="74" t="s">
        <v>366</v>
      </c>
      <c r="X11" s="74" t="s">
        <v>41</v>
      </c>
      <c r="Y11" s="104" t="s">
        <v>398</v>
      </c>
      <c r="Z11" s="84" t="s">
        <v>399</v>
      </c>
    </row>
    <row r="12" spans="1:26" ht="31.95" customHeight="1" x14ac:dyDescent="0.3">
      <c r="A12" s="74" t="s">
        <v>431</v>
      </c>
      <c r="B12" s="74">
        <v>242600107</v>
      </c>
      <c r="C12" s="74" t="s">
        <v>593</v>
      </c>
      <c r="D12" s="74" t="s">
        <v>594</v>
      </c>
      <c r="E12" s="75" t="s">
        <v>595</v>
      </c>
      <c r="F12" s="29" t="s">
        <v>653</v>
      </c>
      <c r="G12" s="29" t="s">
        <v>653</v>
      </c>
      <c r="H12" s="74" t="s">
        <v>15</v>
      </c>
      <c r="I12" s="82" t="s">
        <v>654</v>
      </c>
      <c r="J12" s="76" t="s">
        <v>261</v>
      </c>
      <c r="K12" s="82" t="s">
        <v>654</v>
      </c>
      <c r="L12" s="76" t="s">
        <v>261</v>
      </c>
      <c r="M12" s="82" t="s">
        <v>655</v>
      </c>
      <c r="N12" s="74" t="s">
        <v>75</v>
      </c>
      <c r="O12" s="74" t="s">
        <v>596</v>
      </c>
      <c r="P12" s="74" t="s">
        <v>15</v>
      </c>
      <c r="Q12" s="77" t="s">
        <v>562</v>
      </c>
      <c r="R12" s="78" t="s">
        <v>15</v>
      </c>
      <c r="S12" s="78" t="s">
        <v>15</v>
      </c>
      <c r="T12" s="78" t="s">
        <v>15</v>
      </c>
      <c r="U12" s="72" t="s">
        <v>656</v>
      </c>
      <c r="V12" s="78" t="s">
        <v>621</v>
      </c>
      <c r="W12" s="74" t="s">
        <v>366</v>
      </c>
      <c r="X12" s="74" t="s">
        <v>41</v>
      </c>
      <c r="Y12" s="78" t="s">
        <v>597</v>
      </c>
      <c r="Z12" s="83" t="s">
        <v>15</v>
      </c>
    </row>
    <row r="13" spans="1:26" ht="31.95" customHeight="1" x14ac:dyDescent="0.3">
      <c r="A13" s="81" t="s">
        <v>432</v>
      </c>
      <c r="B13" s="74">
        <v>242597866</v>
      </c>
      <c r="C13" s="74" t="s">
        <v>402</v>
      </c>
      <c r="D13" s="74" t="s">
        <v>403</v>
      </c>
      <c r="E13" s="75" t="s">
        <v>404</v>
      </c>
      <c r="F13" s="29" t="s">
        <v>657</v>
      </c>
      <c r="G13" s="29" t="s">
        <v>657</v>
      </c>
      <c r="H13" s="74" t="s">
        <v>15</v>
      </c>
      <c r="I13" s="82" t="s">
        <v>658</v>
      </c>
      <c r="J13" s="76" t="s">
        <v>261</v>
      </c>
      <c r="K13" s="82" t="s">
        <v>658</v>
      </c>
      <c r="L13" s="76" t="s">
        <v>261</v>
      </c>
      <c r="M13" s="82" t="s">
        <v>659</v>
      </c>
      <c r="N13" s="74" t="s">
        <v>75</v>
      </c>
      <c r="O13" s="74" t="s">
        <v>405</v>
      </c>
      <c r="P13" s="74" t="s">
        <v>15</v>
      </c>
      <c r="Q13" s="77" t="s">
        <v>406</v>
      </c>
      <c r="R13" s="78" t="s">
        <v>15</v>
      </c>
      <c r="S13" s="78" t="s">
        <v>15</v>
      </c>
      <c r="T13" s="78" t="s">
        <v>15</v>
      </c>
      <c r="U13" s="72" t="s">
        <v>358</v>
      </c>
      <c r="V13" s="78" t="s">
        <v>263</v>
      </c>
      <c r="W13" s="74" t="s">
        <v>366</v>
      </c>
      <c r="X13" s="74" t="s">
        <v>41</v>
      </c>
      <c r="Y13" s="80" t="s">
        <v>407</v>
      </c>
      <c r="Z13" s="78" t="s">
        <v>15</v>
      </c>
    </row>
    <row r="14" spans="1:26" ht="31.95" customHeight="1" x14ac:dyDescent="0.3">
      <c r="A14" s="74" t="s">
        <v>434</v>
      </c>
      <c r="B14" s="74">
        <v>340660651</v>
      </c>
      <c r="C14" s="74" t="s">
        <v>598</v>
      </c>
      <c r="D14" s="74" t="s">
        <v>599</v>
      </c>
      <c r="E14" s="75" t="s">
        <v>600</v>
      </c>
      <c r="F14" s="29" t="s">
        <v>660</v>
      </c>
      <c r="G14" s="29" t="s">
        <v>660</v>
      </c>
      <c r="H14" s="74" t="s">
        <v>15</v>
      </c>
      <c r="I14" s="82" t="s">
        <v>661</v>
      </c>
      <c r="J14" s="76" t="s">
        <v>261</v>
      </c>
      <c r="K14" s="82" t="s">
        <v>661</v>
      </c>
      <c r="L14" s="76" t="s">
        <v>261</v>
      </c>
      <c r="M14" s="82" t="s">
        <v>662</v>
      </c>
      <c r="N14" s="74" t="s">
        <v>75</v>
      </c>
      <c r="O14" s="74" t="s">
        <v>601</v>
      </c>
      <c r="P14" s="74" t="s">
        <v>15</v>
      </c>
      <c r="Q14" s="77" t="s">
        <v>396</v>
      </c>
      <c r="R14" s="78" t="s">
        <v>15</v>
      </c>
      <c r="S14" s="78" t="s">
        <v>15</v>
      </c>
      <c r="T14" s="78" t="s">
        <v>15</v>
      </c>
      <c r="U14" s="72" t="s">
        <v>363</v>
      </c>
      <c r="V14" s="78" t="s">
        <v>263</v>
      </c>
      <c r="W14" s="74" t="s">
        <v>366</v>
      </c>
      <c r="X14" s="74" t="s">
        <v>41</v>
      </c>
      <c r="Y14" s="104" t="s">
        <v>602</v>
      </c>
      <c r="Z14" s="83" t="s">
        <v>15</v>
      </c>
    </row>
    <row r="15" spans="1:26" ht="31.95" customHeight="1" x14ac:dyDescent="0.3">
      <c r="A15" s="74" t="s">
        <v>435</v>
      </c>
      <c r="B15" s="74">
        <v>242597432</v>
      </c>
      <c r="C15" s="74" t="s">
        <v>439</v>
      </c>
      <c r="D15" s="74" t="s">
        <v>440</v>
      </c>
      <c r="E15" s="75" t="s">
        <v>441</v>
      </c>
      <c r="F15" s="29" t="s">
        <v>663</v>
      </c>
      <c r="G15" s="29" t="s">
        <v>663</v>
      </c>
      <c r="H15" s="74" t="s">
        <v>15</v>
      </c>
      <c r="I15" s="82" t="s">
        <v>664</v>
      </c>
      <c r="J15" s="76" t="s">
        <v>261</v>
      </c>
      <c r="K15" s="82" t="s">
        <v>664</v>
      </c>
      <c r="L15" s="76" t="s">
        <v>261</v>
      </c>
      <c r="M15" s="82" t="s">
        <v>665</v>
      </c>
      <c r="N15" s="74" t="s">
        <v>75</v>
      </c>
      <c r="O15" s="74" t="s">
        <v>442</v>
      </c>
      <c r="P15" s="74" t="s">
        <v>15</v>
      </c>
      <c r="Q15" s="77" t="s">
        <v>443</v>
      </c>
      <c r="R15" s="78" t="s">
        <v>15</v>
      </c>
      <c r="S15" s="78" t="s">
        <v>15</v>
      </c>
      <c r="T15" s="78" t="s">
        <v>15</v>
      </c>
      <c r="U15" s="72" t="s">
        <v>380</v>
      </c>
      <c r="V15" s="78" t="s">
        <v>263</v>
      </c>
      <c r="W15" s="74" t="s">
        <v>366</v>
      </c>
      <c r="X15" s="74" t="s">
        <v>41</v>
      </c>
      <c r="Y15" s="80" t="s">
        <v>444</v>
      </c>
      <c r="Z15" s="83" t="s">
        <v>15</v>
      </c>
    </row>
    <row r="16" spans="1:26" ht="31.95" customHeight="1" x14ac:dyDescent="0.3">
      <c r="A16" s="81" t="s">
        <v>436</v>
      </c>
      <c r="B16" s="74">
        <v>242601308</v>
      </c>
      <c r="C16" s="74" t="s">
        <v>409</v>
      </c>
      <c r="D16" s="74" t="s">
        <v>410</v>
      </c>
      <c r="E16" s="75" t="s">
        <v>411</v>
      </c>
      <c r="F16" s="27" t="s">
        <v>666</v>
      </c>
      <c r="G16" s="27" t="s">
        <v>666</v>
      </c>
      <c r="H16" s="74" t="s">
        <v>15</v>
      </c>
      <c r="I16" s="82" t="s">
        <v>667</v>
      </c>
      <c r="J16" s="76" t="s">
        <v>261</v>
      </c>
      <c r="K16" s="82" t="s">
        <v>667</v>
      </c>
      <c r="L16" s="76" t="s">
        <v>261</v>
      </c>
      <c r="M16" s="82" t="s">
        <v>668</v>
      </c>
      <c r="N16" s="74" t="s">
        <v>75</v>
      </c>
      <c r="O16" s="74" t="s">
        <v>412</v>
      </c>
      <c r="P16" s="74" t="s">
        <v>15</v>
      </c>
      <c r="Q16" s="77" t="s">
        <v>413</v>
      </c>
      <c r="R16" s="78" t="s">
        <v>15</v>
      </c>
      <c r="S16" s="78" t="s">
        <v>15</v>
      </c>
      <c r="T16" s="78" t="s">
        <v>15</v>
      </c>
      <c r="U16" s="72" t="s">
        <v>563</v>
      </c>
      <c r="V16" s="78" t="s">
        <v>263</v>
      </c>
      <c r="W16" s="74" t="s">
        <v>366</v>
      </c>
      <c r="X16" s="74" t="s">
        <v>41</v>
      </c>
      <c r="Y16" s="80" t="s">
        <v>414</v>
      </c>
      <c r="Z16" s="78" t="s">
        <v>15</v>
      </c>
    </row>
    <row r="17" spans="1:26" ht="31.95" customHeight="1" x14ac:dyDescent="0.3">
      <c r="A17" s="74" t="s">
        <v>438</v>
      </c>
      <c r="B17" s="74">
        <v>242599800</v>
      </c>
      <c r="C17" s="74" t="s">
        <v>447</v>
      </c>
      <c r="D17" s="74" t="s">
        <v>448</v>
      </c>
      <c r="E17" s="79" t="s">
        <v>449</v>
      </c>
      <c r="F17" s="29" t="s">
        <v>669</v>
      </c>
      <c r="G17" s="29" t="s">
        <v>669</v>
      </c>
      <c r="H17" s="74" t="s">
        <v>15</v>
      </c>
      <c r="I17" s="82" t="s">
        <v>670</v>
      </c>
      <c r="J17" s="76" t="s">
        <v>261</v>
      </c>
      <c r="K17" s="82" t="s">
        <v>670</v>
      </c>
      <c r="L17" s="76" t="s">
        <v>261</v>
      </c>
      <c r="M17" s="82" t="s">
        <v>671</v>
      </c>
      <c r="N17" s="74" t="s">
        <v>75</v>
      </c>
      <c r="O17" s="74" t="s">
        <v>450</v>
      </c>
      <c r="P17" s="74" t="s">
        <v>15</v>
      </c>
      <c r="Q17" s="77" t="s">
        <v>451</v>
      </c>
      <c r="R17" s="78" t="s">
        <v>15</v>
      </c>
      <c r="S17" s="78" t="s">
        <v>15</v>
      </c>
      <c r="T17" s="78" t="s">
        <v>15</v>
      </c>
      <c r="U17" s="72" t="s">
        <v>361</v>
      </c>
      <c r="V17" s="78" t="s">
        <v>263</v>
      </c>
      <c r="W17" s="74" t="s">
        <v>366</v>
      </c>
      <c r="X17" s="74" t="s">
        <v>41</v>
      </c>
      <c r="Y17" s="104" t="s">
        <v>452</v>
      </c>
      <c r="Z17" s="83" t="s">
        <v>15</v>
      </c>
    </row>
    <row r="18" spans="1:26" ht="31.95" customHeight="1" x14ac:dyDescent="0.3">
      <c r="A18" s="74" t="s">
        <v>445</v>
      </c>
      <c r="B18" s="74">
        <v>242598633</v>
      </c>
      <c r="C18" s="74" t="s">
        <v>545</v>
      </c>
      <c r="D18" s="74" t="s">
        <v>546</v>
      </c>
      <c r="E18" s="75" t="s">
        <v>547</v>
      </c>
      <c r="F18" s="29" t="s">
        <v>672</v>
      </c>
      <c r="G18" s="29" t="s">
        <v>672</v>
      </c>
      <c r="H18" s="74" t="s">
        <v>15</v>
      </c>
      <c r="I18" s="82" t="s">
        <v>673</v>
      </c>
      <c r="J18" s="76" t="s">
        <v>261</v>
      </c>
      <c r="K18" s="82" t="s">
        <v>673</v>
      </c>
      <c r="L18" s="76" t="s">
        <v>261</v>
      </c>
      <c r="M18" s="82" t="s">
        <v>674</v>
      </c>
      <c r="N18" s="74" t="s">
        <v>75</v>
      </c>
      <c r="O18" s="74" t="s">
        <v>550</v>
      </c>
      <c r="P18" s="74" t="s">
        <v>15</v>
      </c>
      <c r="Q18" s="77" t="s">
        <v>551</v>
      </c>
      <c r="R18" s="78" t="s">
        <v>15</v>
      </c>
      <c r="S18" s="78" t="s">
        <v>15</v>
      </c>
      <c r="T18" s="78" t="s">
        <v>15</v>
      </c>
      <c r="U18" s="72" t="s">
        <v>675</v>
      </c>
      <c r="V18" s="78" t="s">
        <v>263</v>
      </c>
      <c r="W18" s="74" t="s">
        <v>366</v>
      </c>
      <c r="X18" s="74" t="s">
        <v>41</v>
      </c>
      <c r="Y18" s="78" t="s">
        <v>552</v>
      </c>
      <c r="Z18" s="83" t="s">
        <v>15</v>
      </c>
    </row>
    <row r="19" spans="1:26" ht="31.95" customHeight="1" x14ac:dyDescent="0.3">
      <c r="A19" s="74" t="s">
        <v>446</v>
      </c>
      <c r="B19" s="74">
        <v>242601103</v>
      </c>
      <c r="C19" s="74" t="s">
        <v>456</v>
      </c>
      <c r="D19" s="74" t="s">
        <v>457</v>
      </c>
      <c r="E19" s="75" t="s">
        <v>458</v>
      </c>
      <c r="F19" s="29" t="s">
        <v>676</v>
      </c>
      <c r="G19" s="29" t="s">
        <v>676</v>
      </c>
      <c r="H19" s="74" t="s">
        <v>15</v>
      </c>
      <c r="I19" s="82" t="s">
        <v>677</v>
      </c>
      <c r="J19" s="76" t="s">
        <v>261</v>
      </c>
      <c r="K19" s="82" t="s">
        <v>677</v>
      </c>
      <c r="L19" s="76" t="s">
        <v>261</v>
      </c>
      <c r="M19" s="82" t="s">
        <v>678</v>
      </c>
      <c r="N19" s="74" t="s">
        <v>75</v>
      </c>
      <c r="O19" s="74" t="s">
        <v>459</v>
      </c>
      <c r="P19" s="74" t="s">
        <v>15</v>
      </c>
      <c r="Q19" s="77" t="s">
        <v>460</v>
      </c>
      <c r="R19" s="78" t="s">
        <v>15</v>
      </c>
      <c r="S19" s="78" t="s">
        <v>15</v>
      </c>
      <c r="T19" s="78" t="s">
        <v>15</v>
      </c>
      <c r="U19" s="72" t="s">
        <v>476</v>
      </c>
      <c r="V19" s="78" t="s">
        <v>263</v>
      </c>
      <c r="W19" s="74" t="s">
        <v>366</v>
      </c>
      <c r="X19" s="74" t="s">
        <v>41</v>
      </c>
      <c r="Y19" s="80" t="s">
        <v>461</v>
      </c>
      <c r="Z19" s="83" t="s">
        <v>15</v>
      </c>
    </row>
    <row r="20" spans="1:26" ht="31.95" customHeight="1" x14ac:dyDescent="0.3">
      <c r="A20" s="74" t="s">
        <v>453</v>
      </c>
      <c r="B20" s="74">
        <v>242596797</v>
      </c>
      <c r="C20" s="74" t="s">
        <v>463</v>
      </c>
      <c r="D20" s="74" t="s">
        <v>464</v>
      </c>
      <c r="E20" s="75" t="s">
        <v>465</v>
      </c>
      <c r="F20" s="29" t="s">
        <v>679</v>
      </c>
      <c r="G20" s="29" t="s">
        <v>679</v>
      </c>
      <c r="H20" s="74" t="s">
        <v>15</v>
      </c>
      <c r="I20" s="82" t="s">
        <v>680</v>
      </c>
      <c r="J20" s="76" t="s">
        <v>261</v>
      </c>
      <c r="K20" s="82" t="s">
        <v>680</v>
      </c>
      <c r="L20" s="76" t="s">
        <v>261</v>
      </c>
      <c r="M20" s="82" t="s">
        <v>681</v>
      </c>
      <c r="N20" s="74" t="s">
        <v>75</v>
      </c>
      <c r="O20" s="74" t="s">
        <v>466</v>
      </c>
      <c r="P20" s="74" t="s">
        <v>15</v>
      </c>
      <c r="Q20" s="77" t="s">
        <v>467</v>
      </c>
      <c r="R20" s="78" t="s">
        <v>15</v>
      </c>
      <c r="S20" s="78" t="s">
        <v>15</v>
      </c>
      <c r="T20" s="78" t="s">
        <v>15</v>
      </c>
      <c r="U20" s="72" t="s">
        <v>507</v>
      </c>
      <c r="V20" s="78" t="s">
        <v>263</v>
      </c>
      <c r="W20" s="74" t="s">
        <v>366</v>
      </c>
      <c r="X20" s="74" t="s">
        <v>41</v>
      </c>
      <c r="Y20" s="78" t="s">
        <v>469</v>
      </c>
      <c r="Z20" s="83" t="s">
        <v>15</v>
      </c>
    </row>
    <row r="21" spans="1:26" ht="31.95" customHeight="1" x14ac:dyDescent="0.3">
      <c r="A21" s="74" t="s">
        <v>454</v>
      </c>
      <c r="B21" s="74">
        <v>242595669</v>
      </c>
      <c r="C21" s="74" t="s">
        <v>471</v>
      </c>
      <c r="D21" s="74" t="s">
        <v>472</v>
      </c>
      <c r="E21" s="75" t="s">
        <v>473</v>
      </c>
      <c r="F21" s="29" t="s">
        <v>682</v>
      </c>
      <c r="G21" s="29" t="s">
        <v>682</v>
      </c>
      <c r="H21" s="74" t="s">
        <v>15</v>
      </c>
      <c r="I21" s="82" t="s">
        <v>683</v>
      </c>
      <c r="J21" s="76" t="s">
        <v>261</v>
      </c>
      <c r="K21" s="82" t="s">
        <v>683</v>
      </c>
      <c r="L21" s="76" t="s">
        <v>261</v>
      </c>
      <c r="M21" s="82" t="s">
        <v>684</v>
      </c>
      <c r="N21" s="74" t="s">
        <v>75</v>
      </c>
      <c r="O21" s="74" t="s">
        <v>474</v>
      </c>
      <c r="P21" s="74" t="s">
        <v>15</v>
      </c>
      <c r="Q21" s="77" t="s">
        <v>475</v>
      </c>
      <c r="R21" s="78" t="s">
        <v>15</v>
      </c>
      <c r="S21" s="78" t="s">
        <v>15</v>
      </c>
      <c r="T21" s="78" t="s">
        <v>15</v>
      </c>
      <c r="U21" s="72" t="s">
        <v>553</v>
      </c>
      <c r="V21" s="78" t="s">
        <v>263</v>
      </c>
      <c r="W21" s="74" t="s">
        <v>366</v>
      </c>
      <c r="X21" s="74" t="s">
        <v>41</v>
      </c>
      <c r="Y21" s="78" t="s">
        <v>477</v>
      </c>
      <c r="Z21" s="83" t="s">
        <v>15</v>
      </c>
    </row>
    <row r="22" spans="1:26" ht="31.95" customHeight="1" x14ac:dyDescent="0.3">
      <c r="A22" s="81" t="s">
        <v>455</v>
      </c>
      <c r="B22" s="74">
        <v>242600387</v>
      </c>
      <c r="C22" s="74" t="s">
        <v>416</v>
      </c>
      <c r="D22" s="74" t="s">
        <v>417</v>
      </c>
      <c r="E22" s="75" t="s">
        <v>418</v>
      </c>
      <c r="F22" s="29" t="s">
        <v>685</v>
      </c>
      <c r="G22" s="29" t="s">
        <v>685</v>
      </c>
      <c r="H22" s="74" t="s">
        <v>15</v>
      </c>
      <c r="I22" s="82" t="s">
        <v>686</v>
      </c>
      <c r="J22" s="76" t="s">
        <v>261</v>
      </c>
      <c r="K22" s="82" t="s">
        <v>686</v>
      </c>
      <c r="L22" s="76" t="s">
        <v>261</v>
      </c>
      <c r="M22" s="82" t="s">
        <v>687</v>
      </c>
      <c r="N22" s="74" t="s">
        <v>75</v>
      </c>
      <c r="O22" s="74" t="s">
        <v>419</v>
      </c>
      <c r="P22" s="74" t="s">
        <v>15</v>
      </c>
      <c r="Q22" s="77" t="s">
        <v>420</v>
      </c>
      <c r="R22" s="78" t="s">
        <v>15</v>
      </c>
      <c r="S22" s="78" t="s">
        <v>15</v>
      </c>
      <c r="T22" s="78" t="s">
        <v>15</v>
      </c>
      <c r="U22" s="72" t="s">
        <v>421</v>
      </c>
      <c r="V22" s="78" t="s">
        <v>263</v>
      </c>
      <c r="W22" s="74" t="s">
        <v>366</v>
      </c>
      <c r="X22" s="74" t="s">
        <v>41</v>
      </c>
      <c r="Y22" s="78" t="s">
        <v>422</v>
      </c>
      <c r="Z22" s="84" t="s">
        <v>423</v>
      </c>
    </row>
    <row r="23" spans="1:26" ht="31.95" customHeight="1" x14ac:dyDescent="0.3">
      <c r="A23" s="74" t="s">
        <v>462</v>
      </c>
      <c r="B23" s="74">
        <v>242596240</v>
      </c>
      <c r="C23" s="74" t="s">
        <v>482</v>
      </c>
      <c r="D23" s="74" t="s">
        <v>483</v>
      </c>
      <c r="E23" s="75" t="s">
        <v>484</v>
      </c>
      <c r="F23" s="29" t="s">
        <v>688</v>
      </c>
      <c r="G23" s="29" t="s">
        <v>688</v>
      </c>
      <c r="H23" s="74" t="s">
        <v>15</v>
      </c>
      <c r="I23" s="82" t="s">
        <v>689</v>
      </c>
      <c r="J23" s="76" t="s">
        <v>261</v>
      </c>
      <c r="K23" s="82" t="s">
        <v>689</v>
      </c>
      <c r="L23" s="76" t="s">
        <v>261</v>
      </c>
      <c r="M23" s="82" t="s">
        <v>690</v>
      </c>
      <c r="N23" s="74" t="s">
        <v>75</v>
      </c>
      <c r="O23" s="74" t="s">
        <v>485</v>
      </c>
      <c r="P23" s="74" t="s">
        <v>15</v>
      </c>
      <c r="Q23" s="77" t="s">
        <v>486</v>
      </c>
      <c r="R23" s="78" t="s">
        <v>15</v>
      </c>
      <c r="S23" s="78" t="s">
        <v>15</v>
      </c>
      <c r="T23" s="78" t="s">
        <v>15</v>
      </c>
      <c r="U23" s="72" t="s">
        <v>397</v>
      </c>
      <c r="V23" s="78" t="s">
        <v>263</v>
      </c>
      <c r="W23" s="74" t="s">
        <v>366</v>
      </c>
      <c r="X23" s="74" t="s">
        <v>41</v>
      </c>
      <c r="Y23" s="78" t="s">
        <v>487</v>
      </c>
      <c r="Z23" s="83" t="s">
        <v>15</v>
      </c>
    </row>
    <row r="24" spans="1:26" ht="31.95" customHeight="1" x14ac:dyDescent="0.3">
      <c r="A24" s="74" t="s">
        <v>470</v>
      </c>
      <c r="B24" s="74">
        <v>242600697</v>
      </c>
      <c r="C24" s="74" t="s">
        <v>489</v>
      </c>
      <c r="D24" s="74" t="s">
        <v>490</v>
      </c>
      <c r="E24" s="75" t="s">
        <v>491</v>
      </c>
      <c r="F24" s="29" t="s">
        <v>691</v>
      </c>
      <c r="G24" s="29" t="s">
        <v>691</v>
      </c>
      <c r="H24" s="74" t="s">
        <v>15</v>
      </c>
      <c r="I24" s="82" t="s">
        <v>692</v>
      </c>
      <c r="J24" s="76" t="s">
        <v>261</v>
      </c>
      <c r="K24" s="82" t="s">
        <v>692</v>
      </c>
      <c r="L24" s="76" t="s">
        <v>261</v>
      </c>
      <c r="M24" s="82" t="s">
        <v>693</v>
      </c>
      <c r="N24" s="74" t="s">
        <v>75</v>
      </c>
      <c r="O24" s="74" t="s">
        <v>492</v>
      </c>
      <c r="P24" s="74" t="s">
        <v>15</v>
      </c>
      <c r="Q24" s="77" t="s">
        <v>486</v>
      </c>
      <c r="R24" s="78" t="s">
        <v>15</v>
      </c>
      <c r="S24" s="78" t="s">
        <v>15</v>
      </c>
      <c r="T24" s="78" t="s">
        <v>15</v>
      </c>
      <c r="U24" s="72" t="s">
        <v>353</v>
      </c>
      <c r="V24" s="78" t="s">
        <v>263</v>
      </c>
      <c r="W24" s="74" t="s">
        <v>366</v>
      </c>
      <c r="X24" s="74" t="s">
        <v>41</v>
      </c>
      <c r="Y24" s="78" t="s">
        <v>493</v>
      </c>
      <c r="Z24" s="83" t="s">
        <v>15</v>
      </c>
    </row>
    <row r="25" spans="1:26" ht="31.95" customHeight="1" x14ac:dyDescent="0.3">
      <c r="A25" s="74" t="s">
        <v>478</v>
      </c>
      <c r="B25" s="74">
        <v>242600701</v>
      </c>
      <c r="C25" s="74" t="s">
        <v>495</v>
      </c>
      <c r="D25" s="74" t="s">
        <v>496</v>
      </c>
      <c r="E25" s="75" t="s">
        <v>497</v>
      </c>
      <c r="F25" s="29" t="s">
        <v>694</v>
      </c>
      <c r="G25" s="29" t="s">
        <v>694</v>
      </c>
      <c r="H25" s="74" t="s">
        <v>15</v>
      </c>
      <c r="I25" s="82" t="s">
        <v>695</v>
      </c>
      <c r="J25" s="76" t="s">
        <v>261</v>
      </c>
      <c r="K25" s="82" t="s">
        <v>695</v>
      </c>
      <c r="L25" s="76" t="s">
        <v>261</v>
      </c>
      <c r="M25" s="82" t="s">
        <v>696</v>
      </c>
      <c r="N25" s="74" t="s">
        <v>75</v>
      </c>
      <c r="O25" s="74" t="s">
        <v>498</v>
      </c>
      <c r="P25" s="74" t="s">
        <v>15</v>
      </c>
      <c r="Q25" s="77" t="s">
        <v>499</v>
      </c>
      <c r="R25" s="78" t="s">
        <v>15</v>
      </c>
      <c r="S25" s="78" t="s">
        <v>15</v>
      </c>
      <c r="T25" s="78" t="s">
        <v>15</v>
      </c>
      <c r="U25" s="72" t="s">
        <v>592</v>
      </c>
      <c r="V25" s="78" t="s">
        <v>263</v>
      </c>
      <c r="W25" s="74" t="s">
        <v>366</v>
      </c>
      <c r="X25" s="74" t="s">
        <v>41</v>
      </c>
      <c r="Y25" s="78" t="s">
        <v>500</v>
      </c>
      <c r="Z25" s="83" t="s">
        <v>15</v>
      </c>
    </row>
    <row r="26" spans="1:26" ht="31.95" customHeight="1" x14ac:dyDescent="0.3">
      <c r="A26" s="74" t="s">
        <v>481</v>
      </c>
      <c r="B26" s="74">
        <v>242599516</v>
      </c>
      <c r="C26" s="74" t="s">
        <v>502</v>
      </c>
      <c r="D26" s="74" t="s">
        <v>503</v>
      </c>
      <c r="E26" s="75" t="s">
        <v>504</v>
      </c>
      <c r="F26" s="29" t="s">
        <v>697</v>
      </c>
      <c r="G26" s="29" t="s">
        <v>697</v>
      </c>
      <c r="H26" s="74" t="s">
        <v>15</v>
      </c>
      <c r="I26" s="82" t="s">
        <v>698</v>
      </c>
      <c r="J26" s="76" t="s">
        <v>261</v>
      </c>
      <c r="K26" s="82" t="s">
        <v>698</v>
      </c>
      <c r="L26" s="76" t="s">
        <v>261</v>
      </c>
      <c r="M26" s="82" t="s">
        <v>699</v>
      </c>
      <c r="N26" s="74" t="s">
        <v>75</v>
      </c>
      <c r="O26" s="74" t="s">
        <v>505</v>
      </c>
      <c r="P26" s="74" t="s">
        <v>15</v>
      </c>
      <c r="Q26" s="77" t="s">
        <v>506</v>
      </c>
      <c r="R26" s="78" t="s">
        <v>15</v>
      </c>
      <c r="S26" s="78" t="s">
        <v>15</v>
      </c>
      <c r="T26" s="78" t="s">
        <v>15</v>
      </c>
      <c r="U26" s="72" t="s">
        <v>531</v>
      </c>
      <c r="V26" s="78" t="s">
        <v>263</v>
      </c>
      <c r="W26" s="74" t="s">
        <v>366</v>
      </c>
      <c r="X26" s="74" t="s">
        <v>41</v>
      </c>
      <c r="Y26" s="78" t="s">
        <v>508</v>
      </c>
      <c r="Z26" s="83" t="s">
        <v>15</v>
      </c>
    </row>
    <row r="27" spans="1:26" ht="31.95" customHeight="1" x14ac:dyDescent="0.3">
      <c r="A27" s="74" t="s">
        <v>488</v>
      </c>
      <c r="B27" s="74">
        <v>242600395</v>
      </c>
      <c r="C27" s="74" t="s">
        <v>511</v>
      </c>
      <c r="D27" s="74" t="s">
        <v>512</v>
      </c>
      <c r="E27" s="75" t="s">
        <v>513</v>
      </c>
      <c r="F27" s="29" t="s">
        <v>700</v>
      </c>
      <c r="G27" s="29" t="s">
        <v>700</v>
      </c>
      <c r="H27" s="74" t="s">
        <v>15</v>
      </c>
      <c r="I27" s="82" t="s">
        <v>701</v>
      </c>
      <c r="J27" s="76" t="s">
        <v>261</v>
      </c>
      <c r="K27" s="82" t="s">
        <v>701</v>
      </c>
      <c r="L27" s="76" t="s">
        <v>261</v>
      </c>
      <c r="M27" s="82" t="s">
        <v>702</v>
      </c>
      <c r="N27" s="74" t="s">
        <v>75</v>
      </c>
      <c r="O27" s="74" t="s">
        <v>514</v>
      </c>
      <c r="P27" s="74" t="s">
        <v>15</v>
      </c>
      <c r="Q27" s="77" t="s">
        <v>433</v>
      </c>
      <c r="R27" s="78" t="s">
        <v>15</v>
      </c>
      <c r="S27" s="78" t="s">
        <v>15</v>
      </c>
      <c r="T27" s="78" t="s">
        <v>15</v>
      </c>
      <c r="U27" s="72" t="s">
        <v>356</v>
      </c>
      <c r="V27" s="78" t="s">
        <v>263</v>
      </c>
      <c r="W27" s="74" t="s">
        <v>366</v>
      </c>
      <c r="X27" s="74" t="s">
        <v>41</v>
      </c>
      <c r="Y27" s="74" t="s">
        <v>15</v>
      </c>
      <c r="Z27" s="83" t="s">
        <v>15</v>
      </c>
    </row>
    <row r="28" spans="1:26" ht="31.95" customHeight="1" x14ac:dyDescent="0.3">
      <c r="A28" s="81" t="s">
        <v>494</v>
      </c>
      <c r="B28" s="74">
        <v>242597238</v>
      </c>
      <c r="C28" s="74" t="s">
        <v>425</v>
      </c>
      <c r="D28" s="74" t="s">
        <v>426</v>
      </c>
      <c r="E28" s="79" t="s">
        <v>427</v>
      </c>
      <c r="F28" s="29" t="s">
        <v>703</v>
      </c>
      <c r="G28" s="29" t="s">
        <v>703</v>
      </c>
      <c r="H28" s="74" t="s">
        <v>15</v>
      </c>
      <c r="I28" s="82" t="s">
        <v>704</v>
      </c>
      <c r="J28" s="76" t="s">
        <v>261</v>
      </c>
      <c r="K28" s="82" t="s">
        <v>704</v>
      </c>
      <c r="L28" s="76" t="s">
        <v>261</v>
      </c>
      <c r="M28" s="82" t="s">
        <v>705</v>
      </c>
      <c r="N28" s="74" t="s">
        <v>75</v>
      </c>
      <c r="O28" s="74" t="s">
        <v>428</v>
      </c>
      <c r="P28" s="74" t="s">
        <v>15</v>
      </c>
      <c r="Q28" s="77" t="s">
        <v>429</v>
      </c>
      <c r="R28" s="78" t="s">
        <v>15</v>
      </c>
      <c r="S28" s="78" t="s">
        <v>15</v>
      </c>
      <c r="T28" s="78" t="s">
        <v>15</v>
      </c>
      <c r="U28" s="72" t="s">
        <v>468</v>
      </c>
      <c r="V28" s="78" t="s">
        <v>263</v>
      </c>
      <c r="W28" s="74" t="s">
        <v>366</v>
      </c>
      <c r="X28" s="74" t="s">
        <v>41</v>
      </c>
      <c r="Y28" s="104" t="s">
        <v>430</v>
      </c>
      <c r="Z28" s="78" t="s">
        <v>15</v>
      </c>
    </row>
    <row r="29" spans="1:26" ht="31.95" customHeight="1" x14ac:dyDescent="0.3">
      <c r="A29" s="74" t="s">
        <v>501</v>
      </c>
      <c r="B29" s="74">
        <v>242600565</v>
      </c>
      <c r="C29" s="74" t="s">
        <v>517</v>
      </c>
      <c r="D29" s="74" t="s">
        <v>518</v>
      </c>
      <c r="E29" s="75" t="s">
        <v>519</v>
      </c>
      <c r="F29" s="29" t="s">
        <v>706</v>
      </c>
      <c r="G29" s="29" t="s">
        <v>706</v>
      </c>
      <c r="H29" s="74" t="s">
        <v>15</v>
      </c>
      <c r="I29" s="82" t="s">
        <v>707</v>
      </c>
      <c r="J29" s="76" t="s">
        <v>261</v>
      </c>
      <c r="K29" s="82" t="s">
        <v>707</v>
      </c>
      <c r="L29" s="76" t="s">
        <v>261</v>
      </c>
      <c r="M29" s="82" t="s">
        <v>708</v>
      </c>
      <c r="N29" s="74" t="s">
        <v>75</v>
      </c>
      <c r="O29" s="74" t="s">
        <v>520</v>
      </c>
      <c r="P29" s="74" t="s">
        <v>15</v>
      </c>
      <c r="Q29" s="77" t="s">
        <v>521</v>
      </c>
      <c r="R29" s="78" t="s">
        <v>15</v>
      </c>
      <c r="S29" s="78" t="s">
        <v>15</v>
      </c>
      <c r="T29" s="78" t="s">
        <v>15</v>
      </c>
      <c r="U29" s="72" t="s">
        <v>709</v>
      </c>
      <c r="V29" s="78" t="s">
        <v>621</v>
      </c>
      <c r="W29" s="74" t="s">
        <v>366</v>
      </c>
      <c r="X29" s="74" t="s">
        <v>41</v>
      </c>
      <c r="Y29" s="74" t="s">
        <v>15</v>
      </c>
      <c r="Z29" s="83" t="s">
        <v>15</v>
      </c>
    </row>
    <row r="30" spans="1:26" ht="31.95" customHeight="1" x14ac:dyDescent="0.3">
      <c r="A30" s="74" t="s">
        <v>509</v>
      </c>
      <c r="B30" s="74">
        <v>242600573</v>
      </c>
      <c r="C30" s="74" t="s">
        <v>522</v>
      </c>
      <c r="D30" s="74" t="s">
        <v>523</v>
      </c>
      <c r="E30" s="75" t="s">
        <v>524</v>
      </c>
      <c r="F30" s="29" t="s">
        <v>710</v>
      </c>
      <c r="G30" s="29" t="s">
        <v>710</v>
      </c>
      <c r="H30" s="74" t="s">
        <v>15</v>
      </c>
      <c r="I30" s="82" t="s">
        <v>711</v>
      </c>
      <c r="J30" s="76" t="s">
        <v>261</v>
      </c>
      <c r="K30" s="82" t="s">
        <v>711</v>
      </c>
      <c r="L30" s="76" t="s">
        <v>261</v>
      </c>
      <c r="M30" s="82" t="s">
        <v>712</v>
      </c>
      <c r="N30" s="74" t="s">
        <v>75</v>
      </c>
      <c r="O30" s="74" t="s">
        <v>525</v>
      </c>
      <c r="P30" s="74" t="s">
        <v>15</v>
      </c>
      <c r="Q30" s="77" t="s">
        <v>479</v>
      </c>
      <c r="R30" s="78" t="s">
        <v>15</v>
      </c>
      <c r="S30" s="78" t="s">
        <v>15</v>
      </c>
      <c r="T30" s="78" t="s">
        <v>15</v>
      </c>
      <c r="U30" s="72" t="s">
        <v>264</v>
      </c>
      <c r="V30" s="78" t="s">
        <v>263</v>
      </c>
      <c r="W30" s="74" t="s">
        <v>366</v>
      </c>
      <c r="X30" s="74" t="s">
        <v>41</v>
      </c>
      <c r="Y30" s="74" t="s">
        <v>15</v>
      </c>
      <c r="Z30" s="83" t="s">
        <v>15</v>
      </c>
    </row>
    <row r="31" spans="1:26" ht="31.95" customHeight="1" x14ac:dyDescent="0.3">
      <c r="A31" s="74" t="s">
        <v>510</v>
      </c>
      <c r="B31" s="74">
        <v>242597076</v>
      </c>
      <c r="C31" s="74" t="s">
        <v>526</v>
      </c>
      <c r="D31" s="74" t="s">
        <v>527</v>
      </c>
      <c r="E31" s="75" t="s">
        <v>528</v>
      </c>
      <c r="F31" s="29" t="s">
        <v>713</v>
      </c>
      <c r="G31" s="29" t="s">
        <v>713</v>
      </c>
      <c r="H31" s="74" t="s">
        <v>15</v>
      </c>
      <c r="I31" s="82" t="s">
        <v>714</v>
      </c>
      <c r="J31" s="76" t="s">
        <v>261</v>
      </c>
      <c r="K31" s="82" t="s">
        <v>714</v>
      </c>
      <c r="L31" s="76" t="s">
        <v>261</v>
      </c>
      <c r="M31" s="82" t="s">
        <v>715</v>
      </c>
      <c r="N31" s="74" t="s">
        <v>75</v>
      </c>
      <c r="O31" s="74" t="s">
        <v>529</v>
      </c>
      <c r="P31" s="74" t="s">
        <v>15</v>
      </c>
      <c r="Q31" s="77" t="s">
        <v>530</v>
      </c>
      <c r="R31" s="78" t="s">
        <v>15</v>
      </c>
      <c r="S31" s="78" t="s">
        <v>15</v>
      </c>
      <c r="T31" s="78" t="s">
        <v>15</v>
      </c>
      <c r="U31" s="72" t="s">
        <v>354</v>
      </c>
      <c r="V31" s="78" t="s">
        <v>263</v>
      </c>
      <c r="W31" s="74" t="s">
        <v>366</v>
      </c>
      <c r="X31" s="74" t="s">
        <v>41</v>
      </c>
      <c r="Y31" s="78" t="s">
        <v>532</v>
      </c>
      <c r="Z31" s="83" t="s">
        <v>15</v>
      </c>
    </row>
    <row r="32" spans="1:26" ht="31.95" customHeight="1" x14ac:dyDescent="0.3">
      <c r="A32" s="74" t="s">
        <v>515</v>
      </c>
      <c r="B32" s="74">
        <v>242596622</v>
      </c>
      <c r="C32" s="74" t="s">
        <v>533</v>
      </c>
      <c r="D32" s="74" t="s">
        <v>534</v>
      </c>
      <c r="E32" s="75" t="s">
        <v>535</v>
      </c>
      <c r="F32" s="29" t="s">
        <v>716</v>
      </c>
      <c r="G32" s="29" t="s">
        <v>716</v>
      </c>
      <c r="H32" s="74" t="s">
        <v>15</v>
      </c>
      <c r="I32" s="82" t="s">
        <v>717</v>
      </c>
      <c r="J32" s="76" t="s">
        <v>261</v>
      </c>
      <c r="K32" s="82" t="s">
        <v>717</v>
      </c>
      <c r="L32" s="76" t="s">
        <v>261</v>
      </c>
      <c r="M32" s="82" t="s">
        <v>718</v>
      </c>
      <c r="N32" s="74" t="s">
        <v>75</v>
      </c>
      <c r="O32" s="74" t="s">
        <v>536</v>
      </c>
      <c r="P32" s="74" t="s">
        <v>15</v>
      </c>
      <c r="Q32" s="77" t="s">
        <v>537</v>
      </c>
      <c r="R32" s="78" t="s">
        <v>15</v>
      </c>
      <c r="S32" s="78" t="s">
        <v>15</v>
      </c>
      <c r="T32" s="78" t="s">
        <v>15</v>
      </c>
      <c r="U32" s="72" t="s">
        <v>437</v>
      </c>
      <c r="V32" s="78" t="s">
        <v>263</v>
      </c>
      <c r="W32" s="74" t="s">
        <v>366</v>
      </c>
      <c r="X32" s="74" t="s">
        <v>41</v>
      </c>
      <c r="Y32" s="78" t="s">
        <v>538</v>
      </c>
      <c r="Z32" s="83" t="s">
        <v>15</v>
      </c>
    </row>
    <row r="33" spans="1:26" ht="31.95" customHeight="1" x14ac:dyDescent="0.3">
      <c r="A33" s="74" t="s">
        <v>516</v>
      </c>
      <c r="B33" s="74">
        <v>242600336</v>
      </c>
      <c r="C33" s="74" t="s">
        <v>539</v>
      </c>
      <c r="D33" s="74" t="s">
        <v>540</v>
      </c>
      <c r="E33" s="75" t="s">
        <v>541</v>
      </c>
      <c r="F33" s="29" t="s">
        <v>719</v>
      </c>
      <c r="G33" s="29" t="s">
        <v>719</v>
      </c>
      <c r="H33" s="74" t="s">
        <v>15</v>
      </c>
      <c r="I33" s="82" t="s">
        <v>720</v>
      </c>
      <c r="J33" s="76" t="s">
        <v>261</v>
      </c>
      <c r="K33" s="82" t="s">
        <v>720</v>
      </c>
      <c r="L33" s="76" t="s">
        <v>261</v>
      </c>
      <c r="M33" s="82" t="s">
        <v>721</v>
      </c>
      <c r="N33" s="74" t="s">
        <v>75</v>
      </c>
      <c r="O33" s="74" t="s">
        <v>542</v>
      </c>
      <c r="P33" s="74" t="s">
        <v>15</v>
      </c>
      <c r="Q33" s="77" t="s">
        <v>420</v>
      </c>
      <c r="R33" s="78" t="s">
        <v>15</v>
      </c>
      <c r="S33" s="78" t="s">
        <v>15</v>
      </c>
      <c r="T33" s="78" t="s">
        <v>15</v>
      </c>
      <c r="U33" s="72" t="s">
        <v>586</v>
      </c>
      <c r="V33" s="78" t="s">
        <v>263</v>
      </c>
      <c r="W33" s="74" t="s">
        <v>366</v>
      </c>
      <c r="X33" s="74" t="s">
        <v>41</v>
      </c>
      <c r="Y33" s="78" t="s">
        <v>543</v>
      </c>
      <c r="Z33" s="83" t="s">
        <v>15</v>
      </c>
    </row>
    <row r="34" spans="1:26" ht="14.25" customHeight="1" x14ac:dyDescent="0.3">
      <c r="A34" s="74" t="s">
        <v>544</v>
      </c>
      <c r="B34" s="74">
        <v>242598633</v>
      </c>
      <c r="C34" s="74" t="s">
        <v>545</v>
      </c>
      <c r="D34" s="74" t="s">
        <v>546</v>
      </c>
      <c r="E34" s="75" t="s">
        <v>547</v>
      </c>
      <c r="F34" s="29" t="s">
        <v>672</v>
      </c>
      <c r="G34" s="29" t="s">
        <v>672</v>
      </c>
      <c r="H34" s="74" t="s">
        <v>15</v>
      </c>
      <c r="I34" s="82" t="s">
        <v>548</v>
      </c>
      <c r="J34" s="76" t="s">
        <v>261</v>
      </c>
      <c r="K34" s="82" t="s">
        <v>548</v>
      </c>
      <c r="L34" s="76" t="s">
        <v>261</v>
      </c>
      <c r="M34" s="82" t="s">
        <v>549</v>
      </c>
      <c r="N34" s="74" t="s">
        <v>75</v>
      </c>
      <c r="O34" s="74" t="s">
        <v>550</v>
      </c>
      <c r="P34" s="74" t="s">
        <v>15</v>
      </c>
      <c r="Q34" s="77" t="s">
        <v>551</v>
      </c>
      <c r="R34" s="78" t="s">
        <v>15</v>
      </c>
      <c r="S34" s="78" t="s">
        <v>15</v>
      </c>
      <c r="T34" s="78" t="s">
        <v>15</v>
      </c>
      <c r="U34" s="72" t="s">
        <v>675</v>
      </c>
      <c r="V34" s="78" t="s">
        <v>263</v>
      </c>
      <c r="W34" s="74" t="s">
        <v>366</v>
      </c>
      <c r="X34" s="74" t="s">
        <v>41</v>
      </c>
      <c r="Y34" s="78" t="s">
        <v>552</v>
      </c>
      <c r="Z34" s="83" t="s">
        <v>15</v>
      </c>
    </row>
    <row r="35" spans="1:26" ht="403.2" x14ac:dyDescent="0.3">
      <c r="A35" s="74" t="s">
        <v>554</v>
      </c>
      <c r="B35" s="74">
        <v>242600239</v>
      </c>
      <c r="C35" s="74" t="s">
        <v>555</v>
      </c>
      <c r="D35" s="74" t="s">
        <v>556</v>
      </c>
      <c r="E35" s="75" t="s">
        <v>557</v>
      </c>
      <c r="F35" s="29" t="s">
        <v>722</v>
      </c>
      <c r="G35" s="29" t="s">
        <v>722</v>
      </c>
      <c r="H35" s="74" t="s">
        <v>15</v>
      </c>
      <c r="I35" s="82" t="s">
        <v>558</v>
      </c>
      <c r="J35" s="76" t="s">
        <v>261</v>
      </c>
      <c r="K35" s="82" t="s">
        <v>558</v>
      </c>
      <c r="L35" s="76" t="s">
        <v>261</v>
      </c>
      <c r="M35" s="82" t="s">
        <v>559</v>
      </c>
      <c r="N35" s="74" t="s">
        <v>75</v>
      </c>
      <c r="O35" s="74" t="s">
        <v>560</v>
      </c>
      <c r="P35" s="74" t="s">
        <v>15</v>
      </c>
      <c r="Q35" s="77" t="s">
        <v>388</v>
      </c>
      <c r="R35" s="78" t="s">
        <v>15</v>
      </c>
      <c r="S35" s="78" t="s">
        <v>15</v>
      </c>
      <c r="T35" s="78" t="s">
        <v>15</v>
      </c>
      <c r="U35" s="72" t="s">
        <v>353</v>
      </c>
      <c r="V35" s="78" t="s">
        <v>263</v>
      </c>
      <c r="W35" s="74" t="s">
        <v>366</v>
      </c>
      <c r="X35" s="74" t="s">
        <v>41</v>
      </c>
      <c r="Y35" s="78" t="s">
        <v>561</v>
      </c>
      <c r="Z35" s="83" t="s">
        <v>15</v>
      </c>
    </row>
    <row r="36" spans="1:26" ht="28.8" x14ac:dyDescent="0.3">
      <c r="A36" s="74" t="s">
        <v>608</v>
      </c>
      <c r="B36" s="77">
        <v>242595600</v>
      </c>
      <c r="C36" s="77" t="s">
        <v>609</v>
      </c>
      <c r="D36" s="77" t="s">
        <v>610</v>
      </c>
      <c r="E36" s="85" t="s">
        <v>611</v>
      </c>
      <c r="F36" s="29" t="s">
        <v>723</v>
      </c>
      <c r="G36" s="29" t="s">
        <v>723</v>
      </c>
      <c r="H36" s="74" t="s">
        <v>15</v>
      </c>
      <c r="I36" s="82" t="s">
        <v>612</v>
      </c>
      <c r="J36" s="76" t="s">
        <v>261</v>
      </c>
      <c r="K36" s="82" t="s">
        <v>612</v>
      </c>
      <c r="L36" s="76" t="s">
        <v>261</v>
      </c>
      <c r="M36" s="82" t="s">
        <v>613</v>
      </c>
      <c r="N36" s="74" t="s">
        <v>75</v>
      </c>
      <c r="O36" s="77" t="s">
        <v>614</v>
      </c>
      <c r="P36" s="74" t="s">
        <v>15</v>
      </c>
      <c r="Q36" s="77" t="s">
        <v>365</v>
      </c>
      <c r="R36" s="78" t="s">
        <v>15</v>
      </c>
      <c r="S36" s="78" t="s">
        <v>15</v>
      </c>
      <c r="T36" s="78" t="s">
        <v>15</v>
      </c>
      <c r="U36" s="72" t="s">
        <v>356</v>
      </c>
      <c r="V36" s="78" t="s">
        <v>263</v>
      </c>
      <c r="W36" s="74" t="s">
        <v>366</v>
      </c>
      <c r="X36" s="74" t="s">
        <v>41</v>
      </c>
      <c r="Y36" s="78" t="s">
        <v>15</v>
      </c>
      <c r="Z36" s="83" t="s">
        <v>15</v>
      </c>
    </row>
  </sheetData>
  <autoFilter ref="A1:Z36" xr:uid="{C40E93EC-B391-43CA-BFCE-2CB58E37A3C0}"/>
  <phoneticPr fontId="25" type="noConversion"/>
  <hyperlinks>
    <hyperlink ref="Y15" r:id="rId1" xr:uid="{845E99BE-0F9C-4E21-9C9C-360863A76799}"/>
    <hyperlink ref="Y17" r:id="rId2" xr:uid="{55FB9D79-E0A1-4EDF-A522-4FC9A762D75A}"/>
    <hyperlink ref="Y19" r:id="rId3" xr:uid="{8FC60A4D-90F0-4137-9ECB-D883C1BC848F}"/>
    <hyperlink ref="Y5" r:id="rId4" xr:uid="{201665A8-1A12-4173-860E-278411AF0D06}"/>
    <hyperlink ref="Y6" r:id="rId5" xr:uid="{73F39C56-B001-4D89-8174-FDABFCC52634}"/>
    <hyperlink ref="Y14" r:id="rId6" xr:uid="{C9DBC164-832C-4520-AA1A-89B410897449}"/>
    <hyperlink ref="F3" r:id="rId7" xr:uid="{D00C8DB1-45BD-41CB-82A9-0DCFE48C4921}"/>
    <hyperlink ref="Y2" r:id="rId8" xr:uid="{DBC9C7F8-3086-4DDB-944F-3B45EE05F20A}"/>
    <hyperlink ref="Y7" r:id="rId9" xr:uid="{FB91AD67-60CF-4CBE-A336-DEC6AAD5272A}"/>
    <hyperlink ref="Y8" r:id="rId10" xr:uid="{F45345D0-9139-4EC9-B995-C80E5C712EBE}"/>
    <hyperlink ref="Y10" r:id="rId11" xr:uid="{4E33F295-5F20-4F0B-8D9D-DEE8D6762C7F}"/>
    <hyperlink ref="Y11" r:id="rId12" xr:uid="{4A30CF2D-A30F-4E23-98D3-D2AE8F994D9F}"/>
    <hyperlink ref="Y13" r:id="rId13" xr:uid="{7F6AC3B9-BFFE-4744-9DDF-95438B87D7C8}"/>
    <hyperlink ref="Y16" r:id="rId14" xr:uid="{4DFA5FF6-1D5F-47E0-BE40-5A167F420378}"/>
    <hyperlink ref="Y28" r:id="rId15" xr:uid="{94B4E973-5324-4F4F-B63B-A5A9D049D255}"/>
    <hyperlink ref="F16" r:id="rId16" display="UAT-Web-Auth8@mailinator.com" xr:uid="{A5973FED-7581-4C0E-BDAB-828D831EFE7B}"/>
    <hyperlink ref="G16" r:id="rId17" display="UAT-Web-Auth8@mailinator.com" xr:uid="{049C10E6-55D0-4426-A71D-DBB4D974943C}"/>
  </hyperlinks>
  <pageMargins left="0.7" right="0.7" top="0.75" bottom="0.75" header="0.3" footer="0.3"/>
  <headerFooter>
    <oddHeader>&amp;L&amp;"Aptos"&amp;10&amp;K000000 Classification: Internal Use&amp;1#_x000D_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086B8-8A57-4481-BB3C-32DDD3CA6EA1}">
  <sheetPr>
    <tabColor rgb="FF00B050"/>
  </sheetPr>
  <dimension ref="A1:AZ228"/>
  <sheetViews>
    <sheetView zoomScale="65" zoomScaleNormal="65" workbookViewId="0">
      <selection activeCell="X6" sqref="X6"/>
    </sheetView>
  </sheetViews>
  <sheetFormatPr defaultColWidth="9.109375" defaultRowHeight="14.4" x14ac:dyDescent="0.3"/>
  <cols>
    <col min="1" max="1" width="15.33203125" style="119" bestFit="1" customWidth="1"/>
    <col min="2" max="2" width="11.5546875" style="119" bestFit="1" customWidth="1"/>
    <col min="3" max="3" width="42.33203125" style="119" bestFit="1" customWidth="1"/>
    <col min="4" max="4" width="8.44140625" style="119" bestFit="1" customWidth="1"/>
    <col min="5" max="5" width="15.33203125" style="119" bestFit="1" customWidth="1"/>
    <col min="6" max="6" width="17.33203125" style="119" bestFit="1" customWidth="1"/>
    <col min="7" max="7" width="16.6640625" style="119" bestFit="1" customWidth="1"/>
    <col min="8" max="8" width="32.6640625" style="119" customWidth="1"/>
    <col min="9" max="9" width="17.33203125" style="119" customWidth="1"/>
    <col min="10" max="10" width="10.6640625" style="119" bestFit="1" customWidth="1"/>
    <col min="11" max="11" width="13.44140625" style="119" customWidth="1"/>
    <col min="12" max="12" width="23.33203125" style="119" customWidth="1"/>
    <col min="13" max="13" width="18.5546875" style="130" customWidth="1"/>
    <col min="14" max="14" width="14.44140625" style="119" bestFit="1" customWidth="1"/>
    <col min="15" max="15" width="38.5546875" style="119" customWidth="1"/>
    <col min="16" max="16" width="18.6640625" style="119" customWidth="1"/>
    <col min="17" max="17" width="19.33203125" style="119" bestFit="1" customWidth="1"/>
    <col min="18" max="18" width="21.44140625" style="119" bestFit="1" customWidth="1"/>
    <col min="19" max="19" width="20.44140625" style="119" bestFit="1" customWidth="1"/>
    <col min="20" max="20" width="20.33203125" style="119" bestFit="1" customWidth="1"/>
    <col min="21" max="21" width="22.5546875" style="119" bestFit="1" customWidth="1"/>
    <col min="22" max="22" width="15.109375" style="119" customWidth="1"/>
    <col min="23" max="23" width="40.5546875" style="119" customWidth="1"/>
    <col min="24" max="24" width="40.5546875" style="119" bestFit="1" customWidth="1"/>
    <col min="25" max="25" width="16.109375" style="119" customWidth="1"/>
    <col min="26" max="26" width="14.33203125" style="119" bestFit="1" customWidth="1"/>
    <col min="27" max="27" width="103.5546875" style="119" bestFit="1" customWidth="1"/>
    <col min="28" max="28" width="70.109375" style="119" bestFit="1" customWidth="1"/>
    <col min="29" max="37" width="9.109375" style="119"/>
    <col min="38" max="38" width="11.109375" style="119" bestFit="1" customWidth="1"/>
    <col min="39" max="42" width="9.109375" style="119"/>
    <col min="43" max="43" width="41.88671875" style="119" customWidth="1"/>
    <col min="44" max="44" width="45.88671875" style="119" customWidth="1"/>
    <col min="45" max="46" width="9.109375" style="119"/>
    <col min="47" max="47" width="41.33203125" style="119" customWidth="1"/>
    <col min="48" max="48" width="28.109375" style="119" customWidth="1"/>
    <col min="49" max="49" width="11.33203125" style="119" bestFit="1" customWidth="1"/>
    <col min="50" max="50" width="13" style="119" bestFit="1" customWidth="1"/>
    <col min="51" max="51" width="12.6640625" style="119" bestFit="1" customWidth="1"/>
    <col min="52" max="52" width="15.88671875" style="119" customWidth="1"/>
    <col min="53" max="53" width="30" style="119" customWidth="1"/>
    <col min="54" max="54" width="24" style="119" customWidth="1"/>
    <col min="55" max="16384" width="9.109375" style="119"/>
  </cols>
  <sheetData>
    <row r="1" spans="1:52" ht="16.8" x14ac:dyDescent="0.3">
      <c r="A1" s="118" t="s">
        <v>958</v>
      </c>
      <c r="B1" s="118" t="s">
        <v>959</v>
      </c>
      <c r="C1" s="118" t="s">
        <v>5</v>
      </c>
      <c r="D1" s="118" t="s">
        <v>32</v>
      </c>
      <c r="E1" s="118" t="s">
        <v>960</v>
      </c>
      <c r="F1" s="118" t="s">
        <v>961</v>
      </c>
      <c r="G1" s="118" t="s">
        <v>962</v>
      </c>
      <c r="H1" s="118" t="s">
        <v>963</v>
      </c>
      <c r="I1" s="118" t="s">
        <v>7</v>
      </c>
      <c r="J1" s="118" t="s">
        <v>964</v>
      </c>
      <c r="K1" s="118" t="s">
        <v>965</v>
      </c>
      <c r="L1" s="118" t="s">
        <v>966</v>
      </c>
      <c r="M1" s="118" t="s">
        <v>240</v>
      </c>
      <c r="N1" s="118" t="s">
        <v>967</v>
      </c>
      <c r="O1" s="118" t="s">
        <v>237</v>
      </c>
      <c r="P1" s="118" t="s">
        <v>968</v>
      </c>
      <c r="Q1" s="118" t="s">
        <v>969</v>
      </c>
      <c r="R1" s="118" t="s">
        <v>970</v>
      </c>
      <c r="S1" s="118" t="s">
        <v>971</v>
      </c>
      <c r="T1" s="118" t="s">
        <v>972</v>
      </c>
      <c r="U1" s="118" t="s">
        <v>973</v>
      </c>
      <c r="V1" s="118" t="s">
        <v>974</v>
      </c>
      <c r="W1" s="118" t="s">
        <v>975</v>
      </c>
      <c r="X1" s="118" t="s">
        <v>976</v>
      </c>
      <c r="Y1" s="118" t="s">
        <v>2</v>
      </c>
      <c r="Z1" s="118" t="s">
        <v>977</v>
      </c>
      <c r="AA1" s="118" t="s">
        <v>978</v>
      </c>
      <c r="AB1" s="118" t="s">
        <v>979</v>
      </c>
    </row>
    <row r="2" spans="1:52" ht="34.200000000000003" customHeight="1" x14ac:dyDescent="0.3">
      <c r="A2" s="120" t="s">
        <v>749</v>
      </c>
      <c r="B2" s="120" t="s">
        <v>980</v>
      </c>
      <c r="C2" s="120" t="s">
        <v>981</v>
      </c>
      <c r="D2" s="120" t="s">
        <v>982</v>
      </c>
      <c r="E2" s="120" t="s">
        <v>983</v>
      </c>
      <c r="F2" s="120" t="s">
        <v>615</v>
      </c>
      <c r="G2" s="120" t="s">
        <v>984</v>
      </c>
      <c r="H2" s="120" t="s">
        <v>985</v>
      </c>
      <c r="I2" s="120">
        <v>100</v>
      </c>
      <c r="J2" s="120" t="s">
        <v>615</v>
      </c>
      <c r="K2" s="121" t="str">
        <f>IF(W2=$AU$4, $AX$4,
IF(W2=$AU$2,$AX$2, ""))</f>
        <v>BOURNE</v>
      </c>
      <c r="L2" s="121" t="str">
        <f>IF(X2=$AU$5, $AX$5,
IF(X2=$AU$3,$AX$3, ""))</f>
        <v/>
      </c>
      <c r="M2" s="121">
        <f>IF(W2=$AU$4, $AW$4,
IF(W2=$AU$2,$AW$2, ""))</f>
        <v>22626</v>
      </c>
      <c r="N2" s="121" t="str">
        <f>IF(X2=$AU$5, $AW$5,
IF(X2=$AU$3,$AW$3, ""))</f>
        <v/>
      </c>
      <c r="O2" s="121" t="str">
        <f>IF(W2=$AU$4, $AV$4,
IF(W2=$AU$2,$AV$2, ""))</f>
        <v>242599915</v>
      </c>
      <c r="P2" s="121" t="str">
        <f>IF(X2=$AU$5, $AV$5,
IF(X2=$AU$3,$AV$3, ""))</f>
        <v/>
      </c>
      <c r="Q2" s="120" t="s">
        <v>615</v>
      </c>
      <c r="R2" s="120" t="s">
        <v>615</v>
      </c>
      <c r="S2" s="120" t="s">
        <v>615</v>
      </c>
      <c r="T2" s="120" t="s">
        <v>615</v>
      </c>
      <c r="U2" s="120" t="s">
        <v>615</v>
      </c>
      <c r="V2" s="120" t="s">
        <v>615</v>
      </c>
      <c r="W2" s="122" t="str">
        <f>IF(E2="Y", $AU$4,
IF(E2="N",$AU$2,
IF(E2="Y,Y",  $AU$4,
IF(E2="N,N",$AU$2,
IF(E2="Y,N", $AU$4,
IF(E2="N,Y", $AU$2, ""))))))</f>
        <v>PPAddIban16@mailinator.com</v>
      </c>
      <c r="X2" s="120" t="str">
        <f>IF(E2="Y,Y", $AU$5,
IF(E2="N,N", $AU$3,
IF(E2="Y,N", $AU$3,
IF(E2="N,Y",$AU$5, ""))))</f>
        <v/>
      </c>
      <c r="Y2" s="121" t="str">
        <f>IF(W2=$AU$2, $AZ$2,
IF(W2=$AU$4,$AZ$4, ""))</f>
        <v>Dummy!2022</v>
      </c>
      <c r="Z2" s="121" t="str">
        <f>IF(W2=$AU$4, $AY$4,
IF(W2=$AU$2,$AY$2, ""))</f>
        <v>020-8055516</v>
      </c>
      <c r="AA2" s="120"/>
      <c r="AB2" s="120" t="s">
        <v>986</v>
      </c>
      <c r="AL2" s="119" t="str">
        <f>IF(W2=$AU$4, $AV$4,
IF(W2=$AU$2,$AV$2, ""))</f>
        <v>242599915</v>
      </c>
      <c r="AQ2" s="119" t="str">
        <f>IF(E2="Y", $AU$4,
IF(E2="N",$AU$2,
IF(E2="Y,Y",  $AU$4,
IF(E2="N,N",$AU$2,
IF(E2="Y,N", $AU$4,
IF(E2="N,Y", $AU$2, ""))))))</f>
        <v>PPAddIban16@mailinator.com</v>
      </c>
      <c r="AR2" s="119" t="str">
        <f>IF(E2="Y,Y", $AU$5,
IF(E2="N,N", $AU$3,
IF(E2="Y,N", $AU$3,
IF(E2="N,Y",$AU$5, ""))))</f>
        <v/>
      </c>
      <c r="AT2" s="119" t="s">
        <v>987</v>
      </c>
      <c r="AU2" s="123" t="s">
        <v>988</v>
      </c>
      <c r="AV2" s="124" t="s">
        <v>989</v>
      </c>
      <c r="AW2" s="125">
        <v>19209</v>
      </c>
      <c r="AX2" s="119" t="s">
        <v>990</v>
      </c>
      <c r="AY2" s="119" t="s">
        <v>991</v>
      </c>
      <c r="AZ2" s="119" t="s">
        <v>56</v>
      </c>
    </row>
    <row r="3" spans="1:52" ht="50.4" customHeight="1" x14ac:dyDescent="0.3">
      <c r="A3" s="120" t="s">
        <v>750</v>
      </c>
      <c r="B3" s="120" t="s">
        <v>992</v>
      </c>
      <c r="C3" s="120" t="s">
        <v>22</v>
      </c>
      <c r="D3" s="120" t="s">
        <v>982</v>
      </c>
      <c r="E3" s="120" t="s">
        <v>983</v>
      </c>
      <c r="F3" s="120" t="s">
        <v>615</v>
      </c>
      <c r="G3" s="120" t="s">
        <v>993</v>
      </c>
      <c r="H3" s="120"/>
      <c r="I3" s="120" t="s">
        <v>53</v>
      </c>
      <c r="J3" s="120" t="s">
        <v>615</v>
      </c>
      <c r="K3" s="121" t="str">
        <f t="shared" ref="K3:K66" si="0">IF(W3=$AU$4, $AX$4,
IF(W3=$AU$2,$AX$2, ""))</f>
        <v>BOURNE</v>
      </c>
      <c r="L3" s="121" t="str">
        <f t="shared" ref="L3:L66" si="1">IF(X3=$AU$5, $AX$5,
IF(X3=$AU$3,$AX$3, ""))</f>
        <v/>
      </c>
      <c r="M3" s="121">
        <f>IF(W3=$AU$4, $AW$4,
IF(W3=$AU$2,$AW$2, ""))</f>
        <v>22626</v>
      </c>
      <c r="N3" s="121" t="str">
        <f t="shared" ref="N3:N66" si="2">IF(X3=$AU$5, $AW$5,
IF(X3=$AU$3,$AW$3, ""))</f>
        <v/>
      </c>
      <c r="O3" s="121" t="str">
        <f t="shared" ref="O3:O66" si="3">IF(W3=$AU$4, $AV$4,
IF(W3=$AU$2,$AV$2, ""))</f>
        <v>242599915</v>
      </c>
      <c r="P3" s="121" t="str">
        <f t="shared" ref="P3:P66" si="4">IF(X3=$AU$5, $AV$5,
IF(X3=$AU$3,$AV$3, ""))</f>
        <v/>
      </c>
      <c r="Q3" s="120" t="s">
        <v>615</v>
      </c>
      <c r="R3" s="120" t="s">
        <v>615</v>
      </c>
      <c r="S3" s="120" t="s">
        <v>615</v>
      </c>
      <c r="T3" s="120" t="s">
        <v>615</v>
      </c>
      <c r="U3" s="120" t="s">
        <v>615</v>
      </c>
      <c r="V3" s="120" t="s">
        <v>615</v>
      </c>
      <c r="W3" s="122" t="str">
        <f t="shared" ref="W3:W66" si="5">IF(E3="Y", $AU$4,
IF(E3="N",$AU$2,
IF(E3="Y,Y",  $AU$4,
IF(E3="N,N",$AU$2,
IF(E3="Y,N", $AU$4,
IF(E3="N,Y", $AU$2, ""))))))</f>
        <v>PPAddIban16@mailinator.com</v>
      </c>
      <c r="X3" s="120" t="str">
        <f t="shared" ref="X3:X66" si="6">IF(E3="Y,Y", $AU$5,
IF(E3="N,N", $AU$3,
IF(E3="Y,N", $AU$3,
IF(E3="N,Y",$AU$5, ""))))</f>
        <v/>
      </c>
      <c r="Y3" s="121" t="str">
        <f t="shared" ref="Y3:Y66" si="7">IF(W3=$AU$2, $AZ$2,
IF(W3=$AU$4,$AZ$4, ""))</f>
        <v>Dummy!2022</v>
      </c>
      <c r="Z3" s="121" t="str">
        <f t="shared" ref="Z3:Z66" si="8">IF(W3=$AU$4, $AY$4,
IF(W3=$AU$2,$AY$2, ""))</f>
        <v>020-8055516</v>
      </c>
      <c r="AA3" s="120"/>
      <c r="AB3" s="120" t="s">
        <v>986</v>
      </c>
      <c r="AQ3" s="119" t="str">
        <f t="shared" ref="AQ3:AQ66" si="9">IF(E3="Y", $AU$4,
IF(E3="N",$AU$2,
IF(E3="Y,Y",  $AU$4,
IF(E3="N,N",$AU$2,
IF(E3="Y,N", $AU$4,
IF(E3="N,Y", $AU$2, ""))))))</f>
        <v>PPAddIban16@mailinator.com</v>
      </c>
      <c r="AR3" s="119" t="str">
        <f t="shared" ref="AR3:AR66" si="10">IF(E3="Y,Y", $AU$5,
IF(E3="N,N", $AU$3,
IF(E3="Y,N", $AU$3,
IF(E3="N,Y",$AU$5, ""))))</f>
        <v/>
      </c>
      <c r="AT3" s="119" t="s">
        <v>987</v>
      </c>
      <c r="AU3" s="123" t="s">
        <v>994</v>
      </c>
      <c r="AV3" s="124" t="s">
        <v>995</v>
      </c>
      <c r="AW3" s="125">
        <v>22469</v>
      </c>
      <c r="AX3" s="119" t="s">
        <v>996</v>
      </c>
    </row>
    <row r="4" spans="1:52" ht="39" customHeight="1" x14ac:dyDescent="0.3">
      <c r="A4" s="120" t="s">
        <v>751</v>
      </c>
      <c r="B4" s="120" t="s">
        <v>615</v>
      </c>
      <c r="C4" s="120" t="s">
        <v>997</v>
      </c>
      <c r="D4" s="120" t="s">
        <v>982</v>
      </c>
      <c r="E4" s="120" t="s">
        <v>983</v>
      </c>
      <c r="F4" s="120" t="s">
        <v>615</v>
      </c>
      <c r="G4" s="120" t="s">
        <v>998</v>
      </c>
      <c r="H4" s="120" t="s">
        <v>999</v>
      </c>
      <c r="I4" s="120" t="s">
        <v>1000</v>
      </c>
      <c r="J4" s="120" t="s">
        <v>615</v>
      </c>
      <c r="K4" s="121" t="str">
        <f t="shared" si="0"/>
        <v>BOURNE</v>
      </c>
      <c r="L4" s="121" t="str">
        <f t="shared" si="1"/>
        <v/>
      </c>
      <c r="M4" s="121">
        <f t="shared" ref="M4:M67" si="11">IF(W4=$AU$4, $AW$4,
IF(W4=$AU$2,$AW$2, ""))</f>
        <v>22626</v>
      </c>
      <c r="N4" s="121" t="str">
        <f t="shared" si="2"/>
        <v/>
      </c>
      <c r="O4" s="121" t="str">
        <f t="shared" si="3"/>
        <v>242599915</v>
      </c>
      <c r="P4" s="121" t="str">
        <f t="shared" si="4"/>
        <v/>
      </c>
      <c r="Q4" s="120" t="s">
        <v>615</v>
      </c>
      <c r="R4" s="120" t="s">
        <v>615</v>
      </c>
      <c r="S4" s="120" t="s">
        <v>615</v>
      </c>
      <c r="T4" s="120" t="s">
        <v>615</v>
      </c>
      <c r="U4" s="120" t="s">
        <v>615</v>
      </c>
      <c r="V4" s="120" t="s">
        <v>615</v>
      </c>
      <c r="W4" s="122" t="str">
        <f t="shared" si="5"/>
        <v>PPAddIban16@mailinator.com</v>
      </c>
      <c r="X4" s="120" t="str">
        <f t="shared" si="6"/>
        <v/>
      </c>
      <c r="Y4" s="121" t="str">
        <f t="shared" si="7"/>
        <v>Dummy!2022</v>
      </c>
      <c r="Z4" s="121" t="str">
        <f t="shared" si="8"/>
        <v>020-8055516</v>
      </c>
      <c r="AA4" s="120"/>
      <c r="AB4" s="120" t="s">
        <v>986</v>
      </c>
      <c r="AQ4" s="119" t="str">
        <f t="shared" si="9"/>
        <v>PPAddIban16@mailinator.com</v>
      </c>
      <c r="AR4" s="119" t="str">
        <f t="shared" si="10"/>
        <v/>
      </c>
      <c r="AT4" s="119" t="s">
        <v>983</v>
      </c>
      <c r="AU4" s="123" t="s">
        <v>1001</v>
      </c>
      <c r="AV4" s="124" t="s">
        <v>1002</v>
      </c>
      <c r="AW4" s="125">
        <v>22626</v>
      </c>
      <c r="AX4" s="119" t="s">
        <v>1003</v>
      </c>
      <c r="AY4" s="119" t="s">
        <v>1004</v>
      </c>
      <c r="AZ4" s="119" t="s">
        <v>56</v>
      </c>
    </row>
    <row r="5" spans="1:52" ht="39.6" customHeight="1" x14ac:dyDescent="0.3">
      <c r="A5" s="120" t="s">
        <v>752</v>
      </c>
      <c r="B5" s="120" t="s">
        <v>615</v>
      </c>
      <c r="C5" s="120" t="s">
        <v>1005</v>
      </c>
      <c r="D5" s="120" t="s">
        <v>982</v>
      </c>
      <c r="E5" s="120" t="s">
        <v>983</v>
      </c>
      <c r="F5" s="120" t="s">
        <v>615</v>
      </c>
      <c r="G5" s="120" t="s">
        <v>1006</v>
      </c>
      <c r="H5" s="120" t="s">
        <v>1007</v>
      </c>
      <c r="I5" s="120" t="s">
        <v>1008</v>
      </c>
      <c r="J5" s="120" t="s">
        <v>615</v>
      </c>
      <c r="K5" s="121" t="str">
        <f t="shared" si="0"/>
        <v>BOURNE</v>
      </c>
      <c r="L5" s="121" t="str">
        <f t="shared" si="1"/>
        <v/>
      </c>
      <c r="M5" s="121">
        <f t="shared" si="11"/>
        <v>22626</v>
      </c>
      <c r="N5" s="121" t="str">
        <f t="shared" si="2"/>
        <v/>
      </c>
      <c r="O5" s="121" t="str">
        <f t="shared" si="3"/>
        <v>242599915</v>
      </c>
      <c r="P5" s="121" t="str">
        <f t="shared" si="4"/>
        <v/>
      </c>
      <c r="Q5" s="120" t="s">
        <v>615</v>
      </c>
      <c r="R5" s="120" t="s">
        <v>615</v>
      </c>
      <c r="S5" s="120" t="s">
        <v>615</v>
      </c>
      <c r="T5" s="120" t="s">
        <v>615</v>
      </c>
      <c r="U5" s="120" t="s">
        <v>615</v>
      </c>
      <c r="V5" s="120" t="s">
        <v>615</v>
      </c>
      <c r="W5" s="122" t="str">
        <f t="shared" si="5"/>
        <v>PPAddIban16@mailinator.com</v>
      </c>
      <c r="X5" s="120" t="str">
        <f t="shared" si="6"/>
        <v/>
      </c>
      <c r="Y5" s="121" t="str">
        <f t="shared" si="7"/>
        <v>Dummy!2022</v>
      </c>
      <c r="Z5" s="121" t="str">
        <f t="shared" si="8"/>
        <v>020-8055516</v>
      </c>
      <c r="AA5" s="120"/>
      <c r="AB5" s="120" t="s">
        <v>986</v>
      </c>
      <c r="AQ5" s="119" t="str">
        <f t="shared" si="9"/>
        <v>PPAddIban16@mailinator.com</v>
      </c>
      <c r="AR5" s="119" t="str">
        <f t="shared" si="10"/>
        <v/>
      </c>
      <c r="AT5" s="119" t="s">
        <v>983</v>
      </c>
      <c r="AU5" s="123" t="s">
        <v>96</v>
      </c>
      <c r="AV5" s="124" t="s">
        <v>1009</v>
      </c>
      <c r="AW5" s="125">
        <v>27439</v>
      </c>
      <c r="AX5" s="119" t="s">
        <v>1010</v>
      </c>
    </row>
    <row r="6" spans="1:52" ht="45.6" customHeight="1" x14ac:dyDescent="0.3">
      <c r="A6" s="120" t="s">
        <v>753</v>
      </c>
      <c r="B6" s="120" t="s">
        <v>615</v>
      </c>
      <c r="C6" s="120" t="s">
        <v>1011</v>
      </c>
      <c r="D6" s="120" t="s">
        <v>982</v>
      </c>
      <c r="E6" s="120" t="s">
        <v>983</v>
      </c>
      <c r="F6" s="120" t="s">
        <v>72</v>
      </c>
      <c r="G6" s="120" t="s">
        <v>1012</v>
      </c>
      <c r="H6" s="120"/>
      <c r="I6" s="120" t="s">
        <v>615</v>
      </c>
      <c r="J6" s="120" t="s">
        <v>1013</v>
      </c>
      <c r="K6" s="120" t="s">
        <v>1014</v>
      </c>
      <c r="L6" s="121" t="str">
        <f t="shared" si="1"/>
        <v/>
      </c>
      <c r="M6" s="121">
        <f t="shared" si="11"/>
        <v>22626</v>
      </c>
      <c r="N6" s="121" t="str">
        <f t="shared" si="2"/>
        <v/>
      </c>
      <c r="O6" s="121" t="str">
        <f t="shared" si="3"/>
        <v>242599915</v>
      </c>
      <c r="P6" s="121" t="str">
        <f t="shared" si="4"/>
        <v/>
      </c>
      <c r="Q6" s="120" t="s">
        <v>1015</v>
      </c>
      <c r="R6" s="120" t="s">
        <v>1016</v>
      </c>
      <c r="S6" s="120" t="s">
        <v>1017</v>
      </c>
      <c r="T6" s="120" t="s">
        <v>1018</v>
      </c>
      <c r="U6" s="120" t="s">
        <v>1019</v>
      </c>
      <c r="V6" s="120" t="s">
        <v>1020</v>
      </c>
      <c r="W6" s="122" t="str">
        <f t="shared" si="5"/>
        <v>PPAddIban16@mailinator.com</v>
      </c>
      <c r="X6" s="120" t="str">
        <f t="shared" si="6"/>
        <v/>
      </c>
      <c r="Y6" s="121" t="str">
        <f t="shared" si="7"/>
        <v>Dummy!2022</v>
      </c>
      <c r="Z6" s="121" t="str">
        <f t="shared" si="8"/>
        <v>020-8055516</v>
      </c>
      <c r="AA6" s="120"/>
      <c r="AB6" s="120" t="s">
        <v>986</v>
      </c>
      <c r="AQ6" s="119" t="str">
        <f t="shared" si="9"/>
        <v>PPAddIban16@mailinator.com</v>
      </c>
      <c r="AR6" s="119" t="str">
        <f t="shared" si="10"/>
        <v/>
      </c>
    </row>
    <row r="7" spans="1:52" ht="41.4" x14ac:dyDescent="0.3">
      <c r="A7" s="120" t="s">
        <v>754</v>
      </c>
      <c r="B7" s="120" t="s">
        <v>615</v>
      </c>
      <c r="C7" s="120" t="s">
        <v>1021</v>
      </c>
      <c r="D7" s="120" t="s">
        <v>982</v>
      </c>
      <c r="E7" s="120" t="s">
        <v>983</v>
      </c>
      <c r="F7" s="120" t="s">
        <v>615</v>
      </c>
      <c r="G7" s="120" t="s">
        <v>1022</v>
      </c>
      <c r="H7" s="120" t="s">
        <v>985</v>
      </c>
      <c r="I7" s="120" t="s">
        <v>615</v>
      </c>
      <c r="J7" s="120" t="s">
        <v>615</v>
      </c>
      <c r="K7" s="121" t="str">
        <f t="shared" si="0"/>
        <v>BOURNE</v>
      </c>
      <c r="L7" s="121" t="str">
        <f t="shared" si="1"/>
        <v/>
      </c>
      <c r="M7" s="121">
        <f t="shared" si="11"/>
        <v>22626</v>
      </c>
      <c r="N7" s="121" t="str">
        <f t="shared" si="2"/>
        <v/>
      </c>
      <c r="O7" s="121" t="str">
        <f t="shared" si="3"/>
        <v>242599915</v>
      </c>
      <c r="P7" s="121" t="str">
        <f t="shared" si="4"/>
        <v/>
      </c>
      <c r="Q7" s="120" t="s">
        <v>1023</v>
      </c>
      <c r="R7" s="120" t="s">
        <v>1024</v>
      </c>
      <c r="S7" s="120" t="s">
        <v>1025</v>
      </c>
      <c r="T7" s="120" t="s">
        <v>615</v>
      </c>
      <c r="U7" s="120" t="s">
        <v>615</v>
      </c>
      <c r="V7" s="120" t="s">
        <v>615</v>
      </c>
      <c r="W7" s="122" t="str">
        <f t="shared" si="5"/>
        <v>PPAddIban16@mailinator.com</v>
      </c>
      <c r="X7" s="120" t="str">
        <f t="shared" si="6"/>
        <v/>
      </c>
      <c r="Y7" s="121" t="str">
        <f t="shared" si="7"/>
        <v>Dummy!2022</v>
      </c>
      <c r="Z7" s="121" t="str">
        <f t="shared" si="8"/>
        <v>020-8055516</v>
      </c>
      <c r="AA7" s="120"/>
      <c r="AB7" s="120" t="s">
        <v>986</v>
      </c>
      <c r="AQ7" s="119" t="str">
        <f t="shared" si="9"/>
        <v>PPAddIban16@mailinator.com</v>
      </c>
      <c r="AR7" s="119" t="str">
        <f t="shared" si="10"/>
        <v/>
      </c>
      <c r="AW7" s="119" t="s">
        <v>1026</v>
      </c>
      <c r="AX7" s="119" t="s">
        <v>965</v>
      </c>
    </row>
    <row r="8" spans="1:52" ht="41.4" x14ac:dyDescent="0.3">
      <c r="A8" s="120" t="s">
        <v>1027</v>
      </c>
      <c r="B8" s="120" t="s">
        <v>615</v>
      </c>
      <c r="C8" s="120" t="s">
        <v>1028</v>
      </c>
      <c r="D8" s="120" t="s">
        <v>982</v>
      </c>
      <c r="E8" s="120" t="s">
        <v>983</v>
      </c>
      <c r="F8" s="120" t="s">
        <v>72</v>
      </c>
      <c r="G8" s="120" t="s">
        <v>1029</v>
      </c>
      <c r="H8" s="120"/>
      <c r="I8" s="120" t="s">
        <v>615</v>
      </c>
      <c r="J8" s="120"/>
      <c r="K8" s="121" t="str">
        <f t="shared" si="0"/>
        <v>BOURNE</v>
      </c>
      <c r="L8" s="121" t="str">
        <f t="shared" si="1"/>
        <v/>
      </c>
      <c r="M8" s="121">
        <f t="shared" si="11"/>
        <v>22626</v>
      </c>
      <c r="N8" s="121" t="str">
        <f t="shared" si="2"/>
        <v/>
      </c>
      <c r="O8" s="121" t="str">
        <f t="shared" si="3"/>
        <v>242599915</v>
      </c>
      <c r="P8" s="121" t="str">
        <f t="shared" si="4"/>
        <v/>
      </c>
      <c r="Q8" s="120" t="s">
        <v>1030</v>
      </c>
      <c r="R8" s="120" t="s">
        <v>1031</v>
      </c>
      <c r="S8" s="120" t="s">
        <v>1017</v>
      </c>
      <c r="T8" s="120" t="s">
        <v>1018</v>
      </c>
      <c r="U8" s="120" t="s">
        <v>1019</v>
      </c>
      <c r="V8" s="120" t="s">
        <v>1020</v>
      </c>
      <c r="W8" s="122" t="str">
        <f t="shared" si="5"/>
        <v>PPAddIban16@mailinator.com</v>
      </c>
      <c r="X8" s="120" t="str">
        <f t="shared" si="6"/>
        <v/>
      </c>
      <c r="Y8" s="121" t="str">
        <f t="shared" si="7"/>
        <v>Dummy!2022</v>
      </c>
      <c r="Z8" s="121" t="str">
        <f t="shared" si="8"/>
        <v>020-8055516</v>
      </c>
      <c r="AA8" s="120"/>
      <c r="AB8" s="120" t="s">
        <v>986</v>
      </c>
      <c r="AQ8" s="119" t="str">
        <f t="shared" si="9"/>
        <v>PPAddIban16@mailinator.com</v>
      </c>
      <c r="AR8" s="119" t="str">
        <f t="shared" si="10"/>
        <v/>
      </c>
    </row>
    <row r="9" spans="1:52" ht="41.4" x14ac:dyDescent="0.3">
      <c r="A9" s="120" t="s">
        <v>755</v>
      </c>
      <c r="B9" s="120" t="s">
        <v>615</v>
      </c>
      <c r="C9" s="120" t="s">
        <v>1032</v>
      </c>
      <c r="D9" s="120" t="s">
        <v>982</v>
      </c>
      <c r="E9" s="120" t="s">
        <v>983</v>
      </c>
      <c r="F9" s="120" t="s">
        <v>31</v>
      </c>
      <c r="G9" s="120" t="s">
        <v>1033</v>
      </c>
      <c r="H9" s="120" t="s">
        <v>1007</v>
      </c>
      <c r="I9" s="120" t="s">
        <v>1034</v>
      </c>
      <c r="J9" s="120" t="s">
        <v>615</v>
      </c>
      <c r="K9" s="121" t="str">
        <f t="shared" si="0"/>
        <v>BOURNE</v>
      </c>
      <c r="L9" s="121" t="str">
        <f t="shared" si="1"/>
        <v/>
      </c>
      <c r="M9" s="121">
        <f t="shared" si="11"/>
        <v>22626</v>
      </c>
      <c r="N9" s="121" t="str">
        <f t="shared" si="2"/>
        <v/>
      </c>
      <c r="O9" s="121" t="str">
        <f t="shared" si="3"/>
        <v>242599915</v>
      </c>
      <c r="P9" s="121" t="str">
        <f t="shared" si="4"/>
        <v/>
      </c>
      <c r="Q9" s="120" t="s">
        <v>1023</v>
      </c>
      <c r="R9" s="120" t="s">
        <v>1024</v>
      </c>
      <c r="S9" s="120" t="s">
        <v>1025</v>
      </c>
      <c r="T9" s="120" t="s">
        <v>1018</v>
      </c>
      <c r="U9" s="120" t="s">
        <v>1019</v>
      </c>
      <c r="V9" s="120" t="s">
        <v>615</v>
      </c>
      <c r="W9" s="122" t="str">
        <f t="shared" si="5"/>
        <v>PPAddIban16@mailinator.com</v>
      </c>
      <c r="X9" s="120" t="str">
        <f t="shared" si="6"/>
        <v/>
      </c>
      <c r="Y9" s="121" t="str">
        <f t="shared" si="7"/>
        <v>Dummy!2022</v>
      </c>
      <c r="Z9" s="121" t="str">
        <f t="shared" si="8"/>
        <v>020-8055516</v>
      </c>
      <c r="AA9" s="120"/>
      <c r="AB9" s="120" t="s">
        <v>986</v>
      </c>
      <c r="AQ9" s="119" t="str">
        <f t="shared" si="9"/>
        <v>PPAddIban16@mailinator.com</v>
      </c>
      <c r="AR9" s="119" t="str">
        <f t="shared" si="10"/>
        <v/>
      </c>
    </row>
    <row r="10" spans="1:52" ht="41.4" x14ac:dyDescent="0.3">
      <c r="A10" s="120" t="s">
        <v>1035</v>
      </c>
      <c r="B10" s="120" t="s">
        <v>615</v>
      </c>
      <c r="C10" s="120" t="s">
        <v>1011</v>
      </c>
      <c r="D10" s="120" t="s">
        <v>982</v>
      </c>
      <c r="E10" s="120" t="s">
        <v>983</v>
      </c>
      <c r="F10" s="120" t="s">
        <v>31</v>
      </c>
      <c r="G10" s="120" t="s">
        <v>985</v>
      </c>
      <c r="H10" s="120"/>
      <c r="I10" s="120" t="s">
        <v>615</v>
      </c>
      <c r="J10" s="120" t="s">
        <v>1013</v>
      </c>
      <c r="K10" s="120" t="s">
        <v>1014</v>
      </c>
      <c r="L10" s="121" t="str">
        <f t="shared" si="1"/>
        <v/>
      </c>
      <c r="M10" s="121">
        <f t="shared" si="11"/>
        <v>22626</v>
      </c>
      <c r="N10" s="121" t="str">
        <f t="shared" si="2"/>
        <v/>
      </c>
      <c r="O10" s="121" t="str">
        <f t="shared" si="3"/>
        <v>242599915</v>
      </c>
      <c r="P10" s="121" t="str">
        <f t="shared" si="4"/>
        <v/>
      </c>
      <c r="Q10" s="120" t="s">
        <v>1015</v>
      </c>
      <c r="R10" s="120" t="s">
        <v>1016</v>
      </c>
      <c r="S10" s="120" t="s">
        <v>1017</v>
      </c>
      <c r="T10" s="120" t="s">
        <v>1018</v>
      </c>
      <c r="U10" s="120" t="s">
        <v>1019</v>
      </c>
      <c r="V10" s="120" t="s">
        <v>1020</v>
      </c>
      <c r="W10" s="122" t="str">
        <f t="shared" si="5"/>
        <v>PPAddIban16@mailinator.com</v>
      </c>
      <c r="X10" s="120" t="str">
        <f t="shared" si="6"/>
        <v/>
      </c>
      <c r="Y10" s="121" t="str">
        <f t="shared" si="7"/>
        <v>Dummy!2022</v>
      </c>
      <c r="Z10" s="121" t="str">
        <f t="shared" si="8"/>
        <v>020-8055516</v>
      </c>
      <c r="AA10" s="120"/>
      <c r="AB10" s="120" t="s">
        <v>986</v>
      </c>
      <c r="AQ10" s="119" t="str">
        <f t="shared" si="9"/>
        <v>PPAddIban16@mailinator.com</v>
      </c>
      <c r="AR10" s="119" t="str">
        <f t="shared" si="10"/>
        <v/>
      </c>
      <c r="AU10" s="123"/>
      <c r="AV10" s="124"/>
      <c r="AW10" s="125"/>
    </row>
    <row r="11" spans="1:52" ht="41.4" x14ac:dyDescent="0.3">
      <c r="A11" s="120" t="s">
        <v>360</v>
      </c>
      <c r="B11" s="120" t="s">
        <v>615</v>
      </c>
      <c r="C11" s="120" t="s">
        <v>1021</v>
      </c>
      <c r="D11" s="120" t="s">
        <v>982</v>
      </c>
      <c r="E11" s="120" t="s">
        <v>983</v>
      </c>
      <c r="F11" s="120" t="s">
        <v>31</v>
      </c>
      <c r="G11" s="120" t="s">
        <v>984</v>
      </c>
      <c r="H11" s="120" t="s">
        <v>999</v>
      </c>
      <c r="I11" s="120" t="s">
        <v>615</v>
      </c>
      <c r="J11" s="120" t="s">
        <v>615</v>
      </c>
      <c r="K11" s="121" t="str">
        <f t="shared" si="0"/>
        <v>BOURNE</v>
      </c>
      <c r="L11" s="121" t="str">
        <f t="shared" si="1"/>
        <v/>
      </c>
      <c r="M11" s="121">
        <f t="shared" si="11"/>
        <v>22626</v>
      </c>
      <c r="N11" s="121" t="str">
        <f t="shared" si="2"/>
        <v/>
      </c>
      <c r="O11" s="121" t="str">
        <f t="shared" si="3"/>
        <v>242599915</v>
      </c>
      <c r="P11" s="121" t="str">
        <f t="shared" si="4"/>
        <v/>
      </c>
      <c r="Q11" s="120" t="s">
        <v>1023</v>
      </c>
      <c r="R11" s="120" t="s">
        <v>1024</v>
      </c>
      <c r="S11" s="120" t="s">
        <v>1025</v>
      </c>
      <c r="T11" s="120" t="s">
        <v>1018</v>
      </c>
      <c r="U11" s="120" t="s">
        <v>1019</v>
      </c>
      <c r="V11" s="120" t="s">
        <v>615</v>
      </c>
      <c r="W11" s="122" t="str">
        <f t="shared" si="5"/>
        <v>PPAddIban16@mailinator.com</v>
      </c>
      <c r="X11" s="120" t="str">
        <f t="shared" si="6"/>
        <v/>
      </c>
      <c r="Y11" s="121" t="str">
        <f t="shared" si="7"/>
        <v>Dummy!2022</v>
      </c>
      <c r="Z11" s="121" t="str">
        <f t="shared" si="8"/>
        <v>020-8055516</v>
      </c>
      <c r="AA11" s="120"/>
      <c r="AB11" s="120" t="s">
        <v>986</v>
      </c>
      <c r="AQ11" s="119" t="str">
        <f t="shared" si="9"/>
        <v>PPAddIban16@mailinator.com</v>
      </c>
      <c r="AR11" s="119" t="str">
        <f t="shared" si="10"/>
        <v/>
      </c>
      <c r="AU11" s="123"/>
      <c r="AV11" s="124"/>
      <c r="AW11" s="125"/>
    </row>
    <row r="12" spans="1:52" ht="41.4" x14ac:dyDescent="0.3">
      <c r="A12" s="120" t="s">
        <v>362</v>
      </c>
      <c r="B12" s="120" t="s">
        <v>615</v>
      </c>
      <c r="C12" s="120" t="s">
        <v>1028</v>
      </c>
      <c r="D12" s="120" t="s">
        <v>982</v>
      </c>
      <c r="E12" s="120" t="s">
        <v>983</v>
      </c>
      <c r="F12" s="120" t="s">
        <v>31</v>
      </c>
      <c r="G12" s="120" t="s">
        <v>993</v>
      </c>
      <c r="H12" s="120"/>
      <c r="I12" s="120" t="s">
        <v>615</v>
      </c>
      <c r="J12" s="120"/>
      <c r="K12" s="121" t="str">
        <f t="shared" si="0"/>
        <v>BOURNE</v>
      </c>
      <c r="L12" s="121" t="str">
        <f t="shared" si="1"/>
        <v/>
      </c>
      <c r="M12" s="121">
        <f t="shared" si="11"/>
        <v>22626</v>
      </c>
      <c r="N12" s="121" t="str">
        <f t="shared" si="2"/>
        <v/>
      </c>
      <c r="O12" s="121" t="str">
        <f t="shared" si="3"/>
        <v>242599915</v>
      </c>
      <c r="P12" s="121" t="str">
        <f t="shared" si="4"/>
        <v/>
      </c>
      <c r="Q12" s="120" t="s">
        <v>1030</v>
      </c>
      <c r="R12" s="120" t="s">
        <v>1031</v>
      </c>
      <c r="S12" s="120" t="s">
        <v>1017</v>
      </c>
      <c r="T12" s="120" t="s">
        <v>1018</v>
      </c>
      <c r="U12" s="120" t="s">
        <v>1019</v>
      </c>
      <c r="V12" s="120" t="s">
        <v>1020</v>
      </c>
      <c r="W12" s="122" t="str">
        <f t="shared" si="5"/>
        <v>PPAddIban16@mailinator.com</v>
      </c>
      <c r="X12" s="120" t="str">
        <f t="shared" si="6"/>
        <v/>
      </c>
      <c r="Y12" s="121" t="str">
        <f t="shared" si="7"/>
        <v>Dummy!2022</v>
      </c>
      <c r="Z12" s="121" t="str">
        <f t="shared" si="8"/>
        <v>020-8055516</v>
      </c>
      <c r="AA12" s="120"/>
      <c r="AB12" s="120" t="s">
        <v>986</v>
      </c>
      <c r="AQ12" s="119" t="str">
        <f t="shared" si="9"/>
        <v>PPAddIban16@mailinator.com</v>
      </c>
      <c r="AR12" s="119" t="str">
        <f t="shared" si="10"/>
        <v/>
      </c>
    </row>
    <row r="13" spans="1:52" ht="41.4" x14ac:dyDescent="0.3">
      <c r="A13" s="120" t="s">
        <v>616</v>
      </c>
      <c r="B13" s="120" t="s">
        <v>980</v>
      </c>
      <c r="C13" s="120" t="s">
        <v>981</v>
      </c>
      <c r="D13" s="120" t="s">
        <v>982</v>
      </c>
      <c r="E13" s="120" t="s">
        <v>987</v>
      </c>
      <c r="F13" s="120"/>
      <c r="G13" s="120" t="s">
        <v>998</v>
      </c>
      <c r="H13" s="120" t="s">
        <v>985</v>
      </c>
      <c r="I13" s="120"/>
      <c r="J13" s="120"/>
      <c r="K13" s="121" t="str">
        <f t="shared" si="0"/>
        <v>RIGNALL</v>
      </c>
      <c r="L13" s="121" t="str">
        <f t="shared" si="1"/>
        <v/>
      </c>
      <c r="M13" s="121">
        <f t="shared" si="11"/>
        <v>19209</v>
      </c>
      <c r="N13" s="121" t="str">
        <f t="shared" si="2"/>
        <v/>
      </c>
      <c r="O13" s="121" t="str">
        <f t="shared" si="3"/>
        <v>242600948</v>
      </c>
      <c r="P13" s="121" t="str">
        <f t="shared" si="4"/>
        <v/>
      </c>
      <c r="Q13" s="120"/>
      <c r="R13" s="120"/>
      <c r="S13" s="120"/>
      <c r="T13" s="120"/>
      <c r="U13" s="120"/>
      <c r="V13" s="120"/>
      <c r="W13" s="122" t="str">
        <f t="shared" si="5"/>
        <v>PPAddIban6@mailinator.com</v>
      </c>
      <c r="X13" s="120" t="str">
        <f t="shared" si="6"/>
        <v/>
      </c>
      <c r="Y13" s="121" t="str">
        <f t="shared" si="7"/>
        <v>Dummy!2022</v>
      </c>
      <c r="Z13" s="121" t="str">
        <f t="shared" si="8"/>
        <v>020-8055556</v>
      </c>
      <c r="AA13" s="120" t="s">
        <v>1036</v>
      </c>
      <c r="AB13" s="120" t="s">
        <v>986</v>
      </c>
      <c r="AQ13" s="119" t="str">
        <f t="shared" si="9"/>
        <v>PPAddIban6@mailinator.com</v>
      </c>
      <c r="AR13" s="119" t="str">
        <f t="shared" si="10"/>
        <v/>
      </c>
    </row>
    <row r="14" spans="1:52" ht="41.4" x14ac:dyDescent="0.3">
      <c r="A14" s="120" t="s">
        <v>774</v>
      </c>
      <c r="B14" s="120" t="s">
        <v>992</v>
      </c>
      <c r="C14" s="120" t="s">
        <v>22</v>
      </c>
      <c r="D14" s="120" t="s">
        <v>982</v>
      </c>
      <c r="E14" s="120" t="s">
        <v>987</v>
      </c>
      <c r="F14" s="120"/>
      <c r="G14" s="120" t="s">
        <v>1006</v>
      </c>
      <c r="H14" s="120"/>
      <c r="I14" s="120"/>
      <c r="J14" s="120"/>
      <c r="K14" s="121" t="str">
        <f t="shared" si="0"/>
        <v>RIGNALL</v>
      </c>
      <c r="L14" s="121" t="str">
        <f t="shared" si="1"/>
        <v/>
      </c>
      <c r="M14" s="121">
        <f t="shared" si="11"/>
        <v>19209</v>
      </c>
      <c r="N14" s="121" t="str">
        <f t="shared" si="2"/>
        <v/>
      </c>
      <c r="O14" s="121" t="str">
        <f t="shared" si="3"/>
        <v>242600948</v>
      </c>
      <c r="P14" s="121" t="str">
        <f t="shared" si="4"/>
        <v/>
      </c>
      <c r="Q14" s="120"/>
      <c r="R14" s="120"/>
      <c r="S14" s="120"/>
      <c r="T14" s="120"/>
      <c r="U14" s="120"/>
      <c r="V14" s="120"/>
      <c r="W14" s="122" t="str">
        <f t="shared" si="5"/>
        <v>PPAddIban6@mailinator.com</v>
      </c>
      <c r="X14" s="120" t="str">
        <f t="shared" si="6"/>
        <v/>
      </c>
      <c r="Y14" s="121" t="str">
        <f t="shared" si="7"/>
        <v>Dummy!2022</v>
      </c>
      <c r="Z14" s="121" t="str">
        <f t="shared" si="8"/>
        <v>020-8055556</v>
      </c>
      <c r="AA14" s="120" t="s">
        <v>1037</v>
      </c>
      <c r="AB14" s="120" t="s">
        <v>986</v>
      </c>
      <c r="AQ14" s="119" t="str">
        <f t="shared" si="9"/>
        <v>PPAddIban6@mailinator.com</v>
      </c>
      <c r="AR14" s="119" t="str">
        <f t="shared" si="10"/>
        <v/>
      </c>
    </row>
    <row r="15" spans="1:52" ht="41.4" x14ac:dyDescent="0.3">
      <c r="A15" s="120" t="s">
        <v>1038</v>
      </c>
      <c r="B15" s="120" t="s">
        <v>615</v>
      </c>
      <c r="C15" s="120" t="s">
        <v>997</v>
      </c>
      <c r="D15" s="120" t="s">
        <v>982</v>
      </c>
      <c r="E15" s="120" t="s">
        <v>987</v>
      </c>
      <c r="F15" s="120"/>
      <c r="G15" s="120" t="s">
        <v>1012</v>
      </c>
      <c r="H15" s="120" t="s">
        <v>999</v>
      </c>
      <c r="I15" s="120"/>
      <c r="J15" s="120"/>
      <c r="K15" s="121" t="str">
        <f t="shared" si="0"/>
        <v>RIGNALL</v>
      </c>
      <c r="L15" s="121" t="str">
        <f t="shared" si="1"/>
        <v/>
      </c>
      <c r="M15" s="121">
        <f t="shared" si="11"/>
        <v>19209</v>
      </c>
      <c r="N15" s="121" t="str">
        <f t="shared" si="2"/>
        <v/>
      </c>
      <c r="O15" s="121" t="str">
        <f t="shared" si="3"/>
        <v>242600948</v>
      </c>
      <c r="P15" s="121" t="str">
        <f t="shared" si="4"/>
        <v/>
      </c>
      <c r="Q15" s="120"/>
      <c r="R15" s="120"/>
      <c r="S15" s="120"/>
      <c r="T15" s="120"/>
      <c r="U15" s="120"/>
      <c r="V15" s="120"/>
      <c r="W15" s="122" t="str">
        <f t="shared" si="5"/>
        <v>PPAddIban6@mailinator.com</v>
      </c>
      <c r="X15" s="120" t="str">
        <f t="shared" si="6"/>
        <v/>
      </c>
      <c r="Y15" s="121" t="str">
        <f t="shared" si="7"/>
        <v>Dummy!2022</v>
      </c>
      <c r="Z15" s="121" t="str">
        <f t="shared" si="8"/>
        <v>020-8055556</v>
      </c>
      <c r="AA15" s="120" t="s">
        <v>1039</v>
      </c>
      <c r="AB15" s="120" t="s">
        <v>986</v>
      </c>
      <c r="AQ15" s="119" t="str">
        <f t="shared" si="9"/>
        <v>PPAddIban6@mailinator.com</v>
      </c>
      <c r="AR15" s="119" t="str">
        <f t="shared" si="10"/>
        <v/>
      </c>
      <c r="AU15" s="123"/>
      <c r="AV15" s="124"/>
      <c r="AW15" s="125"/>
    </row>
    <row r="16" spans="1:52" ht="41.4" x14ac:dyDescent="0.3">
      <c r="A16" s="120" t="s">
        <v>1040</v>
      </c>
      <c r="B16" s="120" t="s">
        <v>615</v>
      </c>
      <c r="C16" s="120" t="s">
        <v>1005</v>
      </c>
      <c r="D16" s="120" t="s">
        <v>982</v>
      </c>
      <c r="E16" s="120" t="s">
        <v>987</v>
      </c>
      <c r="F16" s="120"/>
      <c r="G16" s="120" t="s">
        <v>1022</v>
      </c>
      <c r="H16" s="120" t="s">
        <v>1007</v>
      </c>
      <c r="I16" s="120"/>
      <c r="J16" s="120"/>
      <c r="K16" s="121" t="str">
        <f t="shared" si="0"/>
        <v>RIGNALL</v>
      </c>
      <c r="L16" s="121" t="str">
        <f t="shared" si="1"/>
        <v/>
      </c>
      <c r="M16" s="121">
        <f t="shared" si="11"/>
        <v>19209</v>
      </c>
      <c r="N16" s="121" t="str">
        <f t="shared" si="2"/>
        <v/>
      </c>
      <c r="O16" s="121" t="str">
        <f t="shared" si="3"/>
        <v>242600948</v>
      </c>
      <c r="P16" s="121" t="str">
        <f t="shared" si="4"/>
        <v/>
      </c>
      <c r="Q16" s="120"/>
      <c r="R16" s="120"/>
      <c r="S16" s="120"/>
      <c r="T16" s="120"/>
      <c r="U16" s="120"/>
      <c r="V16" s="120"/>
      <c r="W16" s="122" t="str">
        <f t="shared" si="5"/>
        <v>PPAddIban6@mailinator.com</v>
      </c>
      <c r="X16" s="120" t="str">
        <f t="shared" si="6"/>
        <v/>
      </c>
      <c r="Y16" s="121" t="str">
        <f t="shared" si="7"/>
        <v>Dummy!2022</v>
      </c>
      <c r="Z16" s="121" t="str">
        <f t="shared" si="8"/>
        <v>020-8055556</v>
      </c>
      <c r="AA16" s="120" t="s">
        <v>1041</v>
      </c>
      <c r="AB16" s="120" t="s">
        <v>986</v>
      </c>
      <c r="AQ16" s="119" t="str">
        <f t="shared" si="9"/>
        <v>PPAddIban6@mailinator.com</v>
      </c>
      <c r="AR16" s="119" t="str">
        <f t="shared" si="10"/>
        <v/>
      </c>
      <c r="AU16" s="123"/>
      <c r="AV16" s="124"/>
      <c r="AW16" s="125"/>
    </row>
    <row r="17" spans="1:44" ht="41.4" x14ac:dyDescent="0.3">
      <c r="A17" s="120" t="s">
        <v>1042</v>
      </c>
      <c r="B17" s="120" t="s">
        <v>615</v>
      </c>
      <c r="C17" s="120" t="s">
        <v>1011</v>
      </c>
      <c r="D17" s="120" t="s">
        <v>982</v>
      </c>
      <c r="E17" s="120" t="s">
        <v>987</v>
      </c>
      <c r="F17" s="120" t="s">
        <v>72</v>
      </c>
      <c r="G17" s="120" t="s">
        <v>1029</v>
      </c>
      <c r="H17" s="120"/>
      <c r="I17" s="120"/>
      <c r="J17" s="120" t="s">
        <v>1013</v>
      </c>
      <c r="K17" s="120" t="s">
        <v>1014</v>
      </c>
      <c r="L17" s="121" t="str">
        <f t="shared" si="1"/>
        <v/>
      </c>
      <c r="M17" s="121">
        <f t="shared" si="11"/>
        <v>19209</v>
      </c>
      <c r="N17" s="121" t="str">
        <f t="shared" si="2"/>
        <v/>
      </c>
      <c r="O17" s="121" t="str">
        <f t="shared" si="3"/>
        <v>242600948</v>
      </c>
      <c r="P17" s="121" t="str">
        <f t="shared" si="4"/>
        <v/>
      </c>
      <c r="Q17" s="120" t="s">
        <v>1015</v>
      </c>
      <c r="R17" s="120" t="s">
        <v>1016</v>
      </c>
      <c r="S17" s="120" t="s">
        <v>1017</v>
      </c>
      <c r="T17" s="120" t="s">
        <v>1018</v>
      </c>
      <c r="U17" s="120" t="s">
        <v>1019</v>
      </c>
      <c r="V17" s="120" t="s">
        <v>1020</v>
      </c>
      <c r="W17" s="122" t="str">
        <f t="shared" si="5"/>
        <v>PPAddIban6@mailinator.com</v>
      </c>
      <c r="X17" s="120" t="str">
        <f t="shared" si="6"/>
        <v/>
      </c>
      <c r="Y17" s="121" t="str">
        <f t="shared" si="7"/>
        <v>Dummy!2022</v>
      </c>
      <c r="Z17" s="121" t="str">
        <f t="shared" si="8"/>
        <v>020-8055556</v>
      </c>
      <c r="AA17" s="120" t="s">
        <v>1043</v>
      </c>
      <c r="AB17" s="120" t="s">
        <v>986</v>
      </c>
      <c r="AQ17" s="119" t="str">
        <f t="shared" si="9"/>
        <v>PPAddIban6@mailinator.com</v>
      </c>
      <c r="AR17" s="119" t="str">
        <f t="shared" si="10"/>
        <v/>
      </c>
    </row>
    <row r="18" spans="1:44" ht="41.4" x14ac:dyDescent="0.3">
      <c r="A18" s="120" t="s">
        <v>1044</v>
      </c>
      <c r="B18" s="120" t="s">
        <v>615</v>
      </c>
      <c r="C18" s="120" t="s">
        <v>1021</v>
      </c>
      <c r="D18" s="120" t="s">
        <v>982</v>
      </c>
      <c r="E18" s="120" t="s">
        <v>987</v>
      </c>
      <c r="F18" s="120" t="s">
        <v>72</v>
      </c>
      <c r="G18" s="120" t="s">
        <v>1033</v>
      </c>
      <c r="H18" s="120" t="s">
        <v>985</v>
      </c>
      <c r="I18" s="120"/>
      <c r="J18" s="120"/>
      <c r="K18" s="121" t="str">
        <f t="shared" si="0"/>
        <v>RIGNALL</v>
      </c>
      <c r="L18" s="121" t="str">
        <f t="shared" si="1"/>
        <v/>
      </c>
      <c r="M18" s="121">
        <f t="shared" si="11"/>
        <v>19209</v>
      </c>
      <c r="N18" s="121" t="str">
        <f t="shared" si="2"/>
        <v/>
      </c>
      <c r="O18" s="121" t="str">
        <f t="shared" si="3"/>
        <v>242600948</v>
      </c>
      <c r="P18" s="121" t="str">
        <f t="shared" si="4"/>
        <v/>
      </c>
      <c r="Q18" s="120" t="s">
        <v>1015</v>
      </c>
      <c r="R18" s="120" t="s">
        <v>1016</v>
      </c>
      <c r="S18" s="120" t="s">
        <v>1017</v>
      </c>
      <c r="T18" s="120" t="s">
        <v>1018</v>
      </c>
      <c r="U18" s="120" t="s">
        <v>1019</v>
      </c>
      <c r="V18" s="120"/>
      <c r="W18" s="122" t="str">
        <f t="shared" si="5"/>
        <v>PPAddIban6@mailinator.com</v>
      </c>
      <c r="X18" s="120" t="str">
        <f t="shared" si="6"/>
        <v/>
      </c>
      <c r="Y18" s="121" t="str">
        <f t="shared" si="7"/>
        <v>Dummy!2022</v>
      </c>
      <c r="Z18" s="121" t="str">
        <f t="shared" si="8"/>
        <v>020-8055556</v>
      </c>
      <c r="AA18" s="120" t="s">
        <v>1045</v>
      </c>
      <c r="AB18" s="120" t="s">
        <v>986</v>
      </c>
      <c r="AQ18" s="119" t="str">
        <f t="shared" si="9"/>
        <v>PPAddIban6@mailinator.com</v>
      </c>
      <c r="AR18" s="119" t="str">
        <f t="shared" si="10"/>
        <v/>
      </c>
    </row>
    <row r="19" spans="1:44" ht="27.6" x14ac:dyDescent="0.3">
      <c r="A19" s="120" t="s">
        <v>1046</v>
      </c>
      <c r="B19" s="120" t="s">
        <v>615</v>
      </c>
      <c r="C19" s="120" t="s">
        <v>1028</v>
      </c>
      <c r="D19" s="120" t="s">
        <v>982</v>
      </c>
      <c r="E19" s="120" t="s">
        <v>987</v>
      </c>
      <c r="F19" s="120" t="s">
        <v>31</v>
      </c>
      <c r="G19" s="120" t="s">
        <v>985</v>
      </c>
      <c r="H19" s="120"/>
      <c r="I19" s="120"/>
      <c r="J19" s="120"/>
      <c r="K19" s="121" t="str">
        <f t="shared" si="0"/>
        <v>RIGNALL</v>
      </c>
      <c r="L19" s="121" t="str">
        <f t="shared" si="1"/>
        <v/>
      </c>
      <c r="M19" s="121">
        <f t="shared" si="11"/>
        <v>19209</v>
      </c>
      <c r="N19" s="121" t="str">
        <f t="shared" si="2"/>
        <v/>
      </c>
      <c r="O19" s="121" t="str">
        <f t="shared" si="3"/>
        <v>242600948</v>
      </c>
      <c r="P19" s="121" t="str">
        <f t="shared" si="4"/>
        <v/>
      </c>
      <c r="Q19" s="120" t="s">
        <v>1015</v>
      </c>
      <c r="R19" s="120" t="s">
        <v>1016</v>
      </c>
      <c r="S19" s="120" t="s">
        <v>1047</v>
      </c>
      <c r="T19" s="120" t="s">
        <v>1018</v>
      </c>
      <c r="U19" s="120" t="s">
        <v>1019</v>
      </c>
      <c r="V19" s="120"/>
      <c r="W19" s="122" t="str">
        <f t="shared" si="5"/>
        <v>PPAddIban6@mailinator.com</v>
      </c>
      <c r="X19" s="120" t="str">
        <f t="shared" si="6"/>
        <v/>
      </c>
      <c r="Y19" s="121" t="str">
        <f t="shared" si="7"/>
        <v>Dummy!2022</v>
      </c>
      <c r="Z19" s="121" t="str">
        <f t="shared" si="8"/>
        <v>020-8055556</v>
      </c>
      <c r="AA19" s="120" t="s">
        <v>1048</v>
      </c>
      <c r="AB19" s="120" t="s">
        <v>986</v>
      </c>
      <c r="AQ19" s="119" t="str">
        <f t="shared" si="9"/>
        <v>PPAddIban6@mailinator.com</v>
      </c>
      <c r="AR19" s="119" t="str">
        <f t="shared" si="10"/>
        <v/>
      </c>
    </row>
    <row r="20" spans="1:44" ht="27.6" x14ac:dyDescent="0.3">
      <c r="A20" s="120" t="s">
        <v>1049</v>
      </c>
      <c r="B20" s="120" t="s">
        <v>615</v>
      </c>
      <c r="C20" s="120" t="s">
        <v>1032</v>
      </c>
      <c r="D20" s="120" t="s">
        <v>982</v>
      </c>
      <c r="E20" s="120" t="s">
        <v>987</v>
      </c>
      <c r="F20" s="120" t="s">
        <v>31</v>
      </c>
      <c r="G20" s="120" t="s">
        <v>984</v>
      </c>
      <c r="H20" s="120" t="s">
        <v>1007</v>
      </c>
      <c r="I20" s="120"/>
      <c r="J20" s="120"/>
      <c r="K20" s="121" t="str">
        <f t="shared" si="0"/>
        <v>RIGNALL</v>
      </c>
      <c r="L20" s="121" t="str">
        <f t="shared" si="1"/>
        <v/>
      </c>
      <c r="M20" s="121">
        <f t="shared" si="11"/>
        <v>19209</v>
      </c>
      <c r="N20" s="121" t="str">
        <f t="shared" si="2"/>
        <v/>
      </c>
      <c r="O20" s="121" t="str">
        <f t="shared" si="3"/>
        <v>242600948</v>
      </c>
      <c r="P20" s="121" t="str">
        <f t="shared" si="4"/>
        <v/>
      </c>
      <c r="Q20" s="120" t="s">
        <v>1015</v>
      </c>
      <c r="R20" s="120" t="s">
        <v>1016</v>
      </c>
      <c r="S20" s="120" t="s">
        <v>1050</v>
      </c>
      <c r="T20" s="120" t="s">
        <v>1018</v>
      </c>
      <c r="U20" s="120" t="s">
        <v>1019</v>
      </c>
      <c r="V20" s="120"/>
      <c r="W20" s="122" t="str">
        <f t="shared" si="5"/>
        <v>PPAddIban6@mailinator.com</v>
      </c>
      <c r="X20" s="120" t="str">
        <f t="shared" si="6"/>
        <v/>
      </c>
      <c r="Y20" s="121" t="str">
        <f t="shared" si="7"/>
        <v>Dummy!2022</v>
      </c>
      <c r="Z20" s="121" t="str">
        <f t="shared" si="8"/>
        <v>020-8055556</v>
      </c>
      <c r="AA20" s="120" t="s">
        <v>1051</v>
      </c>
      <c r="AB20" s="120" t="s">
        <v>986</v>
      </c>
      <c r="AQ20" s="119" t="str">
        <f t="shared" si="9"/>
        <v>PPAddIban6@mailinator.com</v>
      </c>
      <c r="AR20" s="119" t="str">
        <f t="shared" si="10"/>
        <v/>
      </c>
    </row>
    <row r="21" spans="1:44" ht="41.4" x14ac:dyDescent="0.3">
      <c r="A21" s="120" t="s">
        <v>1052</v>
      </c>
      <c r="B21" s="120" t="s">
        <v>615</v>
      </c>
      <c r="C21" s="120" t="s">
        <v>1011</v>
      </c>
      <c r="D21" s="120" t="s">
        <v>982</v>
      </c>
      <c r="E21" s="120" t="s">
        <v>987</v>
      </c>
      <c r="F21" s="120" t="s">
        <v>31</v>
      </c>
      <c r="G21" s="120" t="s">
        <v>1033</v>
      </c>
      <c r="H21" s="120"/>
      <c r="I21" s="120"/>
      <c r="J21" s="120" t="s">
        <v>1013</v>
      </c>
      <c r="K21" s="120" t="s">
        <v>1014</v>
      </c>
      <c r="L21" s="121" t="str">
        <f t="shared" si="1"/>
        <v/>
      </c>
      <c r="M21" s="121">
        <f t="shared" si="11"/>
        <v>19209</v>
      </c>
      <c r="N21" s="121" t="str">
        <f t="shared" si="2"/>
        <v/>
      </c>
      <c r="O21" s="121" t="str">
        <f t="shared" si="3"/>
        <v>242600948</v>
      </c>
      <c r="P21" s="121" t="str">
        <f t="shared" si="4"/>
        <v/>
      </c>
      <c r="Q21" s="120" t="s">
        <v>1015</v>
      </c>
      <c r="R21" s="120" t="s">
        <v>1016</v>
      </c>
      <c r="S21" s="120" t="s">
        <v>1017</v>
      </c>
      <c r="T21" s="120" t="s">
        <v>1018</v>
      </c>
      <c r="U21" s="120" t="s">
        <v>1019</v>
      </c>
      <c r="V21" s="120" t="s">
        <v>1020</v>
      </c>
      <c r="W21" s="122" t="str">
        <f t="shared" si="5"/>
        <v>PPAddIban6@mailinator.com</v>
      </c>
      <c r="X21" s="120" t="str">
        <f t="shared" si="6"/>
        <v/>
      </c>
      <c r="Y21" s="121" t="str">
        <f t="shared" si="7"/>
        <v>Dummy!2022</v>
      </c>
      <c r="Z21" s="121" t="str">
        <f t="shared" si="8"/>
        <v>020-8055556</v>
      </c>
      <c r="AA21" s="120" t="s">
        <v>1053</v>
      </c>
      <c r="AB21" s="120" t="s">
        <v>986</v>
      </c>
      <c r="AQ21" s="119" t="str">
        <f t="shared" si="9"/>
        <v>PPAddIban6@mailinator.com</v>
      </c>
      <c r="AR21" s="119" t="str">
        <f t="shared" si="10"/>
        <v/>
      </c>
    </row>
    <row r="22" spans="1:44" ht="41.4" x14ac:dyDescent="0.3">
      <c r="A22" s="120" t="s">
        <v>756</v>
      </c>
      <c r="B22" s="120" t="s">
        <v>615</v>
      </c>
      <c r="C22" s="120" t="s">
        <v>1021</v>
      </c>
      <c r="D22" s="120" t="s">
        <v>982</v>
      </c>
      <c r="E22" s="120" t="s">
        <v>987</v>
      </c>
      <c r="F22" s="120" t="s">
        <v>31</v>
      </c>
      <c r="G22" s="120" t="s">
        <v>998</v>
      </c>
      <c r="H22" s="120" t="s">
        <v>999</v>
      </c>
      <c r="I22" s="120"/>
      <c r="J22" s="120"/>
      <c r="K22" s="121" t="str">
        <f t="shared" si="0"/>
        <v>RIGNALL</v>
      </c>
      <c r="L22" s="121" t="str">
        <f t="shared" si="1"/>
        <v/>
      </c>
      <c r="M22" s="121">
        <f t="shared" si="11"/>
        <v>19209</v>
      </c>
      <c r="N22" s="121" t="str">
        <f t="shared" si="2"/>
        <v/>
      </c>
      <c r="O22" s="121" t="str">
        <f t="shared" si="3"/>
        <v>242600948</v>
      </c>
      <c r="P22" s="121" t="str">
        <f t="shared" si="4"/>
        <v/>
      </c>
      <c r="Q22" s="120" t="s">
        <v>1015</v>
      </c>
      <c r="R22" s="120" t="s">
        <v>1016</v>
      </c>
      <c r="S22" s="120" t="s">
        <v>1054</v>
      </c>
      <c r="T22" s="120" t="s">
        <v>1018</v>
      </c>
      <c r="U22" s="120" t="s">
        <v>1019</v>
      </c>
      <c r="V22" s="120"/>
      <c r="W22" s="122" t="str">
        <f t="shared" si="5"/>
        <v>PPAddIban6@mailinator.com</v>
      </c>
      <c r="X22" s="120" t="str">
        <f t="shared" si="6"/>
        <v/>
      </c>
      <c r="Y22" s="121" t="str">
        <f t="shared" si="7"/>
        <v>Dummy!2022</v>
      </c>
      <c r="Z22" s="121" t="str">
        <f t="shared" si="8"/>
        <v>020-8055556</v>
      </c>
      <c r="AA22" s="120" t="s">
        <v>1055</v>
      </c>
      <c r="AB22" s="120" t="s">
        <v>986</v>
      </c>
      <c r="AQ22" s="119" t="str">
        <f t="shared" si="9"/>
        <v>PPAddIban6@mailinator.com</v>
      </c>
      <c r="AR22" s="119" t="str">
        <f t="shared" si="10"/>
        <v/>
      </c>
    </row>
    <row r="23" spans="1:44" ht="27.6" x14ac:dyDescent="0.3">
      <c r="A23" s="120" t="s">
        <v>757</v>
      </c>
      <c r="B23" s="120" t="s">
        <v>615</v>
      </c>
      <c r="C23" s="120" t="s">
        <v>1028</v>
      </c>
      <c r="D23" s="120" t="s">
        <v>982</v>
      </c>
      <c r="E23" s="120" t="s">
        <v>987</v>
      </c>
      <c r="F23" s="120" t="s">
        <v>31</v>
      </c>
      <c r="G23" s="120" t="s">
        <v>1006</v>
      </c>
      <c r="H23" s="120"/>
      <c r="I23" s="120"/>
      <c r="J23" s="120"/>
      <c r="K23" s="121" t="str">
        <f t="shared" si="0"/>
        <v>RIGNALL</v>
      </c>
      <c r="L23" s="121" t="str">
        <f t="shared" si="1"/>
        <v/>
      </c>
      <c r="M23" s="121">
        <f t="shared" si="11"/>
        <v>19209</v>
      </c>
      <c r="N23" s="121" t="str">
        <f t="shared" si="2"/>
        <v/>
      </c>
      <c r="O23" s="121" t="str">
        <f t="shared" si="3"/>
        <v>242600948</v>
      </c>
      <c r="P23" s="121" t="str">
        <f t="shared" si="4"/>
        <v/>
      </c>
      <c r="Q23" s="120" t="s">
        <v>1015</v>
      </c>
      <c r="R23" s="120" t="s">
        <v>1016</v>
      </c>
      <c r="S23" s="120" t="s">
        <v>1056</v>
      </c>
      <c r="T23" s="120" t="s">
        <v>1018</v>
      </c>
      <c r="U23" s="120" t="s">
        <v>1019</v>
      </c>
      <c r="V23" s="120"/>
      <c r="W23" s="122" t="str">
        <f t="shared" si="5"/>
        <v>PPAddIban6@mailinator.com</v>
      </c>
      <c r="X23" s="120" t="str">
        <f t="shared" si="6"/>
        <v/>
      </c>
      <c r="Y23" s="121" t="str">
        <f t="shared" si="7"/>
        <v>Dummy!2022</v>
      </c>
      <c r="Z23" s="121" t="str">
        <f t="shared" si="8"/>
        <v>020-8055556</v>
      </c>
      <c r="AA23" s="120" t="s">
        <v>1057</v>
      </c>
      <c r="AB23" s="120" t="s">
        <v>986</v>
      </c>
      <c r="AQ23" s="119" t="str">
        <f t="shared" si="9"/>
        <v>PPAddIban6@mailinator.com</v>
      </c>
      <c r="AR23" s="119" t="str">
        <f t="shared" si="10"/>
        <v/>
      </c>
    </row>
    <row r="24" spans="1:44" ht="27.6" x14ac:dyDescent="0.3">
      <c r="A24" s="120" t="s">
        <v>758</v>
      </c>
      <c r="B24" s="120" t="s">
        <v>980</v>
      </c>
      <c r="C24" s="120" t="s">
        <v>981</v>
      </c>
      <c r="D24" s="120" t="s">
        <v>1058</v>
      </c>
      <c r="E24" s="120" t="s">
        <v>983</v>
      </c>
      <c r="F24" s="120" t="s">
        <v>615</v>
      </c>
      <c r="G24" s="120" t="s">
        <v>1012</v>
      </c>
      <c r="H24" s="120" t="s">
        <v>985</v>
      </c>
      <c r="I24" s="120">
        <v>100</v>
      </c>
      <c r="J24" s="120" t="s">
        <v>615</v>
      </c>
      <c r="K24" s="121" t="str">
        <f t="shared" si="0"/>
        <v>BOURNE</v>
      </c>
      <c r="L24" s="121" t="str">
        <f t="shared" si="1"/>
        <v/>
      </c>
      <c r="M24" s="121">
        <f t="shared" si="11"/>
        <v>22626</v>
      </c>
      <c r="N24" s="121" t="str">
        <f t="shared" si="2"/>
        <v/>
      </c>
      <c r="O24" s="121" t="str">
        <f t="shared" si="3"/>
        <v>242599915</v>
      </c>
      <c r="P24" s="121" t="str">
        <f t="shared" si="4"/>
        <v/>
      </c>
      <c r="Q24" s="120" t="s">
        <v>615</v>
      </c>
      <c r="R24" s="120" t="s">
        <v>615</v>
      </c>
      <c r="S24" s="120" t="s">
        <v>615</v>
      </c>
      <c r="T24" s="120" t="s">
        <v>615</v>
      </c>
      <c r="U24" s="120" t="s">
        <v>615</v>
      </c>
      <c r="V24" s="120" t="s">
        <v>615</v>
      </c>
      <c r="W24" s="122" t="str">
        <f t="shared" si="5"/>
        <v>PPAddIban16@mailinator.com</v>
      </c>
      <c r="X24" s="120" t="str">
        <f t="shared" si="6"/>
        <v/>
      </c>
      <c r="Y24" s="121" t="str">
        <f t="shared" si="7"/>
        <v>Dummy!2022</v>
      </c>
      <c r="Z24" s="121" t="str">
        <f t="shared" si="8"/>
        <v>020-8055516</v>
      </c>
      <c r="AA24" s="120"/>
      <c r="AB24" s="120" t="s">
        <v>986</v>
      </c>
      <c r="AQ24" s="119" t="str">
        <f t="shared" si="9"/>
        <v>PPAddIban16@mailinator.com</v>
      </c>
      <c r="AR24" s="119" t="str">
        <f t="shared" si="10"/>
        <v/>
      </c>
    </row>
    <row r="25" spans="1:44" ht="27.6" x14ac:dyDescent="0.3">
      <c r="A25" s="120" t="s">
        <v>744</v>
      </c>
      <c r="B25" s="120" t="s">
        <v>992</v>
      </c>
      <c r="C25" s="120" t="s">
        <v>22</v>
      </c>
      <c r="D25" s="120" t="s">
        <v>1058</v>
      </c>
      <c r="E25" s="120" t="s">
        <v>983</v>
      </c>
      <c r="F25" s="120" t="s">
        <v>615</v>
      </c>
      <c r="G25" s="120" t="s">
        <v>1022</v>
      </c>
      <c r="H25" s="120"/>
      <c r="I25" s="120" t="s">
        <v>53</v>
      </c>
      <c r="J25" s="120" t="s">
        <v>615</v>
      </c>
      <c r="K25" s="121" t="str">
        <f t="shared" si="0"/>
        <v>BOURNE</v>
      </c>
      <c r="L25" s="121" t="str">
        <f t="shared" si="1"/>
        <v/>
      </c>
      <c r="M25" s="121">
        <f t="shared" si="11"/>
        <v>22626</v>
      </c>
      <c r="N25" s="121" t="str">
        <f t="shared" si="2"/>
        <v/>
      </c>
      <c r="O25" s="121" t="str">
        <f t="shared" si="3"/>
        <v>242599915</v>
      </c>
      <c r="P25" s="121" t="str">
        <f t="shared" si="4"/>
        <v/>
      </c>
      <c r="Q25" s="120" t="s">
        <v>615</v>
      </c>
      <c r="R25" s="120" t="s">
        <v>615</v>
      </c>
      <c r="S25" s="120" t="s">
        <v>615</v>
      </c>
      <c r="T25" s="120" t="s">
        <v>615</v>
      </c>
      <c r="U25" s="120" t="s">
        <v>615</v>
      </c>
      <c r="V25" s="120" t="s">
        <v>615</v>
      </c>
      <c r="W25" s="122" t="str">
        <f t="shared" si="5"/>
        <v>PPAddIban16@mailinator.com</v>
      </c>
      <c r="X25" s="120" t="str">
        <f t="shared" si="6"/>
        <v/>
      </c>
      <c r="Y25" s="121" t="str">
        <f t="shared" si="7"/>
        <v>Dummy!2022</v>
      </c>
      <c r="Z25" s="121" t="str">
        <f t="shared" si="8"/>
        <v>020-8055516</v>
      </c>
      <c r="AA25" s="120"/>
      <c r="AB25" s="120" t="s">
        <v>986</v>
      </c>
      <c r="AQ25" s="119" t="str">
        <f t="shared" si="9"/>
        <v>PPAddIban16@mailinator.com</v>
      </c>
      <c r="AR25" s="119" t="str">
        <f t="shared" si="10"/>
        <v/>
      </c>
    </row>
    <row r="26" spans="1:44" ht="27.6" x14ac:dyDescent="0.3">
      <c r="A26" s="120" t="s">
        <v>759</v>
      </c>
      <c r="B26" s="120" t="s">
        <v>615</v>
      </c>
      <c r="C26" s="120" t="s">
        <v>997</v>
      </c>
      <c r="D26" s="120" t="s">
        <v>1058</v>
      </c>
      <c r="E26" s="120" t="s">
        <v>983</v>
      </c>
      <c r="F26" s="120" t="s">
        <v>615</v>
      </c>
      <c r="G26" s="120" t="s">
        <v>1029</v>
      </c>
      <c r="H26" s="120" t="s">
        <v>999</v>
      </c>
      <c r="I26" s="120" t="s">
        <v>1000</v>
      </c>
      <c r="J26" s="120" t="s">
        <v>615</v>
      </c>
      <c r="K26" s="121" t="str">
        <f t="shared" si="0"/>
        <v>BOURNE</v>
      </c>
      <c r="L26" s="121" t="str">
        <f t="shared" si="1"/>
        <v/>
      </c>
      <c r="M26" s="121">
        <f t="shared" si="11"/>
        <v>22626</v>
      </c>
      <c r="N26" s="121" t="str">
        <f t="shared" si="2"/>
        <v/>
      </c>
      <c r="O26" s="121" t="str">
        <f t="shared" si="3"/>
        <v>242599915</v>
      </c>
      <c r="P26" s="121" t="str">
        <f t="shared" si="4"/>
        <v/>
      </c>
      <c r="Q26" s="120" t="s">
        <v>615</v>
      </c>
      <c r="R26" s="120" t="s">
        <v>615</v>
      </c>
      <c r="S26" s="120" t="s">
        <v>615</v>
      </c>
      <c r="T26" s="120" t="s">
        <v>615</v>
      </c>
      <c r="U26" s="120" t="s">
        <v>615</v>
      </c>
      <c r="V26" s="120" t="s">
        <v>615</v>
      </c>
      <c r="W26" s="122" t="str">
        <f t="shared" si="5"/>
        <v>PPAddIban16@mailinator.com</v>
      </c>
      <c r="X26" s="120" t="str">
        <f t="shared" si="6"/>
        <v/>
      </c>
      <c r="Y26" s="121" t="str">
        <f t="shared" si="7"/>
        <v>Dummy!2022</v>
      </c>
      <c r="Z26" s="121" t="str">
        <f t="shared" si="8"/>
        <v>020-8055516</v>
      </c>
      <c r="AA26" s="120"/>
      <c r="AB26" s="120" t="s">
        <v>986</v>
      </c>
      <c r="AQ26" s="119" t="str">
        <f t="shared" si="9"/>
        <v>PPAddIban16@mailinator.com</v>
      </c>
      <c r="AR26" s="119" t="str">
        <f t="shared" si="10"/>
        <v/>
      </c>
    </row>
    <row r="27" spans="1:44" ht="27.6" x14ac:dyDescent="0.3">
      <c r="A27" s="120" t="s">
        <v>760</v>
      </c>
      <c r="B27" s="120" t="s">
        <v>615</v>
      </c>
      <c r="C27" s="120" t="s">
        <v>1005</v>
      </c>
      <c r="D27" s="120" t="s">
        <v>1058</v>
      </c>
      <c r="E27" s="120" t="s">
        <v>983</v>
      </c>
      <c r="F27" s="120" t="s">
        <v>615</v>
      </c>
      <c r="G27" s="120" t="s">
        <v>1033</v>
      </c>
      <c r="H27" s="120" t="s">
        <v>1007</v>
      </c>
      <c r="I27" s="120" t="s">
        <v>1008</v>
      </c>
      <c r="J27" s="120" t="s">
        <v>615</v>
      </c>
      <c r="K27" s="121" t="str">
        <f t="shared" si="0"/>
        <v>BOURNE</v>
      </c>
      <c r="L27" s="121" t="str">
        <f t="shared" si="1"/>
        <v/>
      </c>
      <c r="M27" s="121">
        <f t="shared" si="11"/>
        <v>22626</v>
      </c>
      <c r="N27" s="121" t="str">
        <f t="shared" si="2"/>
        <v/>
      </c>
      <c r="O27" s="121" t="str">
        <f t="shared" si="3"/>
        <v>242599915</v>
      </c>
      <c r="P27" s="121" t="str">
        <f t="shared" si="4"/>
        <v/>
      </c>
      <c r="Q27" s="120" t="s">
        <v>615</v>
      </c>
      <c r="R27" s="120" t="s">
        <v>615</v>
      </c>
      <c r="S27" s="120" t="s">
        <v>615</v>
      </c>
      <c r="T27" s="120" t="s">
        <v>615</v>
      </c>
      <c r="U27" s="120" t="s">
        <v>615</v>
      </c>
      <c r="V27" s="120" t="s">
        <v>615</v>
      </c>
      <c r="W27" s="122" t="str">
        <f t="shared" si="5"/>
        <v>PPAddIban16@mailinator.com</v>
      </c>
      <c r="X27" s="120" t="str">
        <f t="shared" si="6"/>
        <v/>
      </c>
      <c r="Y27" s="121" t="str">
        <f t="shared" si="7"/>
        <v>Dummy!2022</v>
      </c>
      <c r="Z27" s="121" t="str">
        <f t="shared" si="8"/>
        <v>020-8055516</v>
      </c>
      <c r="AA27" s="120"/>
      <c r="AB27" s="120" t="s">
        <v>986</v>
      </c>
      <c r="AQ27" s="119" t="str">
        <f t="shared" si="9"/>
        <v>PPAddIban16@mailinator.com</v>
      </c>
      <c r="AR27" s="119" t="str">
        <f t="shared" si="10"/>
        <v/>
      </c>
    </row>
    <row r="28" spans="1:44" ht="41.4" x14ac:dyDescent="0.3">
      <c r="A28" s="120" t="s">
        <v>761</v>
      </c>
      <c r="B28" s="120" t="s">
        <v>615</v>
      </c>
      <c r="C28" s="120" t="s">
        <v>1011</v>
      </c>
      <c r="D28" s="120" t="s">
        <v>1058</v>
      </c>
      <c r="E28" s="120" t="s">
        <v>983</v>
      </c>
      <c r="F28" s="120" t="s">
        <v>72</v>
      </c>
      <c r="G28" s="120" t="s">
        <v>985</v>
      </c>
      <c r="H28" s="120"/>
      <c r="I28" s="120" t="s">
        <v>615</v>
      </c>
      <c r="J28" s="120" t="s">
        <v>1013</v>
      </c>
      <c r="K28" s="120" t="s">
        <v>1014</v>
      </c>
      <c r="L28" s="121" t="str">
        <f t="shared" si="1"/>
        <v/>
      </c>
      <c r="M28" s="121">
        <f t="shared" si="11"/>
        <v>22626</v>
      </c>
      <c r="N28" s="121" t="str">
        <f t="shared" si="2"/>
        <v/>
      </c>
      <c r="O28" s="121" t="str">
        <f t="shared" si="3"/>
        <v>242599915</v>
      </c>
      <c r="P28" s="121" t="str">
        <f t="shared" si="4"/>
        <v/>
      </c>
      <c r="Q28" s="120" t="s">
        <v>1015</v>
      </c>
      <c r="R28" s="120" t="s">
        <v>1016</v>
      </c>
      <c r="S28" s="120" t="s">
        <v>1017</v>
      </c>
      <c r="T28" s="120" t="s">
        <v>1018</v>
      </c>
      <c r="U28" s="120" t="s">
        <v>1019</v>
      </c>
      <c r="V28" s="120" t="s">
        <v>1020</v>
      </c>
      <c r="W28" s="122" t="str">
        <f t="shared" si="5"/>
        <v>PPAddIban16@mailinator.com</v>
      </c>
      <c r="X28" s="120" t="str">
        <f t="shared" si="6"/>
        <v/>
      </c>
      <c r="Y28" s="121" t="str">
        <f t="shared" si="7"/>
        <v>Dummy!2022</v>
      </c>
      <c r="Z28" s="121" t="str">
        <f t="shared" si="8"/>
        <v>020-8055516</v>
      </c>
      <c r="AA28" s="120"/>
      <c r="AB28" s="120" t="s">
        <v>986</v>
      </c>
      <c r="AQ28" s="119" t="str">
        <f t="shared" si="9"/>
        <v>PPAddIban16@mailinator.com</v>
      </c>
      <c r="AR28" s="119" t="str">
        <f t="shared" si="10"/>
        <v/>
      </c>
    </row>
    <row r="29" spans="1:44" ht="41.4" x14ac:dyDescent="0.3">
      <c r="A29" s="120" t="s">
        <v>762</v>
      </c>
      <c r="B29" s="120" t="s">
        <v>615</v>
      </c>
      <c r="C29" s="120" t="s">
        <v>1021</v>
      </c>
      <c r="D29" s="120" t="s">
        <v>1058</v>
      </c>
      <c r="E29" s="120" t="s">
        <v>983</v>
      </c>
      <c r="F29" s="120" t="s">
        <v>615</v>
      </c>
      <c r="G29" s="120" t="s">
        <v>984</v>
      </c>
      <c r="H29" s="120" t="s">
        <v>985</v>
      </c>
      <c r="I29" s="120" t="s">
        <v>615</v>
      </c>
      <c r="J29" s="120" t="s">
        <v>615</v>
      </c>
      <c r="K29" s="121" t="str">
        <f t="shared" si="0"/>
        <v>BOURNE</v>
      </c>
      <c r="L29" s="121" t="str">
        <f t="shared" si="1"/>
        <v/>
      </c>
      <c r="M29" s="121">
        <f t="shared" si="11"/>
        <v>22626</v>
      </c>
      <c r="N29" s="121" t="str">
        <f t="shared" si="2"/>
        <v/>
      </c>
      <c r="O29" s="121" t="str">
        <f t="shared" si="3"/>
        <v>242599915</v>
      </c>
      <c r="P29" s="121" t="str">
        <f t="shared" si="4"/>
        <v/>
      </c>
      <c r="Q29" s="120" t="s">
        <v>1023</v>
      </c>
      <c r="R29" s="120" t="s">
        <v>1024</v>
      </c>
      <c r="S29" s="120" t="s">
        <v>1025</v>
      </c>
      <c r="T29" s="120" t="s">
        <v>615</v>
      </c>
      <c r="U29" s="120" t="s">
        <v>615</v>
      </c>
      <c r="V29" s="120" t="s">
        <v>615</v>
      </c>
      <c r="W29" s="122" t="str">
        <f t="shared" si="5"/>
        <v>PPAddIban16@mailinator.com</v>
      </c>
      <c r="X29" s="120" t="str">
        <f t="shared" si="6"/>
        <v/>
      </c>
      <c r="Y29" s="121" t="str">
        <f t="shared" si="7"/>
        <v>Dummy!2022</v>
      </c>
      <c r="Z29" s="121" t="str">
        <f t="shared" si="8"/>
        <v>020-8055516</v>
      </c>
      <c r="AA29" s="120"/>
      <c r="AB29" s="120" t="s">
        <v>986</v>
      </c>
      <c r="AQ29" s="119" t="str">
        <f t="shared" si="9"/>
        <v>PPAddIban16@mailinator.com</v>
      </c>
      <c r="AR29" s="119" t="str">
        <f t="shared" si="10"/>
        <v/>
      </c>
    </row>
    <row r="30" spans="1:44" ht="41.4" x14ac:dyDescent="0.3">
      <c r="A30" s="120" t="s">
        <v>803</v>
      </c>
      <c r="B30" s="120" t="s">
        <v>615</v>
      </c>
      <c r="C30" s="120" t="s">
        <v>1028</v>
      </c>
      <c r="D30" s="120" t="s">
        <v>1058</v>
      </c>
      <c r="E30" s="120" t="s">
        <v>983</v>
      </c>
      <c r="F30" s="120" t="s">
        <v>72</v>
      </c>
      <c r="G30" s="120" t="s">
        <v>993</v>
      </c>
      <c r="H30" s="120"/>
      <c r="I30" s="120" t="s">
        <v>615</v>
      </c>
      <c r="J30" s="120"/>
      <c r="K30" s="121" t="str">
        <f t="shared" si="0"/>
        <v>BOURNE</v>
      </c>
      <c r="L30" s="121" t="str">
        <f t="shared" si="1"/>
        <v/>
      </c>
      <c r="M30" s="121">
        <f t="shared" si="11"/>
        <v>22626</v>
      </c>
      <c r="N30" s="121" t="str">
        <f t="shared" si="2"/>
        <v/>
      </c>
      <c r="O30" s="121" t="str">
        <f t="shared" si="3"/>
        <v>242599915</v>
      </c>
      <c r="P30" s="121" t="str">
        <f t="shared" si="4"/>
        <v/>
      </c>
      <c r="Q30" s="120" t="s">
        <v>1030</v>
      </c>
      <c r="R30" s="120" t="s">
        <v>1031</v>
      </c>
      <c r="S30" s="120" t="s">
        <v>1017</v>
      </c>
      <c r="T30" s="120" t="s">
        <v>1018</v>
      </c>
      <c r="U30" s="120" t="s">
        <v>1019</v>
      </c>
      <c r="V30" s="120" t="s">
        <v>1020</v>
      </c>
      <c r="W30" s="122" t="str">
        <f t="shared" si="5"/>
        <v>PPAddIban16@mailinator.com</v>
      </c>
      <c r="X30" s="120" t="str">
        <f t="shared" si="6"/>
        <v/>
      </c>
      <c r="Y30" s="121" t="str">
        <f t="shared" si="7"/>
        <v>Dummy!2022</v>
      </c>
      <c r="Z30" s="121" t="str">
        <f t="shared" si="8"/>
        <v>020-8055516</v>
      </c>
      <c r="AA30" s="120"/>
      <c r="AB30" s="120" t="s">
        <v>986</v>
      </c>
      <c r="AQ30" s="119" t="str">
        <f t="shared" si="9"/>
        <v>PPAddIban16@mailinator.com</v>
      </c>
      <c r="AR30" s="119" t="str">
        <f t="shared" si="10"/>
        <v/>
      </c>
    </row>
    <row r="31" spans="1:44" ht="41.4" x14ac:dyDescent="0.3">
      <c r="A31" s="120" t="s">
        <v>804</v>
      </c>
      <c r="B31" s="120" t="s">
        <v>615</v>
      </c>
      <c r="C31" s="120" t="s">
        <v>1032</v>
      </c>
      <c r="D31" s="120" t="s">
        <v>1058</v>
      </c>
      <c r="E31" s="120" t="s">
        <v>983</v>
      </c>
      <c r="F31" s="120" t="s">
        <v>31</v>
      </c>
      <c r="G31" s="120" t="s">
        <v>998</v>
      </c>
      <c r="H31" s="120" t="s">
        <v>1007</v>
      </c>
      <c r="I31" s="120" t="s">
        <v>1034</v>
      </c>
      <c r="J31" s="120" t="s">
        <v>615</v>
      </c>
      <c r="K31" s="121" t="str">
        <f t="shared" si="0"/>
        <v>BOURNE</v>
      </c>
      <c r="L31" s="121" t="str">
        <f t="shared" si="1"/>
        <v/>
      </c>
      <c r="M31" s="121">
        <f t="shared" si="11"/>
        <v>22626</v>
      </c>
      <c r="N31" s="121" t="str">
        <f t="shared" si="2"/>
        <v/>
      </c>
      <c r="O31" s="121" t="str">
        <f t="shared" si="3"/>
        <v>242599915</v>
      </c>
      <c r="P31" s="121" t="str">
        <f t="shared" si="4"/>
        <v/>
      </c>
      <c r="Q31" s="120" t="s">
        <v>1023</v>
      </c>
      <c r="R31" s="120" t="s">
        <v>1024</v>
      </c>
      <c r="S31" s="120" t="s">
        <v>1025</v>
      </c>
      <c r="T31" s="120" t="s">
        <v>1059</v>
      </c>
      <c r="U31" s="120" t="s">
        <v>1060</v>
      </c>
      <c r="V31" s="120" t="s">
        <v>615</v>
      </c>
      <c r="W31" s="122" t="str">
        <f t="shared" si="5"/>
        <v>PPAddIban16@mailinator.com</v>
      </c>
      <c r="X31" s="120" t="str">
        <f t="shared" si="6"/>
        <v/>
      </c>
      <c r="Y31" s="121" t="str">
        <f t="shared" si="7"/>
        <v>Dummy!2022</v>
      </c>
      <c r="Z31" s="121" t="str">
        <f t="shared" si="8"/>
        <v>020-8055516</v>
      </c>
      <c r="AA31" s="120"/>
      <c r="AB31" s="120" t="s">
        <v>986</v>
      </c>
      <c r="AQ31" s="119" t="str">
        <f t="shared" si="9"/>
        <v>PPAddIban16@mailinator.com</v>
      </c>
      <c r="AR31" s="119" t="str">
        <f t="shared" si="10"/>
        <v/>
      </c>
    </row>
    <row r="32" spans="1:44" ht="41.4" x14ac:dyDescent="0.3">
      <c r="A32" s="120" t="s">
        <v>734</v>
      </c>
      <c r="B32" s="120" t="s">
        <v>615</v>
      </c>
      <c r="C32" s="120" t="s">
        <v>1011</v>
      </c>
      <c r="D32" s="120" t="s">
        <v>1058</v>
      </c>
      <c r="E32" s="120" t="s">
        <v>983</v>
      </c>
      <c r="F32" s="120" t="s">
        <v>31</v>
      </c>
      <c r="G32" s="120" t="s">
        <v>1006</v>
      </c>
      <c r="H32" s="120"/>
      <c r="I32" s="120" t="s">
        <v>615</v>
      </c>
      <c r="J32" s="120" t="s">
        <v>1013</v>
      </c>
      <c r="K32" s="120" t="s">
        <v>1014</v>
      </c>
      <c r="L32" s="121" t="str">
        <f t="shared" si="1"/>
        <v/>
      </c>
      <c r="M32" s="121">
        <f t="shared" si="11"/>
        <v>22626</v>
      </c>
      <c r="N32" s="121" t="str">
        <f t="shared" si="2"/>
        <v/>
      </c>
      <c r="O32" s="121" t="str">
        <f t="shared" si="3"/>
        <v>242599915</v>
      </c>
      <c r="P32" s="121" t="str">
        <f t="shared" si="4"/>
        <v/>
      </c>
      <c r="Q32" s="120" t="s">
        <v>1015</v>
      </c>
      <c r="R32" s="120" t="s">
        <v>1016</v>
      </c>
      <c r="S32" s="120" t="s">
        <v>1017</v>
      </c>
      <c r="T32" s="120" t="s">
        <v>1018</v>
      </c>
      <c r="U32" s="120" t="s">
        <v>1019</v>
      </c>
      <c r="V32" s="120" t="s">
        <v>1020</v>
      </c>
      <c r="W32" s="122" t="str">
        <f t="shared" si="5"/>
        <v>PPAddIban16@mailinator.com</v>
      </c>
      <c r="X32" s="120" t="str">
        <f t="shared" si="6"/>
        <v/>
      </c>
      <c r="Y32" s="121" t="str">
        <f t="shared" si="7"/>
        <v>Dummy!2022</v>
      </c>
      <c r="Z32" s="121" t="str">
        <f t="shared" si="8"/>
        <v>020-8055516</v>
      </c>
      <c r="AA32" s="120"/>
      <c r="AB32" s="120" t="s">
        <v>986</v>
      </c>
      <c r="AQ32" s="119" t="str">
        <f t="shared" si="9"/>
        <v>PPAddIban16@mailinator.com</v>
      </c>
      <c r="AR32" s="119" t="str">
        <f t="shared" si="10"/>
        <v/>
      </c>
    </row>
    <row r="33" spans="1:44" ht="41.4" x14ac:dyDescent="0.3">
      <c r="A33" s="120" t="s">
        <v>735</v>
      </c>
      <c r="B33" s="120" t="s">
        <v>615</v>
      </c>
      <c r="C33" s="120" t="s">
        <v>1021</v>
      </c>
      <c r="D33" s="120" t="s">
        <v>1058</v>
      </c>
      <c r="E33" s="120" t="s">
        <v>983</v>
      </c>
      <c r="F33" s="120" t="s">
        <v>31</v>
      </c>
      <c r="G33" s="120" t="s">
        <v>1012</v>
      </c>
      <c r="H33" s="120" t="s">
        <v>999</v>
      </c>
      <c r="I33" s="120" t="s">
        <v>615</v>
      </c>
      <c r="J33" s="120" t="s">
        <v>615</v>
      </c>
      <c r="K33" s="121" t="str">
        <f t="shared" si="0"/>
        <v>BOURNE</v>
      </c>
      <c r="L33" s="121" t="str">
        <f t="shared" si="1"/>
        <v/>
      </c>
      <c r="M33" s="121">
        <f t="shared" si="11"/>
        <v>22626</v>
      </c>
      <c r="N33" s="121" t="str">
        <f t="shared" si="2"/>
        <v/>
      </c>
      <c r="O33" s="121" t="str">
        <f t="shared" si="3"/>
        <v>242599915</v>
      </c>
      <c r="P33" s="121" t="str">
        <f t="shared" si="4"/>
        <v/>
      </c>
      <c r="Q33" s="120" t="s">
        <v>1023</v>
      </c>
      <c r="R33" s="120" t="s">
        <v>1024</v>
      </c>
      <c r="S33" s="120" t="s">
        <v>1025</v>
      </c>
      <c r="T33" s="120" t="s">
        <v>1018</v>
      </c>
      <c r="U33" s="120" t="s">
        <v>1019</v>
      </c>
      <c r="V33" s="120" t="s">
        <v>615</v>
      </c>
      <c r="W33" s="122" t="str">
        <f t="shared" si="5"/>
        <v>PPAddIban16@mailinator.com</v>
      </c>
      <c r="X33" s="120" t="str">
        <f t="shared" si="6"/>
        <v/>
      </c>
      <c r="Y33" s="121" t="str">
        <f t="shared" si="7"/>
        <v>Dummy!2022</v>
      </c>
      <c r="Z33" s="121" t="str">
        <f t="shared" si="8"/>
        <v>020-8055516</v>
      </c>
      <c r="AA33" s="120"/>
      <c r="AB33" s="120" t="s">
        <v>986</v>
      </c>
      <c r="AQ33" s="119" t="str">
        <f t="shared" si="9"/>
        <v>PPAddIban16@mailinator.com</v>
      </c>
      <c r="AR33" s="119" t="str">
        <f t="shared" si="10"/>
        <v/>
      </c>
    </row>
    <row r="34" spans="1:44" ht="41.4" x14ac:dyDescent="0.3">
      <c r="A34" s="120" t="s">
        <v>736</v>
      </c>
      <c r="B34" s="120" t="s">
        <v>615</v>
      </c>
      <c r="C34" s="120" t="s">
        <v>1028</v>
      </c>
      <c r="D34" s="120" t="s">
        <v>1058</v>
      </c>
      <c r="E34" s="120" t="s">
        <v>983</v>
      </c>
      <c r="F34" s="120" t="s">
        <v>31</v>
      </c>
      <c r="G34" s="120" t="s">
        <v>1022</v>
      </c>
      <c r="H34" s="120"/>
      <c r="I34" s="120" t="s">
        <v>615</v>
      </c>
      <c r="J34" s="120"/>
      <c r="K34" s="121" t="str">
        <f t="shared" si="0"/>
        <v>BOURNE</v>
      </c>
      <c r="L34" s="121" t="str">
        <f t="shared" si="1"/>
        <v/>
      </c>
      <c r="M34" s="121">
        <f t="shared" si="11"/>
        <v>22626</v>
      </c>
      <c r="N34" s="121" t="str">
        <f t="shared" si="2"/>
        <v/>
      </c>
      <c r="O34" s="121" t="str">
        <f t="shared" si="3"/>
        <v>242599915</v>
      </c>
      <c r="P34" s="121" t="str">
        <f t="shared" si="4"/>
        <v/>
      </c>
      <c r="Q34" s="120" t="s">
        <v>1030</v>
      </c>
      <c r="R34" s="120" t="s">
        <v>1031</v>
      </c>
      <c r="S34" s="120" t="s">
        <v>1017</v>
      </c>
      <c r="T34" s="120" t="s">
        <v>1018</v>
      </c>
      <c r="U34" s="120" t="s">
        <v>1019</v>
      </c>
      <c r="V34" s="120" t="s">
        <v>1020</v>
      </c>
      <c r="W34" s="122" t="str">
        <f t="shared" si="5"/>
        <v>PPAddIban16@mailinator.com</v>
      </c>
      <c r="X34" s="120" t="str">
        <f t="shared" si="6"/>
        <v/>
      </c>
      <c r="Y34" s="121" t="str">
        <f t="shared" si="7"/>
        <v>Dummy!2022</v>
      </c>
      <c r="Z34" s="121" t="str">
        <f t="shared" si="8"/>
        <v>020-8055516</v>
      </c>
      <c r="AA34" s="120"/>
      <c r="AB34" s="120" t="s">
        <v>986</v>
      </c>
      <c r="AQ34" s="119" t="str">
        <f t="shared" si="9"/>
        <v>PPAddIban16@mailinator.com</v>
      </c>
      <c r="AR34" s="119" t="str">
        <f t="shared" si="10"/>
        <v/>
      </c>
    </row>
    <row r="35" spans="1:44" ht="27.6" x14ac:dyDescent="0.3">
      <c r="A35" s="120" t="s">
        <v>737</v>
      </c>
      <c r="B35" s="120" t="s">
        <v>980</v>
      </c>
      <c r="C35" s="120" t="s">
        <v>981</v>
      </c>
      <c r="D35" s="120" t="s">
        <v>1058</v>
      </c>
      <c r="E35" s="120" t="s">
        <v>987</v>
      </c>
      <c r="F35" s="120"/>
      <c r="G35" s="120" t="s">
        <v>1029</v>
      </c>
      <c r="H35" s="120" t="s">
        <v>985</v>
      </c>
      <c r="I35" s="120"/>
      <c r="J35" s="120"/>
      <c r="K35" s="121" t="str">
        <f t="shared" si="0"/>
        <v>RIGNALL</v>
      </c>
      <c r="L35" s="121" t="str">
        <f t="shared" si="1"/>
        <v/>
      </c>
      <c r="M35" s="121">
        <f t="shared" si="11"/>
        <v>19209</v>
      </c>
      <c r="N35" s="121" t="str">
        <f t="shared" si="2"/>
        <v/>
      </c>
      <c r="O35" s="121" t="str">
        <f t="shared" si="3"/>
        <v>242600948</v>
      </c>
      <c r="P35" s="121" t="str">
        <f t="shared" si="4"/>
        <v/>
      </c>
      <c r="Q35" s="120"/>
      <c r="R35" s="120"/>
      <c r="S35" s="120"/>
      <c r="T35" s="120"/>
      <c r="U35" s="120"/>
      <c r="V35" s="120"/>
      <c r="W35" s="122" t="str">
        <f t="shared" si="5"/>
        <v>PPAddIban6@mailinator.com</v>
      </c>
      <c r="X35" s="120" t="str">
        <f t="shared" si="6"/>
        <v/>
      </c>
      <c r="Y35" s="121" t="str">
        <f t="shared" si="7"/>
        <v>Dummy!2022</v>
      </c>
      <c r="Z35" s="121" t="str">
        <f t="shared" si="8"/>
        <v>020-8055556</v>
      </c>
      <c r="AA35" s="120" t="s">
        <v>1061</v>
      </c>
      <c r="AB35" s="120" t="s">
        <v>986</v>
      </c>
      <c r="AQ35" s="119" t="str">
        <f t="shared" si="9"/>
        <v>PPAddIban6@mailinator.com</v>
      </c>
      <c r="AR35" s="119" t="str">
        <f t="shared" si="10"/>
        <v/>
      </c>
    </row>
    <row r="36" spans="1:44" ht="27.6" x14ac:dyDescent="0.3">
      <c r="A36" s="120" t="s">
        <v>738</v>
      </c>
      <c r="B36" s="120" t="s">
        <v>992</v>
      </c>
      <c r="C36" s="120" t="s">
        <v>22</v>
      </c>
      <c r="D36" s="120" t="s">
        <v>1058</v>
      </c>
      <c r="E36" s="120" t="s">
        <v>987</v>
      </c>
      <c r="F36" s="120"/>
      <c r="G36" s="120" t="s">
        <v>1033</v>
      </c>
      <c r="H36" s="120"/>
      <c r="I36" s="120"/>
      <c r="J36" s="120"/>
      <c r="K36" s="121" t="str">
        <f t="shared" si="0"/>
        <v>RIGNALL</v>
      </c>
      <c r="L36" s="121" t="str">
        <f t="shared" si="1"/>
        <v/>
      </c>
      <c r="M36" s="121">
        <f t="shared" si="11"/>
        <v>19209</v>
      </c>
      <c r="N36" s="121" t="str">
        <f t="shared" si="2"/>
        <v/>
      </c>
      <c r="O36" s="121" t="str">
        <f t="shared" si="3"/>
        <v>242600948</v>
      </c>
      <c r="P36" s="121" t="str">
        <f t="shared" si="4"/>
        <v/>
      </c>
      <c r="Q36" s="120"/>
      <c r="R36" s="120"/>
      <c r="S36" s="120"/>
      <c r="T36" s="120"/>
      <c r="U36" s="120"/>
      <c r="V36" s="120"/>
      <c r="W36" s="122" t="str">
        <f t="shared" si="5"/>
        <v>PPAddIban6@mailinator.com</v>
      </c>
      <c r="X36" s="120" t="str">
        <f t="shared" si="6"/>
        <v/>
      </c>
      <c r="Y36" s="121" t="str">
        <f t="shared" si="7"/>
        <v>Dummy!2022</v>
      </c>
      <c r="Z36" s="121" t="str">
        <f t="shared" si="8"/>
        <v>020-8055556</v>
      </c>
      <c r="AA36" s="120" t="s">
        <v>1062</v>
      </c>
      <c r="AB36" s="120" t="s">
        <v>986</v>
      </c>
      <c r="AQ36" s="119" t="str">
        <f t="shared" si="9"/>
        <v>PPAddIban6@mailinator.com</v>
      </c>
      <c r="AR36" s="119" t="str">
        <f t="shared" si="10"/>
        <v/>
      </c>
    </row>
    <row r="37" spans="1:44" ht="27.6" x14ac:dyDescent="0.3">
      <c r="A37" s="120" t="s">
        <v>739</v>
      </c>
      <c r="B37" s="120" t="s">
        <v>615</v>
      </c>
      <c r="C37" s="120" t="s">
        <v>997</v>
      </c>
      <c r="D37" s="120" t="s">
        <v>1058</v>
      </c>
      <c r="E37" s="120" t="s">
        <v>987</v>
      </c>
      <c r="F37" s="120"/>
      <c r="G37" s="120" t="s">
        <v>985</v>
      </c>
      <c r="H37" s="120" t="s">
        <v>999</v>
      </c>
      <c r="I37" s="120"/>
      <c r="J37" s="120"/>
      <c r="K37" s="121" t="str">
        <f t="shared" si="0"/>
        <v>RIGNALL</v>
      </c>
      <c r="L37" s="121" t="str">
        <f t="shared" si="1"/>
        <v/>
      </c>
      <c r="M37" s="121">
        <f t="shared" si="11"/>
        <v>19209</v>
      </c>
      <c r="N37" s="121" t="str">
        <f t="shared" si="2"/>
        <v/>
      </c>
      <c r="O37" s="121" t="str">
        <f t="shared" si="3"/>
        <v>242600948</v>
      </c>
      <c r="P37" s="121" t="str">
        <f t="shared" si="4"/>
        <v/>
      </c>
      <c r="Q37" s="120"/>
      <c r="R37" s="120"/>
      <c r="S37" s="120"/>
      <c r="T37" s="120"/>
      <c r="U37" s="120"/>
      <c r="V37" s="120"/>
      <c r="W37" s="122" t="str">
        <f t="shared" si="5"/>
        <v>PPAddIban6@mailinator.com</v>
      </c>
      <c r="X37" s="120" t="str">
        <f t="shared" si="6"/>
        <v/>
      </c>
      <c r="Y37" s="121" t="str">
        <f t="shared" si="7"/>
        <v>Dummy!2022</v>
      </c>
      <c r="Z37" s="121" t="str">
        <f t="shared" si="8"/>
        <v>020-8055556</v>
      </c>
      <c r="AA37" s="120" t="s">
        <v>1063</v>
      </c>
      <c r="AB37" s="120" t="s">
        <v>986</v>
      </c>
      <c r="AQ37" s="119" t="str">
        <f t="shared" si="9"/>
        <v>PPAddIban6@mailinator.com</v>
      </c>
      <c r="AR37" s="119" t="str">
        <f t="shared" si="10"/>
        <v/>
      </c>
    </row>
    <row r="38" spans="1:44" ht="27.6" x14ac:dyDescent="0.3">
      <c r="A38" s="120" t="s">
        <v>732</v>
      </c>
      <c r="B38" s="120" t="s">
        <v>615</v>
      </c>
      <c r="C38" s="120" t="s">
        <v>1005</v>
      </c>
      <c r="D38" s="120" t="s">
        <v>1058</v>
      </c>
      <c r="E38" s="120" t="s">
        <v>987</v>
      </c>
      <c r="F38" s="120"/>
      <c r="G38" s="120" t="s">
        <v>984</v>
      </c>
      <c r="H38" s="120" t="s">
        <v>1007</v>
      </c>
      <c r="I38" s="120"/>
      <c r="J38" s="120"/>
      <c r="K38" s="121" t="str">
        <f t="shared" si="0"/>
        <v>RIGNALL</v>
      </c>
      <c r="L38" s="121" t="str">
        <f t="shared" si="1"/>
        <v/>
      </c>
      <c r="M38" s="121">
        <f t="shared" si="11"/>
        <v>19209</v>
      </c>
      <c r="N38" s="121" t="str">
        <f t="shared" si="2"/>
        <v/>
      </c>
      <c r="O38" s="121" t="str">
        <f t="shared" si="3"/>
        <v>242600948</v>
      </c>
      <c r="P38" s="121" t="str">
        <f t="shared" si="4"/>
        <v/>
      </c>
      <c r="Q38" s="120"/>
      <c r="R38" s="120"/>
      <c r="S38" s="120"/>
      <c r="T38" s="120"/>
      <c r="U38" s="120"/>
      <c r="V38" s="120"/>
      <c r="W38" s="122" t="str">
        <f t="shared" si="5"/>
        <v>PPAddIban6@mailinator.com</v>
      </c>
      <c r="X38" s="120" t="str">
        <f t="shared" si="6"/>
        <v/>
      </c>
      <c r="Y38" s="121" t="str">
        <f t="shared" si="7"/>
        <v>Dummy!2022</v>
      </c>
      <c r="Z38" s="121" t="str">
        <f t="shared" si="8"/>
        <v>020-8055556</v>
      </c>
      <c r="AA38" s="120" t="s">
        <v>1064</v>
      </c>
      <c r="AB38" s="120" t="s">
        <v>986</v>
      </c>
      <c r="AQ38" s="119" t="str">
        <f t="shared" si="9"/>
        <v>PPAddIban6@mailinator.com</v>
      </c>
      <c r="AR38" s="119" t="str">
        <f t="shared" si="10"/>
        <v/>
      </c>
    </row>
    <row r="39" spans="1:44" ht="41.4" x14ac:dyDescent="0.3">
      <c r="A39" s="120" t="s">
        <v>733</v>
      </c>
      <c r="B39" s="120" t="s">
        <v>615</v>
      </c>
      <c r="C39" s="120" t="s">
        <v>1011</v>
      </c>
      <c r="D39" s="120" t="s">
        <v>1058</v>
      </c>
      <c r="E39" s="120" t="s">
        <v>987</v>
      </c>
      <c r="F39" s="120" t="s">
        <v>72</v>
      </c>
      <c r="G39" s="120" t="s">
        <v>993</v>
      </c>
      <c r="H39" s="120"/>
      <c r="I39" s="120"/>
      <c r="J39" s="120" t="s">
        <v>1013</v>
      </c>
      <c r="K39" s="120" t="s">
        <v>1014</v>
      </c>
      <c r="L39" s="121" t="str">
        <f t="shared" si="1"/>
        <v/>
      </c>
      <c r="M39" s="121">
        <f t="shared" si="11"/>
        <v>19209</v>
      </c>
      <c r="N39" s="121" t="str">
        <f t="shared" si="2"/>
        <v/>
      </c>
      <c r="O39" s="121" t="str">
        <f t="shared" si="3"/>
        <v>242600948</v>
      </c>
      <c r="P39" s="121" t="str">
        <f t="shared" si="4"/>
        <v/>
      </c>
      <c r="Q39" s="120" t="s">
        <v>1015</v>
      </c>
      <c r="R39" s="120" t="s">
        <v>1016</v>
      </c>
      <c r="S39" s="120" t="s">
        <v>1017</v>
      </c>
      <c r="T39" s="120" t="s">
        <v>1018</v>
      </c>
      <c r="U39" s="120" t="s">
        <v>1019</v>
      </c>
      <c r="V39" s="120" t="s">
        <v>1020</v>
      </c>
      <c r="W39" s="122" t="str">
        <f t="shared" si="5"/>
        <v>PPAddIban6@mailinator.com</v>
      </c>
      <c r="X39" s="120" t="str">
        <f t="shared" si="6"/>
        <v/>
      </c>
      <c r="Y39" s="121" t="str">
        <f t="shared" si="7"/>
        <v>Dummy!2022</v>
      </c>
      <c r="Z39" s="121" t="str">
        <f t="shared" si="8"/>
        <v>020-8055556</v>
      </c>
      <c r="AA39" s="120" t="s">
        <v>1065</v>
      </c>
      <c r="AB39" s="120" t="s">
        <v>986</v>
      </c>
      <c r="AQ39" s="119" t="str">
        <f t="shared" si="9"/>
        <v>PPAddIban6@mailinator.com</v>
      </c>
      <c r="AR39" s="119" t="str">
        <f t="shared" si="10"/>
        <v/>
      </c>
    </row>
    <row r="40" spans="1:44" ht="41.4" x14ac:dyDescent="0.3">
      <c r="A40" s="120" t="s">
        <v>805</v>
      </c>
      <c r="B40" s="120" t="s">
        <v>615</v>
      </c>
      <c r="C40" s="120" t="s">
        <v>1021</v>
      </c>
      <c r="D40" s="120" t="s">
        <v>1058</v>
      </c>
      <c r="E40" s="120" t="s">
        <v>987</v>
      </c>
      <c r="F40" s="120" t="s">
        <v>72</v>
      </c>
      <c r="G40" s="120" t="s">
        <v>998</v>
      </c>
      <c r="H40" s="120" t="s">
        <v>985</v>
      </c>
      <c r="I40" s="120"/>
      <c r="J40" s="120"/>
      <c r="K40" s="121" t="str">
        <f t="shared" si="0"/>
        <v>RIGNALL</v>
      </c>
      <c r="L40" s="121" t="str">
        <f t="shared" si="1"/>
        <v/>
      </c>
      <c r="M40" s="121">
        <f t="shared" si="11"/>
        <v>19209</v>
      </c>
      <c r="N40" s="121" t="str">
        <f t="shared" si="2"/>
        <v/>
      </c>
      <c r="O40" s="121" t="str">
        <f t="shared" si="3"/>
        <v>242600948</v>
      </c>
      <c r="P40" s="121" t="str">
        <f t="shared" si="4"/>
        <v/>
      </c>
      <c r="Q40" s="120" t="s">
        <v>1015</v>
      </c>
      <c r="R40" s="120" t="s">
        <v>1016</v>
      </c>
      <c r="S40" s="120" t="s">
        <v>1017</v>
      </c>
      <c r="T40" s="120" t="s">
        <v>1018</v>
      </c>
      <c r="U40" s="120" t="s">
        <v>1019</v>
      </c>
      <c r="V40" s="120"/>
      <c r="W40" s="122" t="str">
        <f t="shared" si="5"/>
        <v>PPAddIban6@mailinator.com</v>
      </c>
      <c r="X40" s="120" t="str">
        <f t="shared" si="6"/>
        <v/>
      </c>
      <c r="Y40" s="121" t="str">
        <f t="shared" si="7"/>
        <v>Dummy!2022</v>
      </c>
      <c r="Z40" s="121" t="str">
        <f t="shared" si="8"/>
        <v>020-8055556</v>
      </c>
      <c r="AA40" s="120" t="s">
        <v>1066</v>
      </c>
      <c r="AB40" s="120" t="s">
        <v>986</v>
      </c>
      <c r="AQ40" s="119" t="str">
        <f t="shared" si="9"/>
        <v>PPAddIban6@mailinator.com</v>
      </c>
      <c r="AR40" s="119" t="str">
        <f t="shared" si="10"/>
        <v/>
      </c>
    </row>
    <row r="41" spans="1:44" ht="27.6" x14ac:dyDescent="0.3">
      <c r="A41" s="120" t="s">
        <v>740</v>
      </c>
      <c r="B41" s="120" t="s">
        <v>615</v>
      </c>
      <c r="C41" s="120" t="s">
        <v>1028</v>
      </c>
      <c r="D41" s="120" t="s">
        <v>1058</v>
      </c>
      <c r="E41" s="120" t="s">
        <v>987</v>
      </c>
      <c r="F41" s="120" t="s">
        <v>31</v>
      </c>
      <c r="G41" s="120" t="s">
        <v>1006</v>
      </c>
      <c r="H41" s="120"/>
      <c r="I41" s="120"/>
      <c r="J41" s="120"/>
      <c r="K41" s="121" t="str">
        <f t="shared" si="0"/>
        <v>RIGNALL</v>
      </c>
      <c r="L41" s="121" t="str">
        <f t="shared" si="1"/>
        <v/>
      </c>
      <c r="M41" s="121">
        <f t="shared" si="11"/>
        <v>19209</v>
      </c>
      <c r="N41" s="121" t="str">
        <f t="shared" si="2"/>
        <v/>
      </c>
      <c r="O41" s="121" t="str">
        <f t="shared" si="3"/>
        <v>242600948</v>
      </c>
      <c r="P41" s="121" t="str">
        <f t="shared" si="4"/>
        <v/>
      </c>
      <c r="Q41" s="120" t="s">
        <v>1015</v>
      </c>
      <c r="R41" s="120" t="s">
        <v>1016</v>
      </c>
      <c r="S41" s="120" t="s">
        <v>1047</v>
      </c>
      <c r="T41" s="120" t="s">
        <v>1018</v>
      </c>
      <c r="U41" s="120" t="s">
        <v>1019</v>
      </c>
      <c r="V41" s="120"/>
      <c r="W41" s="122" t="str">
        <f t="shared" si="5"/>
        <v>PPAddIban6@mailinator.com</v>
      </c>
      <c r="X41" s="120" t="str">
        <f t="shared" si="6"/>
        <v/>
      </c>
      <c r="Y41" s="121" t="str">
        <f t="shared" si="7"/>
        <v>Dummy!2022</v>
      </c>
      <c r="Z41" s="121" t="str">
        <f t="shared" si="8"/>
        <v>020-8055556</v>
      </c>
      <c r="AA41" s="120" t="s">
        <v>1067</v>
      </c>
      <c r="AB41" s="120" t="s">
        <v>986</v>
      </c>
      <c r="AQ41" s="119" t="str">
        <f t="shared" si="9"/>
        <v>PPAddIban6@mailinator.com</v>
      </c>
      <c r="AR41" s="119" t="str">
        <f t="shared" si="10"/>
        <v/>
      </c>
    </row>
    <row r="42" spans="1:44" ht="27.6" x14ac:dyDescent="0.3">
      <c r="A42" s="120" t="s">
        <v>741</v>
      </c>
      <c r="B42" s="120" t="s">
        <v>615</v>
      </c>
      <c r="C42" s="120" t="s">
        <v>1032</v>
      </c>
      <c r="D42" s="120" t="s">
        <v>1058</v>
      </c>
      <c r="E42" s="120" t="s">
        <v>987</v>
      </c>
      <c r="F42" s="120" t="s">
        <v>31</v>
      </c>
      <c r="G42" s="120" t="s">
        <v>1012</v>
      </c>
      <c r="H42" s="120" t="s">
        <v>1007</v>
      </c>
      <c r="I42" s="120"/>
      <c r="J42" s="120"/>
      <c r="K42" s="121" t="str">
        <f t="shared" si="0"/>
        <v>RIGNALL</v>
      </c>
      <c r="L42" s="121" t="str">
        <f t="shared" si="1"/>
        <v/>
      </c>
      <c r="M42" s="121">
        <f t="shared" si="11"/>
        <v>19209</v>
      </c>
      <c r="N42" s="121" t="str">
        <f t="shared" si="2"/>
        <v/>
      </c>
      <c r="O42" s="121" t="str">
        <f t="shared" si="3"/>
        <v>242600948</v>
      </c>
      <c r="P42" s="121" t="str">
        <f t="shared" si="4"/>
        <v/>
      </c>
      <c r="Q42" s="120" t="s">
        <v>1015</v>
      </c>
      <c r="R42" s="120" t="s">
        <v>1016</v>
      </c>
      <c r="S42" s="120" t="s">
        <v>1050</v>
      </c>
      <c r="T42" s="120" t="s">
        <v>1018</v>
      </c>
      <c r="U42" s="120" t="s">
        <v>1019</v>
      </c>
      <c r="V42" s="120"/>
      <c r="W42" s="122" t="str">
        <f t="shared" si="5"/>
        <v>PPAddIban6@mailinator.com</v>
      </c>
      <c r="X42" s="120" t="str">
        <f t="shared" si="6"/>
        <v/>
      </c>
      <c r="Y42" s="121" t="str">
        <f t="shared" si="7"/>
        <v>Dummy!2022</v>
      </c>
      <c r="Z42" s="121" t="str">
        <f t="shared" si="8"/>
        <v>020-8055556</v>
      </c>
      <c r="AA42" s="120" t="s">
        <v>1068</v>
      </c>
      <c r="AB42" s="120" t="s">
        <v>986</v>
      </c>
      <c r="AQ42" s="119" t="str">
        <f t="shared" si="9"/>
        <v>PPAddIban6@mailinator.com</v>
      </c>
      <c r="AR42" s="119" t="str">
        <f t="shared" si="10"/>
        <v/>
      </c>
    </row>
    <row r="43" spans="1:44" ht="41.4" x14ac:dyDescent="0.3">
      <c r="A43" s="120" t="s">
        <v>742</v>
      </c>
      <c r="B43" s="120" t="s">
        <v>615</v>
      </c>
      <c r="C43" s="120" t="s">
        <v>1011</v>
      </c>
      <c r="D43" s="120" t="s">
        <v>1058</v>
      </c>
      <c r="E43" s="120" t="s">
        <v>987</v>
      </c>
      <c r="F43" s="120" t="s">
        <v>31</v>
      </c>
      <c r="G43" s="120" t="s">
        <v>1022</v>
      </c>
      <c r="H43" s="120"/>
      <c r="I43" s="120"/>
      <c r="J43" s="120" t="s">
        <v>1013</v>
      </c>
      <c r="K43" s="120" t="s">
        <v>1014</v>
      </c>
      <c r="L43" s="121" t="str">
        <f t="shared" si="1"/>
        <v/>
      </c>
      <c r="M43" s="121">
        <f t="shared" si="11"/>
        <v>19209</v>
      </c>
      <c r="N43" s="121" t="str">
        <f t="shared" si="2"/>
        <v/>
      </c>
      <c r="O43" s="121" t="str">
        <f t="shared" si="3"/>
        <v>242600948</v>
      </c>
      <c r="P43" s="121" t="str">
        <f t="shared" si="4"/>
        <v/>
      </c>
      <c r="Q43" s="120" t="s">
        <v>1015</v>
      </c>
      <c r="R43" s="120" t="s">
        <v>1016</v>
      </c>
      <c r="S43" s="120" t="s">
        <v>1017</v>
      </c>
      <c r="T43" s="120" t="s">
        <v>1018</v>
      </c>
      <c r="U43" s="120" t="s">
        <v>1019</v>
      </c>
      <c r="V43" s="120" t="s">
        <v>1020</v>
      </c>
      <c r="W43" s="122" t="str">
        <f t="shared" si="5"/>
        <v>PPAddIban6@mailinator.com</v>
      </c>
      <c r="X43" s="120" t="str">
        <f t="shared" si="6"/>
        <v/>
      </c>
      <c r="Y43" s="121" t="str">
        <f t="shared" si="7"/>
        <v>Dummy!2022</v>
      </c>
      <c r="Z43" s="121" t="str">
        <f t="shared" si="8"/>
        <v>020-8055556</v>
      </c>
      <c r="AA43" s="120" t="s">
        <v>1069</v>
      </c>
      <c r="AB43" s="120" t="s">
        <v>986</v>
      </c>
      <c r="AQ43" s="119" t="str">
        <f t="shared" si="9"/>
        <v>PPAddIban6@mailinator.com</v>
      </c>
      <c r="AR43" s="119" t="str">
        <f t="shared" si="10"/>
        <v/>
      </c>
    </row>
    <row r="44" spans="1:44" ht="41.4" x14ac:dyDescent="0.3">
      <c r="A44" s="120" t="s">
        <v>777</v>
      </c>
      <c r="B44" s="120" t="s">
        <v>615</v>
      </c>
      <c r="C44" s="120" t="s">
        <v>1021</v>
      </c>
      <c r="D44" s="120" t="s">
        <v>1058</v>
      </c>
      <c r="E44" s="120" t="s">
        <v>987</v>
      </c>
      <c r="F44" s="120" t="s">
        <v>31</v>
      </c>
      <c r="G44" s="120" t="s">
        <v>1029</v>
      </c>
      <c r="H44" s="120" t="s">
        <v>999</v>
      </c>
      <c r="I44" s="120"/>
      <c r="J44" s="120"/>
      <c r="K44" s="121" t="str">
        <f t="shared" si="0"/>
        <v>RIGNALL</v>
      </c>
      <c r="L44" s="121" t="str">
        <f t="shared" si="1"/>
        <v/>
      </c>
      <c r="M44" s="121">
        <f t="shared" si="11"/>
        <v>19209</v>
      </c>
      <c r="N44" s="121" t="str">
        <f t="shared" si="2"/>
        <v/>
      </c>
      <c r="O44" s="121" t="str">
        <f t="shared" si="3"/>
        <v>242600948</v>
      </c>
      <c r="P44" s="121" t="str">
        <f t="shared" si="4"/>
        <v/>
      </c>
      <c r="Q44" s="120" t="s">
        <v>1015</v>
      </c>
      <c r="R44" s="120" t="s">
        <v>1016</v>
      </c>
      <c r="S44" s="120" t="s">
        <v>1054</v>
      </c>
      <c r="T44" s="120" t="s">
        <v>1018</v>
      </c>
      <c r="U44" s="120" t="s">
        <v>1019</v>
      </c>
      <c r="V44" s="120"/>
      <c r="W44" s="122" t="str">
        <f t="shared" si="5"/>
        <v>PPAddIban6@mailinator.com</v>
      </c>
      <c r="X44" s="120" t="str">
        <f t="shared" si="6"/>
        <v/>
      </c>
      <c r="Y44" s="121" t="str">
        <f t="shared" si="7"/>
        <v>Dummy!2022</v>
      </c>
      <c r="Z44" s="121" t="str">
        <f t="shared" si="8"/>
        <v>020-8055556</v>
      </c>
      <c r="AA44" s="120" t="s">
        <v>1070</v>
      </c>
      <c r="AB44" s="120" t="s">
        <v>986</v>
      </c>
      <c r="AQ44" s="119" t="str">
        <f t="shared" si="9"/>
        <v>PPAddIban6@mailinator.com</v>
      </c>
      <c r="AR44" s="119" t="str">
        <f t="shared" si="10"/>
        <v/>
      </c>
    </row>
    <row r="45" spans="1:44" ht="27.6" x14ac:dyDescent="0.3">
      <c r="A45" s="120" t="s">
        <v>806</v>
      </c>
      <c r="B45" s="120" t="s">
        <v>615</v>
      </c>
      <c r="C45" s="120" t="s">
        <v>1028</v>
      </c>
      <c r="D45" s="120" t="s">
        <v>1058</v>
      </c>
      <c r="E45" s="120" t="s">
        <v>987</v>
      </c>
      <c r="F45" s="120" t="s">
        <v>31</v>
      </c>
      <c r="G45" s="120" t="s">
        <v>1033</v>
      </c>
      <c r="H45" s="120"/>
      <c r="I45" s="120"/>
      <c r="J45" s="120"/>
      <c r="K45" s="121" t="str">
        <f t="shared" si="0"/>
        <v>RIGNALL</v>
      </c>
      <c r="L45" s="121" t="str">
        <f t="shared" si="1"/>
        <v/>
      </c>
      <c r="M45" s="121">
        <f t="shared" si="11"/>
        <v>19209</v>
      </c>
      <c r="N45" s="121" t="str">
        <f t="shared" si="2"/>
        <v/>
      </c>
      <c r="O45" s="121" t="str">
        <f t="shared" si="3"/>
        <v>242600948</v>
      </c>
      <c r="P45" s="121" t="str">
        <f t="shared" si="4"/>
        <v/>
      </c>
      <c r="Q45" s="120" t="s">
        <v>1015</v>
      </c>
      <c r="R45" s="120" t="s">
        <v>1016</v>
      </c>
      <c r="S45" s="120" t="s">
        <v>1056</v>
      </c>
      <c r="T45" s="120" t="s">
        <v>1018</v>
      </c>
      <c r="U45" s="120" t="s">
        <v>1019</v>
      </c>
      <c r="V45" s="120"/>
      <c r="W45" s="122" t="str">
        <f t="shared" si="5"/>
        <v>PPAddIban6@mailinator.com</v>
      </c>
      <c r="X45" s="120" t="str">
        <f t="shared" si="6"/>
        <v/>
      </c>
      <c r="Y45" s="121" t="str">
        <f t="shared" si="7"/>
        <v>Dummy!2022</v>
      </c>
      <c r="Z45" s="121" t="str">
        <f t="shared" si="8"/>
        <v>020-8055556</v>
      </c>
      <c r="AA45" s="120" t="s">
        <v>1071</v>
      </c>
      <c r="AB45" s="120" t="s">
        <v>986</v>
      </c>
      <c r="AQ45" s="119" t="str">
        <f t="shared" si="9"/>
        <v>PPAddIban6@mailinator.com</v>
      </c>
      <c r="AR45" s="119" t="str">
        <f t="shared" si="10"/>
        <v/>
      </c>
    </row>
    <row r="46" spans="1:44" ht="27.6" x14ac:dyDescent="0.3">
      <c r="A46" s="120" t="s">
        <v>778</v>
      </c>
      <c r="B46" s="120" t="s">
        <v>980</v>
      </c>
      <c r="C46" s="120" t="s">
        <v>981</v>
      </c>
      <c r="D46" s="120" t="s">
        <v>1072</v>
      </c>
      <c r="E46" s="120" t="s">
        <v>1073</v>
      </c>
      <c r="F46" s="120"/>
      <c r="G46" s="120" t="s">
        <v>985</v>
      </c>
      <c r="H46" s="120" t="s">
        <v>985</v>
      </c>
      <c r="I46" s="120"/>
      <c r="J46" s="120"/>
      <c r="K46" s="121" t="str">
        <f t="shared" si="0"/>
        <v>BOURNE</v>
      </c>
      <c r="L46" s="121" t="str">
        <f t="shared" si="1"/>
        <v>DE GLANVILLE</v>
      </c>
      <c r="M46" s="121">
        <f t="shared" si="11"/>
        <v>22626</v>
      </c>
      <c r="N46" s="121">
        <f t="shared" si="2"/>
        <v>27439</v>
      </c>
      <c r="O46" s="121" t="str">
        <f t="shared" si="3"/>
        <v>242599915</v>
      </c>
      <c r="P46" s="121" t="str">
        <f t="shared" si="4"/>
        <v>242596037</v>
      </c>
      <c r="Q46" s="120"/>
      <c r="R46" s="120"/>
      <c r="S46" s="120"/>
      <c r="T46" s="120"/>
      <c r="U46" s="120"/>
      <c r="V46" s="120"/>
      <c r="W46" s="122" t="str">
        <f t="shared" si="5"/>
        <v>PPAddIban16@mailinator.com</v>
      </c>
      <c r="X46" s="120" t="str">
        <f t="shared" si="6"/>
        <v>RebrandAutomationUser7@mailinator.com</v>
      </c>
      <c r="Y46" s="121" t="str">
        <f t="shared" si="7"/>
        <v>Dummy!2022</v>
      </c>
      <c r="Z46" s="121" t="str">
        <f t="shared" si="8"/>
        <v>020-8055516</v>
      </c>
      <c r="AA46" s="120"/>
      <c r="AB46" s="120" t="s">
        <v>986</v>
      </c>
      <c r="AQ46" s="119" t="str">
        <f t="shared" si="9"/>
        <v>PPAddIban16@mailinator.com</v>
      </c>
      <c r="AR46" s="119" t="str">
        <f t="shared" si="10"/>
        <v>RebrandAutomationUser7@mailinator.com</v>
      </c>
    </row>
    <row r="47" spans="1:44" ht="27.6" x14ac:dyDescent="0.3">
      <c r="A47" s="120" t="s">
        <v>1074</v>
      </c>
      <c r="B47" s="120" t="s">
        <v>992</v>
      </c>
      <c r="C47" s="120" t="s">
        <v>22</v>
      </c>
      <c r="D47" s="120" t="s">
        <v>1072</v>
      </c>
      <c r="E47" s="120" t="s">
        <v>1073</v>
      </c>
      <c r="F47" s="120"/>
      <c r="G47" s="120" t="s">
        <v>984</v>
      </c>
      <c r="H47" s="120"/>
      <c r="I47" s="120"/>
      <c r="J47" s="120"/>
      <c r="K47" s="121" t="str">
        <f t="shared" si="0"/>
        <v>BOURNE</v>
      </c>
      <c r="L47" s="121" t="str">
        <f t="shared" si="1"/>
        <v>DE GLANVILLE</v>
      </c>
      <c r="M47" s="121">
        <f t="shared" si="11"/>
        <v>22626</v>
      </c>
      <c r="N47" s="121">
        <f t="shared" si="2"/>
        <v>27439</v>
      </c>
      <c r="O47" s="121" t="str">
        <f t="shared" si="3"/>
        <v>242599915</v>
      </c>
      <c r="P47" s="121" t="str">
        <f t="shared" si="4"/>
        <v>242596037</v>
      </c>
      <c r="Q47" s="120"/>
      <c r="R47" s="120"/>
      <c r="S47" s="120"/>
      <c r="T47" s="120"/>
      <c r="U47" s="120"/>
      <c r="V47" s="120"/>
      <c r="W47" s="122" t="str">
        <f t="shared" si="5"/>
        <v>PPAddIban16@mailinator.com</v>
      </c>
      <c r="X47" s="120" t="str">
        <f t="shared" si="6"/>
        <v>RebrandAutomationUser7@mailinator.com</v>
      </c>
      <c r="Y47" s="121" t="str">
        <f t="shared" si="7"/>
        <v>Dummy!2022</v>
      </c>
      <c r="Z47" s="121" t="str">
        <f t="shared" si="8"/>
        <v>020-8055516</v>
      </c>
      <c r="AA47" s="120"/>
      <c r="AB47" s="120" t="s">
        <v>986</v>
      </c>
      <c r="AQ47" s="119" t="str">
        <f t="shared" si="9"/>
        <v>PPAddIban16@mailinator.com</v>
      </c>
      <c r="AR47" s="119" t="str">
        <f t="shared" si="10"/>
        <v>RebrandAutomationUser7@mailinator.com</v>
      </c>
    </row>
    <row r="48" spans="1:44" ht="27.6" x14ac:dyDescent="0.3">
      <c r="A48" s="120" t="s">
        <v>746</v>
      </c>
      <c r="B48" s="120" t="s">
        <v>615</v>
      </c>
      <c r="C48" s="120" t="s">
        <v>997</v>
      </c>
      <c r="D48" s="120" t="s">
        <v>1072</v>
      </c>
      <c r="E48" s="120" t="s">
        <v>1073</v>
      </c>
      <c r="F48" s="120"/>
      <c r="G48" s="120" t="s">
        <v>993</v>
      </c>
      <c r="H48" s="120" t="s">
        <v>999</v>
      </c>
      <c r="I48" s="120"/>
      <c r="J48" s="120"/>
      <c r="K48" s="121" t="str">
        <f t="shared" si="0"/>
        <v>BOURNE</v>
      </c>
      <c r="L48" s="121" t="str">
        <f t="shared" si="1"/>
        <v>DE GLANVILLE</v>
      </c>
      <c r="M48" s="121">
        <f t="shared" si="11"/>
        <v>22626</v>
      </c>
      <c r="N48" s="121">
        <f t="shared" si="2"/>
        <v>27439</v>
      </c>
      <c r="O48" s="121" t="str">
        <f t="shared" si="3"/>
        <v>242599915</v>
      </c>
      <c r="P48" s="121" t="str">
        <f t="shared" si="4"/>
        <v>242596037</v>
      </c>
      <c r="Q48" s="120"/>
      <c r="R48" s="120"/>
      <c r="S48" s="120"/>
      <c r="T48" s="120"/>
      <c r="U48" s="120"/>
      <c r="V48" s="120"/>
      <c r="W48" s="122" t="str">
        <f t="shared" si="5"/>
        <v>PPAddIban16@mailinator.com</v>
      </c>
      <c r="X48" s="120" t="str">
        <f t="shared" si="6"/>
        <v>RebrandAutomationUser7@mailinator.com</v>
      </c>
      <c r="Y48" s="121" t="str">
        <f t="shared" si="7"/>
        <v>Dummy!2022</v>
      </c>
      <c r="Z48" s="121" t="str">
        <f t="shared" si="8"/>
        <v>020-8055516</v>
      </c>
      <c r="AA48" s="120"/>
      <c r="AB48" s="120" t="s">
        <v>986</v>
      </c>
      <c r="AQ48" s="119" t="str">
        <f t="shared" si="9"/>
        <v>PPAddIban16@mailinator.com</v>
      </c>
      <c r="AR48" s="119" t="str">
        <f t="shared" si="10"/>
        <v>RebrandAutomationUser7@mailinator.com</v>
      </c>
    </row>
    <row r="49" spans="1:44" ht="27.6" x14ac:dyDescent="0.3">
      <c r="A49" s="120" t="s">
        <v>763</v>
      </c>
      <c r="B49" s="120" t="s">
        <v>615</v>
      </c>
      <c r="C49" s="120" t="s">
        <v>1005</v>
      </c>
      <c r="D49" s="120" t="s">
        <v>1072</v>
      </c>
      <c r="E49" s="120" t="s">
        <v>1073</v>
      </c>
      <c r="F49" s="120"/>
      <c r="G49" s="120" t="s">
        <v>998</v>
      </c>
      <c r="H49" s="120" t="s">
        <v>1007</v>
      </c>
      <c r="I49" s="120"/>
      <c r="J49" s="120"/>
      <c r="K49" s="121" t="str">
        <f t="shared" si="0"/>
        <v>BOURNE</v>
      </c>
      <c r="L49" s="121" t="str">
        <f t="shared" si="1"/>
        <v>DE GLANVILLE</v>
      </c>
      <c r="M49" s="121">
        <f t="shared" si="11"/>
        <v>22626</v>
      </c>
      <c r="N49" s="121">
        <f t="shared" si="2"/>
        <v>27439</v>
      </c>
      <c r="O49" s="121" t="str">
        <f t="shared" si="3"/>
        <v>242599915</v>
      </c>
      <c r="P49" s="121" t="str">
        <f t="shared" si="4"/>
        <v>242596037</v>
      </c>
      <c r="Q49" s="120"/>
      <c r="R49" s="120"/>
      <c r="S49" s="120"/>
      <c r="T49" s="120"/>
      <c r="U49" s="120"/>
      <c r="V49" s="120"/>
      <c r="W49" s="122" t="str">
        <f t="shared" si="5"/>
        <v>PPAddIban16@mailinator.com</v>
      </c>
      <c r="X49" s="120" t="str">
        <f t="shared" si="6"/>
        <v>RebrandAutomationUser7@mailinator.com</v>
      </c>
      <c r="Y49" s="121" t="str">
        <f t="shared" si="7"/>
        <v>Dummy!2022</v>
      </c>
      <c r="Z49" s="121" t="str">
        <f t="shared" si="8"/>
        <v>020-8055516</v>
      </c>
      <c r="AA49" s="120"/>
      <c r="AB49" s="120" t="s">
        <v>986</v>
      </c>
      <c r="AQ49" s="119" t="str">
        <f t="shared" si="9"/>
        <v>PPAddIban16@mailinator.com</v>
      </c>
      <c r="AR49" s="119" t="str">
        <f t="shared" si="10"/>
        <v>RebrandAutomationUser7@mailinator.com</v>
      </c>
    </row>
    <row r="50" spans="1:44" ht="41.4" x14ac:dyDescent="0.3">
      <c r="A50" s="120" t="s">
        <v>801</v>
      </c>
      <c r="B50" s="120" t="s">
        <v>615</v>
      </c>
      <c r="C50" s="120" t="s">
        <v>1021</v>
      </c>
      <c r="D50" s="120" t="s">
        <v>1072</v>
      </c>
      <c r="E50" s="120" t="s">
        <v>1073</v>
      </c>
      <c r="F50" s="120" t="s">
        <v>72</v>
      </c>
      <c r="G50" s="120" t="s">
        <v>1006</v>
      </c>
      <c r="H50" s="120" t="s">
        <v>985</v>
      </c>
      <c r="I50" s="120"/>
      <c r="J50" s="120"/>
      <c r="K50" s="121" t="str">
        <f t="shared" si="0"/>
        <v>BOURNE</v>
      </c>
      <c r="L50" s="121" t="str">
        <f t="shared" si="1"/>
        <v>DE GLANVILLE</v>
      </c>
      <c r="M50" s="121">
        <f t="shared" si="11"/>
        <v>22626</v>
      </c>
      <c r="N50" s="121">
        <f t="shared" si="2"/>
        <v>27439</v>
      </c>
      <c r="O50" s="121" t="str">
        <f t="shared" si="3"/>
        <v>242599915</v>
      </c>
      <c r="P50" s="121" t="str">
        <f t="shared" si="4"/>
        <v>242596037</v>
      </c>
      <c r="Q50" s="120" t="s">
        <v>1015</v>
      </c>
      <c r="R50" s="120" t="s">
        <v>1016</v>
      </c>
      <c r="S50" s="120" t="s">
        <v>1017</v>
      </c>
      <c r="T50" s="120" t="s">
        <v>1018</v>
      </c>
      <c r="U50" s="120" t="s">
        <v>1019</v>
      </c>
      <c r="V50" s="120"/>
      <c r="W50" s="122" t="str">
        <f t="shared" si="5"/>
        <v>PPAddIban16@mailinator.com</v>
      </c>
      <c r="X50" s="120" t="str">
        <f t="shared" si="6"/>
        <v>RebrandAutomationUser7@mailinator.com</v>
      </c>
      <c r="Y50" s="121" t="str">
        <f t="shared" si="7"/>
        <v>Dummy!2022</v>
      </c>
      <c r="Z50" s="121" t="str">
        <f t="shared" si="8"/>
        <v>020-8055516</v>
      </c>
      <c r="AA50" s="120"/>
      <c r="AB50" s="120" t="s">
        <v>986</v>
      </c>
      <c r="AQ50" s="119" t="str">
        <f t="shared" si="9"/>
        <v>PPAddIban16@mailinator.com</v>
      </c>
      <c r="AR50" s="119" t="str">
        <f t="shared" si="10"/>
        <v>RebrandAutomationUser7@mailinator.com</v>
      </c>
    </row>
    <row r="51" spans="1:44" ht="27.6" x14ac:dyDescent="0.3">
      <c r="A51" s="120" t="s">
        <v>1075</v>
      </c>
      <c r="B51" s="120" t="s">
        <v>615</v>
      </c>
      <c r="C51" s="120" t="s">
        <v>1028</v>
      </c>
      <c r="D51" s="120" t="s">
        <v>1072</v>
      </c>
      <c r="E51" s="120" t="s">
        <v>1073</v>
      </c>
      <c r="F51" s="120" t="s">
        <v>72</v>
      </c>
      <c r="G51" s="120" t="s">
        <v>1012</v>
      </c>
      <c r="H51" s="120"/>
      <c r="I51" s="120"/>
      <c r="J51" s="120"/>
      <c r="K51" s="121" t="str">
        <f t="shared" si="0"/>
        <v>BOURNE</v>
      </c>
      <c r="L51" s="121" t="str">
        <f t="shared" si="1"/>
        <v>DE GLANVILLE</v>
      </c>
      <c r="M51" s="121">
        <f t="shared" si="11"/>
        <v>22626</v>
      </c>
      <c r="N51" s="121">
        <f t="shared" si="2"/>
        <v>27439</v>
      </c>
      <c r="O51" s="121" t="str">
        <f t="shared" si="3"/>
        <v>242599915</v>
      </c>
      <c r="P51" s="121" t="str">
        <f t="shared" si="4"/>
        <v>242596037</v>
      </c>
      <c r="Q51" s="120" t="s">
        <v>1015</v>
      </c>
      <c r="R51" s="120" t="s">
        <v>1016</v>
      </c>
      <c r="S51" s="120" t="s">
        <v>1017</v>
      </c>
      <c r="T51" s="120" t="s">
        <v>1018</v>
      </c>
      <c r="U51" s="120" t="s">
        <v>1019</v>
      </c>
      <c r="V51" s="120"/>
      <c r="W51" s="122" t="str">
        <f t="shared" si="5"/>
        <v>PPAddIban16@mailinator.com</v>
      </c>
      <c r="X51" s="120" t="str">
        <f t="shared" si="6"/>
        <v>RebrandAutomationUser7@mailinator.com</v>
      </c>
      <c r="Y51" s="121" t="str">
        <f t="shared" si="7"/>
        <v>Dummy!2022</v>
      </c>
      <c r="Z51" s="121" t="str">
        <f t="shared" si="8"/>
        <v>020-8055516</v>
      </c>
      <c r="AA51" s="120"/>
      <c r="AB51" s="120" t="s">
        <v>986</v>
      </c>
      <c r="AQ51" s="119" t="str">
        <f t="shared" si="9"/>
        <v>PPAddIban16@mailinator.com</v>
      </c>
      <c r="AR51" s="119" t="str">
        <f t="shared" si="10"/>
        <v>RebrandAutomationUser7@mailinator.com</v>
      </c>
    </row>
    <row r="52" spans="1:44" ht="27.6" x14ac:dyDescent="0.3">
      <c r="A52" s="120" t="s">
        <v>788</v>
      </c>
      <c r="B52" s="120" t="s">
        <v>615</v>
      </c>
      <c r="C52" s="120" t="s">
        <v>1028</v>
      </c>
      <c r="D52" s="120" t="s">
        <v>1072</v>
      </c>
      <c r="E52" s="120" t="s">
        <v>1073</v>
      </c>
      <c r="F52" s="120" t="s">
        <v>31</v>
      </c>
      <c r="G52" s="120" t="s">
        <v>1022</v>
      </c>
      <c r="H52" s="120"/>
      <c r="I52" s="120"/>
      <c r="J52" s="120"/>
      <c r="K52" s="121" t="str">
        <f t="shared" si="0"/>
        <v>BOURNE</v>
      </c>
      <c r="L52" s="121" t="str">
        <f t="shared" si="1"/>
        <v>DE GLANVILLE</v>
      </c>
      <c r="M52" s="121">
        <f t="shared" si="11"/>
        <v>22626</v>
      </c>
      <c r="N52" s="121">
        <f t="shared" si="2"/>
        <v>27439</v>
      </c>
      <c r="O52" s="121" t="str">
        <f t="shared" si="3"/>
        <v>242599915</v>
      </c>
      <c r="P52" s="121" t="str">
        <f t="shared" si="4"/>
        <v>242596037</v>
      </c>
      <c r="Q52" s="120" t="s">
        <v>1015</v>
      </c>
      <c r="R52" s="120" t="s">
        <v>1016</v>
      </c>
      <c r="S52" s="120" t="s">
        <v>1017</v>
      </c>
      <c r="T52" s="120" t="s">
        <v>1018</v>
      </c>
      <c r="U52" s="120" t="s">
        <v>1019</v>
      </c>
      <c r="V52" s="120"/>
      <c r="W52" s="122" t="str">
        <f t="shared" si="5"/>
        <v>PPAddIban16@mailinator.com</v>
      </c>
      <c r="X52" s="120" t="str">
        <f t="shared" si="6"/>
        <v>RebrandAutomationUser7@mailinator.com</v>
      </c>
      <c r="Y52" s="121" t="str">
        <f t="shared" si="7"/>
        <v>Dummy!2022</v>
      </c>
      <c r="Z52" s="121" t="str">
        <f t="shared" si="8"/>
        <v>020-8055516</v>
      </c>
      <c r="AA52" s="120"/>
      <c r="AB52" s="120" t="s">
        <v>986</v>
      </c>
      <c r="AQ52" s="119" t="str">
        <f t="shared" si="9"/>
        <v>PPAddIban16@mailinator.com</v>
      </c>
      <c r="AR52" s="119" t="str">
        <f t="shared" si="10"/>
        <v>RebrandAutomationUser7@mailinator.com</v>
      </c>
    </row>
    <row r="53" spans="1:44" ht="27.6" x14ac:dyDescent="0.3">
      <c r="A53" s="120" t="s">
        <v>781</v>
      </c>
      <c r="B53" s="120" t="s">
        <v>615</v>
      </c>
      <c r="C53" s="120" t="s">
        <v>1032</v>
      </c>
      <c r="D53" s="120" t="s">
        <v>1072</v>
      </c>
      <c r="E53" s="120" t="s">
        <v>1073</v>
      </c>
      <c r="F53" s="120" t="s">
        <v>31</v>
      </c>
      <c r="G53" s="120" t="s">
        <v>1029</v>
      </c>
      <c r="H53" s="120" t="s">
        <v>985</v>
      </c>
      <c r="I53" s="120"/>
      <c r="J53" s="120"/>
      <c r="K53" s="121" t="str">
        <f t="shared" si="0"/>
        <v>BOURNE</v>
      </c>
      <c r="L53" s="121" t="str">
        <f t="shared" si="1"/>
        <v>DE GLANVILLE</v>
      </c>
      <c r="M53" s="121">
        <f t="shared" si="11"/>
        <v>22626</v>
      </c>
      <c r="N53" s="121">
        <f t="shared" si="2"/>
        <v>27439</v>
      </c>
      <c r="O53" s="121" t="str">
        <f t="shared" si="3"/>
        <v>242599915</v>
      </c>
      <c r="P53" s="121" t="str">
        <f t="shared" si="4"/>
        <v>242596037</v>
      </c>
      <c r="Q53" s="120" t="s">
        <v>1015</v>
      </c>
      <c r="R53" s="120" t="s">
        <v>1016</v>
      </c>
      <c r="S53" s="120" t="s">
        <v>1054</v>
      </c>
      <c r="T53" s="120" t="s">
        <v>1018</v>
      </c>
      <c r="U53" s="120" t="s">
        <v>1019</v>
      </c>
      <c r="V53" s="120"/>
      <c r="W53" s="122" t="str">
        <f t="shared" si="5"/>
        <v>PPAddIban16@mailinator.com</v>
      </c>
      <c r="X53" s="120" t="str">
        <f t="shared" si="6"/>
        <v>RebrandAutomationUser7@mailinator.com</v>
      </c>
      <c r="Y53" s="121" t="str">
        <f t="shared" si="7"/>
        <v>Dummy!2022</v>
      </c>
      <c r="Z53" s="121" t="str">
        <f t="shared" si="8"/>
        <v>020-8055516</v>
      </c>
      <c r="AA53" s="120"/>
      <c r="AB53" s="120" t="s">
        <v>986</v>
      </c>
      <c r="AQ53" s="119" t="str">
        <f t="shared" si="9"/>
        <v>PPAddIban16@mailinator.com</v>
      </c>
      <c r="AR53" s="119" t="str">
        <f t="shared" si="10"/>
        <v>RebrandAutomationUser7@mailinator.com</v>
      </c>
    </row>
    <row r="54" spans="1:44" ht="41.4" x14ac:dyDescent="0.3">
      <c r="A54" s="120" t="s">
        <v>779</v>
      </c>
      <c r="B54" s="120" t="s">
        <v>615</v>
      </c>
      <c r="C54" s="120" t="s">
        <v>1021</v>
      </c>
      <c r="D54" s="120" t="s">
        <v>1072</v>
      </c>
      <c r="E54" s="120" t="s">
        <v>1073</v>
      </c>
      <c r="F54" s="120" t="s">
        <v>31</v>
      </c>
      <c r="G54" s="120" t="s">
        <v>1033</v>
      </c>
      <c r="H54" s="120" t="s">
        <v>999</v>
      </c>
      <c r="I54" s="120"/>
      <c r="J54" s="120"/>
      <c r="K54" s="121" t="str">
        <f t="shared" si="0"/>
        <v>BOURNE</v>
      </c>
      <c r="L54" s="121" t="str">
        <f t="shared" si="1"/>
        <v>DE GLANVILLE</v>
      </c>
      <c r="M54" s="121">
        <f t="shared" si="11"/>
        <v>22626</v>
      </c>
      <c r="N54" s="121">
        <f t="shared" si="2"/>
        <v>27439</v>
      </c>
      <c r="O54" s="121" t="str">
        <f t="shared" si="3"/>
        <v>242599915</v>
      </c>
      <c r="P54" s="121" t="str">
        <f t="shared" si="4"/>
        <v>242596037</v>
      </c>
      <c r="Q54" s="120" t="s">
        <v>1015</v>
      </c>
      <c r="R54" s="120" t="s">
        <v>1016</v>
      </c>
      <c r="S54" s="120" t="s">
        <v>1056</v>
      </c>
      <c r="T54" s="120" t="s">
        <v>1018</v>
      </c>
      <c r="U54" s="120" t="s">
        <v>1019</v>
      </c>
      <c r="V54" s="120"/>
      <c r="W54" s="122" t="str">
        <f t="shared" si="5"/>
        <v>PPAddIban16@mailinator.com</v>
      </c>
      <c r="X54" s="120" t="str">
        <f t="shared" si="6"/>
        <v>RebrandAutomationUser7@mailinator.com</v>
      </c>
      <c r="Y54" s="121" t="str">
        <f t="shared" si="7"/>
        <v>Dummy!2022</v>
      </c>
      <c r="Z54" s="121" t="str">
        <f t="shared" si="8"/>
        <v>020-8055516</v>
      </c>
      <c r="AA54" s="120"/>
      <c r="AB54" s="120" t="s">
        <v>986</v>
      </c>
      <c r="AQ54" s="119" t="str">
        <f t="shared" si="9"/>
        <v>PPAddIban16@mailinator.com</v>
      </c>
      <c r="AR54" s="119" t="str">
        <f t="shared" si="10"/>
        <v>RebrandAutomationUser7@mailinator.com</v>
      </c>
    </row>
    <row r="55" spans="1:44" ht="27.6" x14ac:dyDescent="0.3">
      <c r="A55" s="120" t="s">
        <v>782</v>
      </c>
      <c r="B55" s="120" t="s">
        <v>980</v>
      </c>
      <c r="C55" s="120" t="s">
        <v>981</v>
      </c>
      <c r="D55" s="120" t="s">
        <v>1072</v>
      </c>
      <c r="E55" s="120" t="s">
        <v>1076</v>
      </c>
      <c r="F55" s="120"/>
      <c r="G55" s="120" t="s">
        <v>985</v>
      </c>
      <c r="H55" s="120" t="s">
        <v>985</v>
      </c>
      <c r="I55" s="120"/>
      <c r="J55" s="120"/>
      <c r="K55" s="121" t="str">
        <f t="shared" si="0"/>
        <v>RIGNALL</v>
      </c>
      <c r="L55" s="121" t="str">
        <f t="shared" si="1"/>
        <v>CICCHETTO</v>
      </c>
      <c r="M55" s="121">
        <f t="shared" si="11"/>
        <v>19209</v>
      </c>
      <c r="N55" s="121">
        <f t="shared" si="2"/>
        <v>22469</v>
      </c>
      <c r="O55" s="121" t="str">
        <f t="shared" si="3"/>
        <v>242600948</v>
      </c>
      <c r="P55" s="121" t="str">
        <f t="shared" si="4"/>
        <v>242600999</v>
      </c>
      <c r="Q55" s="120"/>
      <c r="R55" s="120"/>
      <c r="S55" s="120"/>
      <c r="T55" s="120"/>
      <c r="U55" s="120"/>
      <c r="V55" s="120"/>
      <c r="W55" s="122" t="str">
        <f t="shared" si="5"/>
        <v>PPAddIban6@mailinator.com</v>
      </c>
      <c r="X55" s="120" t="str">
        <f t="shared" si="6"/>
        <v>PPAddIban7@mailinator.com</v>
      </c>
      <c r="Y55" s="121" t="str">
        <f t="shared" si="7"/>
        <v>Dummy!2022</v>
      </c>
      <c r="Z55" s="121" t="str">
        <f t="shared" si="8"/>
        <v>020-8055556</v>
      </c>
      <c r="AA55" s="120" t="s">
        <v>1077</v>
      </c>
      <c r="AB55" s="120" t="s">
        <v>986</v>
      </c>
      <c r="AQ55" s="119" t="str">
        <f t="shared" si="9"/>
        <v>PPAddIban6@mailinator.com</v>
      </c>
      <c r="AR55" s="119" t="str">
        <f t="shared" si="10"/>
        <v>PPAddIban7@mailinator.com</v>
      </c>
    </row>
    <row r="56" spans="1:44" ht="27.6" x14ac:dyDescent="0.3">
      <c r="A56" s="120" t="s">
        <v>1078</v>
      </c>
      <c r="B56" s="120" t="s">
        <v>992</v>
      </c>
      <c r="C56" s="120" t="s">
        <v>22</v>
      </c>
      <c r="D56" s="120" t="s">
        <v>1072</v>
      </c>
      <c r="E56" s="120" t="s">
        <v>1076</v>
      </c>
      <c r="F56" s="120"/>
      <c r="G56" s="120" t="s">
        <v>984</v>
      </c>
      <c r="H56" s="120"/>
      <c r="I56" s="120"/>
      <c r="J56" s="120"/>
      <c r="K56" s="121" t="str">
        <f t="shared" si="0"/>
        <v>RIGNALL</v>
      </c>
      <c r="L56" s="121" t="str">
        <f t="shared" si="1"/>
        <v>CICCHETTO</v>
      </c>
      <c r="M56" s="121">
        <f t="shared" si="11"/>
        <v>19209</v>
      </c>
      <c r="N56" s="121">
        <f t="shared" si="2"/>
        <v>22469</v>
      </c>
      <c r="O56" s="121" t="str">
        <f t="shared" si="3"/>
        <v>242600948</v>
      </c>
      <c r="P56" s="121" t="str">
        <f t="shared" si="4"/>
        <v>242600999</v>
      </c>
      <c r="Q56" s="120"/>
      <c r="R56" s="120"/>
      <c r="S56" s="120"/>
      <c r="T56" s="120"/>
      <c r="U56" s="120"/>
      <c r="V56" s="120"/>
      <c r="W56" s="122" t="str">
        <f t="shared" si="5"/>
        <v>PPAddIban6@mailinator.com</v>
      </c>
      <c r="X56" s="120" t="str">
        <f t="shared" si="6"/>
        <v>PPAddIban7@mailinator.com</v>
      </c>
      <c r="Y56" s="121" t="str">
        <f t="shared" si="7"/>
        <v>Dummy!2022</v>
      </c>
      <c r="Z56" s="121" t="str">
        <f t="shared" si="8"/>
        <v>020-8055556</v>
      </c>
      <c r="AA56" s="120" t="s">
        <v>1079</v>
      </c>
      <c r="AB56" s="120" t="s">
        <v>986</v>
      </c>
      <c r="AQ56" s="119" t="str">
        <f t="shared" si="9"/>
        <v>PPAddIban6@mailinator.com</v>
      </c>
      <c r="AR56" s="119" t="str">
        <f t="shared" si="10"/>
        <v>PPAddIban7@mailinator.com</v>
      </c>
    </row>
    <row r="57" spans="1:44" ht="27.6" x14ac:dyDescent="0.3">
      <c r="A57" s="120" t="s">
        <v>1080</v>
      </c>
      <c r="B57" s="120" t="s">
        <v>615</v>
      </c>
      <c r="C57" s="120" t="s">
        <v>997</v>
      </c>
      <c r="D57" s="120" t="s">
        <v>1072</v>
      </c>
      <c r="E57" s="120" t="s">
        <v>1076</v>
      </c>
      <c r="F57" s="120"/>
      <c r="G57" s="120" t="s">
        <v>993</v>
      </c>
      <c r="H57" s="120" t="s">
        <v>999</v>
      </c>
      <c r="I57" s="120"/>
      <c r="J57" s="120"/>
      <c r="K57" s="121" t="str">
        <f t="shared" si="0"/>
        <v>RIGNALL</v>
      </c>
      <c r="L57" s="121" t="str">
        <f t="shared" si="1"/>
        <v>CICCHETTO</v>
      </c>
      <c r="M57" s="121">
        <f t="shared" si="11"/>
        <v>19209</v>
      </c>
      <c r="N57" s="121">
        <f t="shared" si="2"/>
        <v>22469</v>
      </c>
      <c r="O57" s="121" t="str">
        <f t="shared" si="3"/>
        <v>242600948</v>
      </c>
      <c r="P57" s="121" t="str">
        <f t="shared" si="4"/>
        <v>242600999</v>
      </c>
      <c r="Q57" s="120"/>
      <c r="R57" s="120"/>
      <c r="S57" s="120"/>
      <c r="T57" s="120"/>
      <c r="U57" s="120"/>
      <c r="V57" s="120"/>
      <c r="W57" s="122" t="str">
        <f t="shared" si="5"/>
        <v>PPAddIban6@mailinator.com</v>
      </c>
      <c r="X57" s="120" t="str">
        <f t="shared" si="6"/>
        <v>PPAddIban7@mailinator.com</v>
      </c>
      <c r="Y57" s="121" t="str">
        <f t="shared" si="7"/>
        <v>Dummy!2022</v>
      </c>
      <c r="Z57" s="121" t="str">
        <f t="shared" si="8"/>
        <v>020-8055556</v>
      </c>
      <c r="AA57" s="120" t="s">
        <v>1081</v>
      </c>
      <c r="AB57" s="120" t="s">
        <v>986</v>
      </c>
      <c r="AQ57" s="119" t="str">
        <f t="shared" si="9"/>
        <v>PPAddIban6@mailinator.com</v>
      </c>
      <c r="AR57" s="119" t="str">
        <f t="shared" si="10"/>
        <v>PPAddIban7@mailinator.com</v>
      </c>
    </row>
    <row r="58" spans="1:44" ht="27.6" x14ac:dyDescent="0.3">
      <c r="A58" s="120" t="s">
        <v>1082</v>
      </c>
      <c r="B58" s="120" t="s">
        <v>615</v>
      </c>
      <c r="C58" s="120" t="s">
        <v>1005</v>
      </c>
      <c r="D58" s="120" t="s">
        <v>1072</v>
      </c>
      <c r="E58" s="120" t="s">
        <v>1076</v>
      </c>
      <c r="F58" s="120"/>
      <c r="G58" s="120" t="s">
        <v>998</v>
      </c>
      <c r="H58" s="120" t="s">
        <v>1007</v>
      </c>
      <c r="I58" s="120"/>
      <c r="J58" s="120"/>
      <c r="K58" s="121" t="str">
        <f t="shared" si="0"/>
        <v>RIGNALL</v>
      </c>
      <c r="L58" s="121" t="str">
        <f t="shared" si="1"/>
        <v>CICCHETTO</v>
      </c>
      <c r="M58" s="121">
        <f t="shared" si="11"/>
        <v>19209</v>
      </c>
      <c r="N58" s="121">
        <f t="shared" si="2"/>
        <v>22469</v>
      </c>
      <c r="O58" s="121" t="str">
        <f t="shared" si="3"/>
        <v>242600948</v>
      </c>
      <c r="P58" s="121" t="str">
        <f t="shared" si="4"/>
        <v>242600999</v>
      </c>
      <c r="Q58" s="120"/>
      <c r="R58" s="120"/>
      <c r="S58" s="120"/>
      <c r="T58" s="120"/>
      <c r="U58" s="120"/>
      <c r="V58" s="120"/>
      <c r="W58" s="122" t="str">
        <f t="shared" si="5"/>
        <v>PPAddIban6@mailinator.com</v>
      </c>
      <c r="X58" s="120" t="str">
        <f t="shared" si="6"/>
        <v>PPAddIban7@mailinator.com</v>
      </c>
      <c r="Y58" s="121" t="str">
        <f t="shared" si="7"/>
        <v>Dummy!2022</v>
      </c>
      <c r="Z58" s="121" t="str">
        <f t="shared" si="8"/>
        <v>020-8055556</v>
      </c>
      <c r="AA58" s="120" t="s">
        <v>1083</v>
      </c>
      <c r="AB58" s="120" t="s">
        <v>986</v>
      </c>
      <c r="AQ58" s="119" t="str">
        <f t="shared" si="9"/>
        <v>PPAddIban6@mailinator.com</v>
      </c>
      <c r="AR58" s="119" t="str">
        <f t="shared" si="10"/>
        <v>PPAddIban7@mailinator.com</v>
      </c>
    </row>
    <row r="59" spans="1:44" ht="41.4" x14ac:dyDescent="0.3">
      <c r="A59" s="120" t="s">
        <v>1084</v>
      </c>
      <c r="B59" s="120" t="s">
        <v>615</v>
      </c>
      <c r="C59" s="120" t="s">
        <v>1021</v>
      </c>
      <c r="D59" s="120" t="s">
        <v>1072</v>
      </c>
      <c r="E59" s="120" t="s">
        <v>1076</v>
      </c>
      <c r="F59" s="120" t="s">
        <v>72</v>
      </c>
      <c r="G59" s="120" t="s">
        <v>1006</v>
      </c>
      <c r="H59" s="120" t="s">
        <v>985</v>
      </c>
      <c r="I59" s="120"/>
      <c r="J59" s="120"/>
      <c r="K59" s="121" t="str">
        <f t="shared" si="0"/>
        <v>RIGNALL</v>
      </c>
      <c r="L59" s="121" t="str">
        <f t="shared" si="1"/>
        <v>CICCHETTO</v>
      </c>
      <c r="M59" s="121">
        <f t="shared" si="11"/>
        <v>19209</v>
      </c>
      <c r="N59" s="121">
        <f t="shared" si="2"/>
        <v>22469</v>
      </c>
      <c r="O59" s="121" t="str">
        <f t="shared" si="3"/>
        <v>242600948</v>
      </c>
      <c r="P59" s="121" t="str">
        <f t="shared" si="4"/>
        <v>242600999</v>
      </c>
      <c r="Q59" s="120" t="s">
        <v>1015</v>
      </c>
      <c r="R59" s="120" t="s">
        <v>1016</v>
      </c>
      <c r="S59" s="120" t="s">
        <v>1017</v>
      </c>
      <c r="T59" s="120" t="s">
        <v>1018</v>
      </c>
      <c r="U59" s="120" t="s">
        <v>1019</v>
      </c>
      <c r="V59" s="120"/>
      <c r="W59" s="122" t="str">
        <f t="shared" si="5"/>
        <v>PPAddIban6@mailinator.com</v>
      </c>
      <c r="X59" s="120" t="str">
        <f t="shared" si="6"/>
        <v>PPAddIban7@mailinator.com</v>
      </c>
      <c r="Y59" s="121" t="str">
        <f t="shared" si="7"/>
        <v>Dummy!2022</v>
      </c>
      <c r="Z59" s="121" t="str">
        <f t="shared" si="8"/>
        <v>020-8055556</v>
      </c>
      <c r="AA59" s="120" t="s">
        <v>1085</v>
      </c>
      <c r="AB59" s="120" t="s">
        <v>986</v>
      </c>
      <c r="AQ59" s="119" t="str">
        <f t="shared" si="9"/>
        <v>PPAddIban6@mailinator.com</v>
      </c>
      <c r="AR59" s="119" t="str">
        <f t="shared" si="10"/>
        <v>PPAddIban7@mailinator.com</v>
      </c>
    </row>
    <row r="60" spans="1:44" ht="27.6" x14ac:dyDescent="0.3">
      <c r="A60" s="120" t="s">
        <v>1086</v>
      </c>
      <c r="B60" s="120" t="s">
        <v>615</v>
      </c>
      <c r="C60" s="120" t="s">
        <v>1028</v>
      </c>
      <c r="D60" s="120" t="s">
        <v>1072</v>
      </c>
      <c r="E60" s="120" t="s">
        <v>1076</v>
      </c>
      <c r="F60" s="120" t="s">
        <v>72</v>
      </c>
      <c r="G60" s="120" t="s">
        <v>1012</v>
      </c>
      <c r="H60" s="120"/>
      <c r="I60" s="120"/>
      <c r="J60" s="120"/>
      <c r="K60" s="121" t="str">
        <f t="shared" si="0"/>
        <v>RIGNALL</v>
      </c>
      <c r="L60" s="121" t="str">
        <f t="shared" si="1"/>
        <v>CICCHETTO</v>
      </c>
      <c r="M60" s="121">
        <f t="shared" si="11"/>
        <v>19209</v>
      </c>
      <c r="N60" s="121">
        <f t="shared" si="2"/>
        <v>22469</v>
      </c>
      <c r="O60" s="121" t="str">
        <f t="shared" si="3"/>
        <v>242600948</v>
      </c>
      <c r="P60" s="121" t="str">
        <f t="shared" si="4"/>
        <v>242600999</v>
      </c>
      <c r="Q60" s="120" t="s">
        <v>1015</v>
      </c>
      <c r="R60" s="120" t="s">
        <v>1016</v>
      </c>
      <c r="S60" s="120" t="s">
        <v>1017</v>
      </c>
      <c r="T60" s="120" t="s">
        <v>1018</v>
      </c>
      <c r="U60" s="120" t="s">
        <v>1019</v>
      </c>
      <c r="V60" s="120"/>
      <c r="W60" s="122" t="str">
        <f t="shared" si="5"/>
        <v>PPAddIban6@mailinator.com</v>
      </c>
      <c r="X60" s="120" t="str">
        <f t="shared" si="6"/>
        <v>PPAddIban7@mailinator.com</v>
      </c>
      <c r="Y60" s="121" t="str">
        <f t="shared" si="7"/>
        <v>Dummy!2022</v>
      </c>
      <c r="Z60" s="121" t="str">
        <f t="shared" si="8"/>
        <v>020-8055556</v>
      </c>
      <c r="AA60" s="120" t="s">
        <v>1087</v>
      </c>
      <c r="AB60" s="120" t="s">
        <v>986</v>
      </c>
      <c r="AQ60" s="119" t="str">
        <f t="shared" si="9"/>
        <v>PPAddIban6@mailinator.com</v>
      </c>
      <c r="AR60" s="119" t="str">
        <f t="shared" si="10"/>
        <v>PPAddIban7@mailinator.com</v>
      </c>
    </row>
    <row r="61" spans="1:44" ht="27.6" x14ac:dyDescent="0.3">
      <c r="A61" s="120" t="s">
        <v>1088</v>
      </c>
      <c r="B61" s="120" t="s">
        <v>615</v>
      </c>
      <c r="C61" s="120" t="s">
        <v>1028</v>
      </c>
      <c r="D61" s="120" t="s">
        <v>1072</v>
      </c>
      <c r="E61" s="120" t="s">
        <v>1076</v>
      </c>
      <c r="F61" s="120" t="s">
        <v>31</v>
      </c>
      <c r="G61" s="120" t="s">
        <v>1022</v>
      </c>
      <c r="H61" s="120"/>
      <c r="I61" s="120"/>
      <c r="J61" s="120"/>
      <c r="K61" s="121" t="str">
        <f t="shared" si="0"/>
        <v>RIGNALL</v>
      </c>
      <c r="L61" s="121" t="str">
        <f t="shared" si="1"/>
        <v>CICCHETTO</v>
      </c>
      <c r="M61" s="121">
        <f t="shared" si="11"/>
        <v>19209</v>
      </c>
      <c r="N61" s="121">
        <f t="shared" si="2"/>
        <v>22469</v>
      </c>
      <c r="O61" s="121" t="str">
        <f t="shared" si="3"/>
        <v>242600948</v>
      </c>
      <c r="P61" s="121" t="str">
        <f t="shared" si="4"/>
        <v>242600999</v>
      </c>
      <c r="Q61" s="120" t="s">
        <v>1015</v>
      </c>
      <c r="R61" s="120" t="s">
        <v>1016</v>
      </c>
      <c r="S61" s="120" t="s">
        <v>1017</v>
      </c>
      <c r="T61" s="120" t="s">
        <v>1018</v>
      </c>
      <c r="U61" s="120" t="s">
        <v>1019</v>
      </c>
      <c r="V61" s="120"/>
      <c r="W61" s="122" t="str">
        <f t="shared" si="5"/>
        <v>PPAddIban6@mailinator.com</v>
      </c>
      <c r="X61" s="120" t="str">
        <f t="shared" si="6"/>
        <v>PPAddIban7@mailinator.com</v>
      </c>
      <c r="Y61" s="121" t="str">
        <f t="shared" si="7"/>
        <v>Dummy!2022</v>
      </c>
      <c r="Z61" s="121" t="str">
        <f t="shared" si="8"/>
        <v>020-8055556</v>
      </c>
      <c r="AA61" s="120" t="s">
        <v>1089</v>
      </c>
      <c r="AB61" s="120" t="s">
        <v>986</v>
      </c>
      <c r="AQ61" s="119" t="str">
        <f t="shared" si="9"/>
        <v>PPAddIban6@mailinator.com</v>
      </c>
      <c r="AR61" s="119" t="str">
        <f t="shared" si="10"/>
        <v>PPAddIban7@mailinator.com</v>
      </c>
    </row>
    <row r="62" spans="1:44" ht="27.6" x14ac:dyDescent="0.3">
      <c r="A62" s="120" t="s">
        <v>1090</v>
      </c>
      <c r="B62" s="120" t="s">
        <v>615</v>
      </c>
      <c r="C62" s="120" t="s">
        <v>1032</v>
      </c>
      <c r="D62" s="120" t="s">
        <v>1072</v>
      </c>
      <c r="E62" s="120" t="s">
        <v>1076</v>
      </c>
      <c r="F62" s="120" t="s">
        <v>31</v>
      </c>
      <c r="G62" s="120" t="s">
        <v>1029</v>
      </c>
      <c r="H62" s="120" t="s">
        <v>985</v>
      </c>
      <c r="I62" s="120"/>
      <c r="J62" s="120"/>
      <c r="K62" s="121" t="str">
        <f t="shared" si="0"/>
        <v>RIGNALL</v>
      </c>
      <c r="L62" s="121" t="str">
        <f t="shared" si="1"/>
        <v>CICCHETTO</v>
      </c>
      <c r="M62" s="121">
        <f t="shared" si="11"/>
        <v>19209</v>
      </c>
      <c r="N62" s="121">
        <f t="shared" si="2"/>
        <v>22469</v>
      </c>
      <c r="O62" s="121" t="str">
        <f t="shared" si="3"/>
        <v>242600948</v>
      </c>
      <c r="P62" s="121" t="str">
        <f t="shared" si="4"/>
        <v>242600999</v>
      </c>
      <c r="Q62" s="120" t="s">
        <v>1015</v>
      </c>
      <c r="R62" s="120" t="s">
        <v>1016</v>
      </c>
      <c r="S62" s="120" t="s">
        <v>1054</v>
      </c>
      <c r="T62" s="120" t="s">
        <v>1018</v>
      </c>
      <c r="U62" s="120" t="s">
        <v>1019</v>
      </c>
      <c r="V62" s="120"/>
      <c r="W62" s="122" t="str">
        <f t="shared" si="5"/>
        <v>PPAddIban6@mailinator.com</v>
      </c>
      <c r="X62" s="120" t="str">
        <f t="shared" si="6"/>
        <v>PPAddIban7@mailinator.com</v>
      </c>
      <c r="Y62" s="121" t="str">
        <f t="shared" si="7"/>
        <v>Dummy!2022</v>
      </c>
      <c r="Z62" s="121" t="str">
        <f t="shared" si="8"/>
        <v>020-8055556</v>
      </c>
      <c r="AA62" s="120" t="s">
        <v>1091</v>
      </c>
      <c r="AB62" s="120" t="s">
        <v>986</v>
      </c>
      <c r="AQ62" s="119" t="str">
        <f t="shared" si="9"/>
        <v>PPAddIban6@mailinator.com</v>
      </c>
      <c r="AR62" s="119" t="str">
        <f t="shared" si="10"/>
        <v>PPAddIban7@mailinator.com</v>
      </c>
    </row>
    <row r="63" spans="1:44" ht="41.4" x14ac:dyDescent="0.3">
      <c r="A63" s="120" t="s">
        <v>728</v>
      </c>
      <c r="B63" s="120" t="s">
        <v>615</v>
      </c>
      <c r="C63" s="120" t="s">
        <v>1021</v>
      </c>
      <c r="D63" s="120" t="s">
        <v>1072</v>
      </c>
      <c r="E63" s="120" t="s">
        <v>1076</v>
      </c>
      <c r="F63" s="120" t="s">
        <v>31</v>
      </c>
      <c r="G63" s="120" t="s">
        <v>1033</v>
      </c>
      <c r="H63" s="120" t="s">
        <v>999</v>
      </c>
      <c r="I63" s="120"/>
      <c r="J63" s="120"/>
      <c r="K63" s="121" t="str">
        <f t="shared" si="0"/>
        <v>RIGNALL</v>
      </c>
      <c r="L63" s="121" t="str">
        <f t="shared" si="1"/>
        <v>CICCHETTO</v>
      </c>
      <c r="M63" s="121">
        <f t="shared" si="11"/>
        <v>19209</v>
      </c>
      <c r="N63" s="121">
        <f t="shared" si="2"/>
        <v>22469</v>
      </c>
      <c r="O63" s="121" t="str">
        <f t="shared" si="3"/>
        <v>242600948</v>
      </c>
      <c r="P63" s="121" t="str">
        <f t="shared" si="4"/>
        <v>242600999</v>
      </c>
      <c r="Q63" s="120" t="s">
        <v>1015</v>
      </c>
      <c r="R63" s="120" t="s">
        <v>1016</v>
      </c>
      <c r="S63" s="120" t="s">
        <v>1056</v>
      </c>
      <c r="T63" s="120" t="s">
        <v>1018</v>
      </c>
      <c r="U63" s="120" t="s">
        <v>1019</v>
      </c>
      <c r="V63" s="120"/>
      <c r="W63" s="122" t="str">
        <f t="shared" si="5"/>
        <v>PPAddIban6@mailinator.com</v>
      </c>
      <c r="X63" s="120" t="str">
        <f t="shared" si="6"/>
        <v>PPAddIban7@mailinator.com</v>
      </c>
      <c r="Y63" s="121" t="str">
        <f t="shared" si="7"/>
        <v>Dummy!2022</v>
      </c>
      <c r="Z63" s="121" t="str">
        <f t="shared" si="8"/>
        <v>020-8055556</v>
      </c>
      <c r="AA63" s="120" t="s">
        <v>1092</v>
      </c>
      <c r="AB63" s="120" t="s">
        <v>986</v>
      </c>
      <c r="AQ63" s="119" t="str">
        <f t="shared" si="9"/>
        <v>PPAddIban6@mailinator.com</v>
      </c>
      <c r="AR63" s="119" t="str">
        <f t="shared" si="10"/>
        <v>PPAddIban7@mailinator.com</v>
      </c>
    </row>
    <row r="64" spans="1:44" ht="27.6" x14ac:dyDescent="0.3">
      <c r="A64" s="120" t="s">
        <v>729</v>
      </c>
      <c r="B64" s="120" t="s">
        <v>980</v>
      </c>
      <c r="C64" s="120" t="s">
        <v>981</v>
      </c>
      <c r="D64" s="120" t="s">
        <v>1072</v>
      </c>
      <c r="E64" s="120" t="s">
        <v>1093</v>
      </c>
      <c r="F64" s="120"/>
      <c r="G64" s="120" t="s">
        <v>985</v>
      </c>
      <c r="H64" s="120" t="s">
        <v>985</v>
      </c>
      <c r="I64" s="120"/>
      <c r="J64" s="120"/>
      <c r="K64" s="121" t="str">
        <f t="shared" si="0"/>
        <v>BOURNE</v>
      </c>
      <c r="L64" s="121" t="str">
        <f t="shared" si="1"/>
        <v>CICCHETTO</v>
      </c>
      <c r="M64" s="121">
        <f t="shared" si="11"/>
        <v>22626</v>
      </c>
      <c r="N64" s="121">
        <f t="shared" si="2"/>
        <v>22469</v>
      </c>
      <c r="O64" s="121" t="str">
        <f t="shared" si="3"/>
        <v>242599915</v>
      </c>
      <c r="P64" s="121" t="str">
        <f t="shared" si="4"/>
        <v>242600999</v>
      </c>
      <c r="Q64" s="120"/>
      <c r="R64" s="120"/>
      <c r="S64" s="120"/>
      <c r="T64" s="120"/>
      <c r="U64" s="120"/>
      <c r="V64" s="120"/>
      <c r="W64" s="122" t="str">
        <f t="shared" si="5"/>
        <v>PPAddIban16@mailinator.com</v>
      </c>
      <c r="X64" s="120" t="str">
        <f t="shared" si="6"/>
        <v>PPAddIban7@mailinator.com</v>
      </c>
      <c r="Y64" s="121" t="str">
        <f t="shared" si="7"/>
        <v>Dummy!2022</v>
      </c>
      <c r="Z64" s="121" t="str">
        <f t="shared" si="8"/>
        <v>020-8055516</v>
      </c>
      <c r="AA64" s="120" t="s">
        <v>1094</v>
      </c>
      <c r="AB64" s="120" t="s">
        <v>986</v>
      </c>
      <c r="AQ64" s="119" t="str">
        <f t="shared" si="9"/>
        <v>PPAddIban16@mailinator.com</v>
      </c>
      <c r="AR64" s="119" t="str">
        <f t="shared" si="10"/>
        <v>PPAddIban7@mailinator.com</v>
      </c>
    </row>
    <row r="65" spans="1:44" ht="27.6" x14ac:dyDescent="0.3">
      <c r="A65" s="120" t="s">
        <v>1095</v>
      </c>
      <c r="B65" s="120" t="s">
        <v>992</v>
      </c>
      <c r="C65" s="120" t="s">
        <v>22</v>
      </c>
      <c r="D65" s="120" t="s">
        <v>1072</v>
      </c>
      <c r="E65" s="120" t="s">
        <v>1093</v>
      </c>
      <c r="F65" s="120"/>
      <c r="G65" s="120" t="s">
        <v>984</v>
      </c>
      <c r="H65" s="120"/>
      <c r="I65" s="120"/>
      <c r="J65" s="120"/>
      <c r="K65" s="121" t="str">
        <f t="shared" si="0"/>
        <v>BOURNE</v>
      </c>
      <c r="L65" s="121" t="str">
        <f t="shared" si="1"/>
        <v>CICCHETTO</v>
      </c>
      <c r="M65" s="121">
        <f t="shared" si="11"/>
        <v>22626</v>
      </c>
      <c r="N65" s="121">
        <f t="shared" si="2"/>
        <v>22469</v>
      </c>
      <c r="O65" s="121" t="str">
        <f t="shared" si="3"/>
        <v>242599915</v>
      </c>
      <c r="P65" s="121" t="str">
        <f t="shared" si="4"/>
        <v>242600999</v>
      </c>
      <c r="Q65" s="120"/>
      <c r="R65" s="120"/>
      <c r="S65" s="120"/>
      <c r="T65" s="120"/>
      <c r="U65" s="120"/>
      <c r="V65" s="120"/>
      <c r="W65" s="122" t="str">
        <f t="shared" si="5"/>
        <v>PPAddIban16@mailinator.com</v>
      </c>
      <c r="X65" s="120" t="str">
        <f t="shared" si="6"/>
        <v>PPAddIban7@mailinator.com</v>
      </c>
      <c r="Y65" s="121" t="str">
        <f t="shared" si="7"/>
        <v>Dummy!2022</v>
      </c>
      <c r="Z65" s="121" t="str">
        <f t="shared" si="8"/>
        <v>020-8055516</v>
      </c>
      <c r="AA65" s="120" t="s">
        <v>1096</v>
      </c>
      <c r="AB65" s="120" t="s">
        <v>986</v>
      </c>
      <c r="AQ65" s="119" t="str">
        <f t="shared" si="9"/>
        <v>PPAddIban16@mailinator.com</v>
      </c>
      <c r="AR65" s="119" t="str">
        <f t="shared" si="10"/>
        <v>PPAddIban7@mailinator.com</v>
      </c>
    </row>
    <row r="66" spans="1:44" ht="27.6" x14ac:dyDescent="0.3">
      <c r="A66" s="120" t="s">
        <v>725</v>
      </c>
      <c r="B66" s="120" t="s">
        <v>615</v>
      </c>
      <c r="C66" s="120" t="s">
        <v>997</v>
      </c>
      <c r="D66" s="120" t="s">
        <v>1072</v>
      </c>
      <c r="E66" s="120" t="s">
        <v>1093</v>
      </c>
      <c r="F66" s="120"/>
      <c r="G66" s="120" t="s">
        <v>993</v>
      </c>
      <c r="H66" s="120" t="s">
        <v>999</v>
      </c>
      <c r="I66" s="120"/>
      <c r="J66" s="120"/>
      <c r="K66" s="121" t="str">
        <f t="shared" si="0"/>
        <v>BOURNE</v>
      </c>
      <c r="L66" s="121" t="str">
        <f t="shared" si="1"/>
        <v>CICCHETTO</v>
      </c>
      <c r="M66" s="121">
        <f t="shared" si="11"/>
        <v>22626</v>
      </c>
      <c r="N66" s="121">
        <f t="shared" si="2"/>
        <v>22469</v>
      </c>
      <c r="O66" s="121" t="str">
        <f t="shared" si="3"/>
        <v>242599915</v>
      </c>
      <c r="P66" s="121" t="str">
        <f t="shared" si="4"/>
        <v>242600999</v>
      </c>
      <c r="Q66" s="120"/>
      <c r="R66" s="120"/>
      <c r="S66" s="120"/>
      <c r="T66" s="120"/>
      <c r="U66" s="120"/>
      <c r="V66" s="120"/>
      <c r="W66" s="122" t="str">
        <f t="shared" si="5"/>
        <v>PPAddIban16@mailinator.com</v>
      </c>
      <c r="X66" s="120" t="str">
        <f t="shared" si="6"/>
        <v>PPAddIban7@mailinator.com</v>
      </c>
      <c r="Y66" s="121" t="str">
        <f t="shared" si="7"/>
        <v>Dummy!2022</v>
      </c>
      <c r="Z66" s="121" t="str">
        <f t="shared" si="8"/>
        <v>020-8055516</v>
      </c>
      <c r="AA66" s="120" t="s">
        <v>1097</v>
      </c>
      <c r="AB66" s="120" t="s">
        <v>986</v>
      </c>
      <c r="AQ66" s="119" t="str">
        <f t="shared" si="9"/>
        <v>PPAddIban16@mailinator.com</v>
      </c>
      <c r="AR66" s="119" t="str">
        <f t="shared" si="10"/>
        <v>PPAddIban7@mailinator.com</v>
      </c>
    </row>
    <row r="67" spans="1:44" ht="27.6" x14ac:dyDescent="0.3">
      <c r="A67" s="120" t="s">
        <v>726</v>
      </c>
      <c r="B67" s="120" t="s">
        <v>615</v>
      </c>
      <c r="C67" s="120" t="s">
        <v>1005</v>
      </c>
      <c r="D67" s="120" t="s">
        <v>1072</v>
      </c>
      <c r="E67" s="120" t="s">
        <v>1093</v>
      </c>
      <c r="F67" s="120"/>
      <c r="G67" s="120" t="s">
        <v>998</v>
      </c>
      <c r="H67" s="120" t="s">
        <v>1007</v>
      </c>
      <c r="I67" s="120"/>
      <c r="J67" s="120"/>
      <c r="K67" s="121" t="str">
        <f t="shared" ref="K67:K130" si="12">IF(W67=$AU$4, $AX$4,
IF(W67=$AU$2,$AX$2, ""))</f>
        <v>BOURNE</v>
      </c>
      <c r="L67" s="121" t="str">
        <f t="shared" ref="L67:L130" si="13">IF(X67=$AU$5, $AX$5,
IF(X67=$AU$3,$AX$3, ""))</f>
        <v>CICCHETTO</v>
      </c>
      <c r="M67" s="121">
        <f t="shared" si="11"/>
        <v>22626</v>
      </c>
      <c r="N67" s="121">
        <f t="shared" ref="N67:N130" si="14">IF(X67=$AU$5, $AW$5,
IF(X67=$AU$3,$AW$3, ""))</f>
        <v>22469</v>
      </c>
      <c r="O67" s="121" t="str">
        <f t="shared" ref="O67:O130" si="15">IF(W67=$AU$4, $AV$4,
IF(W67=$AU$2,$AV$2, ""))</f>
        <v>242599915</v>
      </c>
      <c r="P67" s="121" t="str">
        <f t="shared" ref="P67:P130" si="16">IF(X67=$AU$5, $AV$5,
IF(X67=$AU$3,$AV$3, ""))</f>
        <v>242600999</v>
      </c>
      <c r="Q67" s="120"/>
      <c r="R67" s="120"/>
      <c r="S67" s="120"/>
      <c r="T67" s="120"/>
      <c r="U67" s="120"/>
      <c r="V67" s="120"/>
      <c r="W67" s="122" t="str">
        <f t="shared" ref="W67:W130" si="17">IF(E67="Y", $AU$4,
IF(E67="N",$AU$2,
IF(E67="Y,Y",  $AU$4,
IF(E67="N,N",$AU$2,
IF(E67="Y,N", $AU$4,
IF(E67="N,Y", $AU$2, ""))))))</f>
        <v>PPAddIban16@mailinator.com</v>
      </c>
      <c r="X67" s="120" t="str">
        <f t="shared" ref="X67:X130" si="18">IF(E67="Y,Y", $AU$5,
IF(E67="N,N", $AU$3,
IF(E67="Y,N", $AU$3,
IF(E67="N,Y",$AU$5, ""))))</f>
        <v>PPAddIban7@mailinator.com</v>
      </c>
      <c r="Y67" s="121" t="str">
        <f t="shared" ref="Y67:Y130" si="19">IF(W67=$AU$2, $AZ$2,
IF(W67=$AU$4,$AZ$4, ""))</f>
        <v>Dummy!2022</v>
      </c>
      <c r="Z67" s="121" t="str">
        <f t="shared" ref="Z67:Z130" si="20">IF(W67=$AU$4, $AY$4,
IF(W67=$AU$2,$AY$2, ""))</f>
        <v>020-8055516</v>
      </c>
      <c r="AA67" s="120" t="s">
        <v>1098</v>
      </c>
      <c r="AB67" s="120" t="s">
        <v>986</v>
      </c>
      <c r="AQ67" s="119" t="str">
        <f t="shared" ref="AQ67:AQ130" si="21">IF(E67="Y", $AU$4,
IF(E67="N",$AU$2,
IF(E67="Y,Y",  $AU$4,
IF(E67="N,N",$AU$2,
IF(E67="Y,N", $AU$4,
IF(E67="N,Y", $AU$2, ""))))))</f>
        <v>PPAddIban16@mailinator.com</v>
      </c>
      <c r="AR67" s="119" t="str">
        <f t="shared" ref="AR67:AR130" si="22">IF(E67="Y,Y", $AU$5,
IF(E67="N,N", $AU$3,
IF(E67="Y,N", $AU$3,
IF(E67="N,Y",$AU$5, ""))))</f>
        <v>PPAddIban7@mailinator.com</v>
      </c>
    </row>
    <row r="68" spans="1:44" ht="41.4" x14ac:dyDescent="0.3">
      <c r="A68" s="120" t="s">
        <v>727</v>
      </c>
      <c r="B68" s="120" t="s">
        <v>615</v>
      </c>
      <c r="C68" s="120" t="s">
        <v>1021</v>
      </c>
      <c r="D68" s="120" t="s">
        <v>1072</v>
      </c>
      <c r="E68" s="120" t="s">
        <v>1093</v>
      </c>
      <c r="F68" s="120" t="s">
        <v>72</v>
      </c>
      <c r="G68" s="120" t="s">
        <v>1006</v>
      </c>
      <c r="H68" s="120" t="s">
        <v>985</v>
      </c>
      <c r="I68" s="120"/>
      <c r="J68" s="120"/>
      <c r="K68" s="121" t="str">
        <f t="shared" si="12"/>
        <v>BOURNE</v>
      </c>
      <c r="L68" s="121" t="str">
        <f t="shared" si="13"/>
        <v>CICCHETTO</v>
      </c>
      <c r="M68" s="121">
        <f t="shared" ref="M68:M131" si="23">IF(W68=$AU$4, $AW$4,
IF(W68=$AU$2,$AW$2, ""))</f>
        <v>22626</v>
      </c>
      <c r="N68" s="121">
        <f t="shared" si="14"/>
        <v>22469</v>
      </c>
      <c r="O68" s="121" t="str">
        <f t="shared" si="15"/>
        <v>242599915</v>
      </c>
      <c r="P68" s="121" t="str">
        <f t="shared" si="16"/>
        <v>242600999</v>
      </c>
      <c r="Q68" s="120" t="s">
        <v>1015</v>
      </c>
      <c r="R68" s="120" t="s">
        <v>1016</v>
      </c>
      <c r="S68" s="120" t="s">
        <v>1017</v>
      </c>
      <c r="T68" s="120" t="s">
        <v>1018</v>
      </c>
      <c r="U68" s="120" t="s">
        <v>1019</v>
      </c>
      <c r="V68" s="120"/>
      <c r="W68" s="122" t="str">
        <f t="shared" si="17"/>
        <v>PPAddIban16@mailinator.com</v>
      </c>
      <c r="X68" s="120" t="str">
        <f t="shared" si="18"/>
        <v>PPAddIban7@mailinator.com</v>
      </c>
      <c r="Y68" s="121" t="str">
        <f t="shared" si="19"/>
        <v>Dummy!2022</v>
      </c>
      <c r="Z68" s="121" t="str">
        <f t="shared" si="20"/>
        <v>020-8055516</v>
      </c>
      <c r="AA68" s="120" t="s">
        <v>1099</v>
      </c>
      <c r="AB68" s="120" t="s">
        <v>986</v>
      </c>
      <c r="AQ68" s="119" t="str">
        <f t="shared" si="21"/>
        <v>PPAddIban16@mailinator.com</v>
      </c>
      <c r="AR68" s="119" t="str">
        <f t="shared" si="22"/>
        <v>PPAddIban7@mailinator.com</v>
      </c>
    </row>
    <row r="69" spans="1:44" ht="27.6" x14ac:dyDescent="0.3">
      <c r="A69" s="120" t="s">
        <v>780</v>
      </c>
      <c r="B69" s="120" t="s">
        <v>615</v>
      </c>
      <c r="C69" s="120" t="s">
        <v>1028</v>
      </c>
      <c r="D69" s="120" t="s">
        <v>1072</v>
      </c>
      <c r="E69" s="120" t="s">
        <v>1093</v>
      </c>
      <c r="F69" s="120" t="s">
        <v>72</v>
      </c>
      <c r="G69" s="120" t="s">
        <v>1012</v>
      </c>
      <c r="H69" s="120"/>
      <c r="I69" s="120"/>
      <c r="J69" s="120"/>
      <c r="K69" s="121" t="str">
        <f t="shared" si="12"/>
        <v>BOURNE</v>
      </c>
      <c r="L69" s="121" t="str">
        <f t="shared" si="13"/>
        <v>CICCHETTO</v>
      </c>
      <c r="M69" s="121">
        <f t="shared" si="23"/>
        <v>22626</v>
      </c>
      <c r="N69" s="121">
        <f t="shared" si="14"/>
        <v>22469</v>
      </c>
      <c r="O69" s="121" t="str">
        <f t="shared" si="15"/>
        <v>242599915</v>
      </c>
      <c r="P69" s="121" t="str">
        <f t="shared" si="16"/>
        <v>242600999</v>
      </c>
      <c r="Q69" s="120" t="s">
        <v>1015</v>
      </c>
      <c r="R69" s="120" t="s">
        <v>1016</v>
      </c>
      <c r="S69" s="120" t="s">
        <v>1017</v>
      </c>
      <c r="T69" s="120" t="s">
        <v>1018</v>
      </c>
      <c r="U69" s="120" t="s">
        <v>1019</v>
      </c>
      <c r="V69" s="120"/>
      <c r="W69" s="122" t="str">
        <f t="shared" si="17"/>
        <v>PPAddIban16@mailinator.com</v>
      </c>
      <c r="X69" s="120" t="str">
        <f t="shared" si="18"/>
        <v>PPAddIban7@mailinator.com</v>
      </c>
      <c r="Y69" s="121" t="str">
        <f t="shared" si="19"/>
        <v>Dummy!2022</v>
      </c>
      <c r="Z69" s="121" t="str">
        <f t="shared" si="20"/>
        <v>020-8055516</v>
      </c>
      <c r="AA69" s="120" t="s">
        <v>1100</v>
      </c>
      <c r="AB69" s="120" t="s">
        <v>986</v>
      </c>
      <c r="AQ69" s="119" t="str">
        <f t="shared" si="21"/>
        <v>PPAddIban16@mailinator.com</v>
      </c>
      <c r="AR69" s="119" t="str">
        <f t="shared" si="22"/>
        <v>PPAddIban7@mailinator.com</v>
      </c>
    </row>
    <row r="70" spans="1:44" ht="27.6" x14ac:dyDescent="0.3">
      <c r="A70" s="120" t="s">
        <v>1101</v>
      </c>
      <c r="B70" s="120" t="s">
        <v>615</v>
      </c>
      <c r="C70" s="120" t="s">
        <v>1028</v>
      </c>
      <c r="D70" s="120" t="s">
        <v>1072</v>
      </c>
      <c r="E70" s="120" t="s">
        <v>1093</v>
      </c>
      <c r="F70" s="120" t="s">
        <v>31</v>
      </c>
      <c r="G70" s="120" t="s">
        <v>1022</v>
      </c>
      <c r="H70" s="120"/>
      <c r="I70" s="120"/>
      <c r="J70" s="120"/>
      <c r="K70" s="121" t="str">
        <f t="shared" si="12"/>
        <v>BOURNE</v>
      </c>
      <c r="L70" s="121" t="str">
        <f t="shared" si="13"/>
        <v>CICCHETTO</v>
      </c>
      <c r="M70" s="121">
        <f t="shared" si="23"/>
        <v>22626</v>
      </c>
      <c r="N70" s="121">
        <f t="shared" si="14"/>
        <v>22469</v>
      </c>
      <c r="O70" s="121" t="str">
        <f t="shared" si="15"/>
        <v>242599915</v>
      </c>
      <c r="P70" s="121" t="str">
        <f t="shared" si="16"/>
        <v>242600999</v>
      </c>
      <c r="Q70" s="120" t="s">
        <v>1015</v>
      </c>
      <c r="R70" s="120" t="s">
        <v>1016</v>
      </c>
      <c r="S70" s="120" t="s">
        <v>1017</v>
      </c>
      <c r="T70" s="120" t="s">
        <v>1018</v>
      </c>
      <c r="U70" s="120" t="s">
        <v>1019</v>
      </c>
      <c r="V70" s="120"/>
      <c r="W70" s="122" t="str">
        <f t="shared" si="17"/>
        <v>PPAddIban16@mailinator.com</v>
      </c>
      <c r="X70" s="120" t="str">
        <f t="shared" si="18"/>
        <v>PPAddIban7@mailinator.com</v>
      </c>
      <c r="Y70" s="121" t="str">
        <f t="shared" si="19"/>
        <v>Dummy!2022</v>
      </c>
      <c r="Z70" s="121" t="str">
        <f t="shared" si="20"/>
        <v>020-8055516</v>
      </c>
      <c r="AA70" s="120" t="s">
        <v>1102</v>
      </c>
      <c r="AB70" s="120" t="s">
        <v>986</v>
      </c>
      <c r="AQ70" s="119" t="str">
        <f t="shared" si="21"/>
        <v>PPAddIban16@mailinator.com</v>
      </c>
      <c r="AR70" s="119" t="str">
        <f t="shared" si="22"/>
        <v>PPAddIban7@mailinator.com</v>
      </c>
    </row>
    <row r="71" spans="1:44" ht="27.6" x14ac:dyDescent="0.3">
      <c r="A71" s="120" t="s">
        <v>730</v>
      </c>
      <c r="B71" s="120" t="s">
        <v>615</v>
      </c>
      <c r="C71" s="120" t="s">
        <v>1032</v>
      </c>
      <c r="D71" s="120" t="s">
        <v>1072</v>
      </c>
      <c r="E71" s="120" t="s">
        <v>1093</v>
      </c>
      <c r="F71" s="120" t="s">
        <v>31</v>
      </c>
      <c r="G71" s="120" t="s">
        <v>1029</v>
      </c>
      <c r="H71" s="120" t="s">
        <v>985</v>
      </c>
      <c r="I71" s="120"/>
      <c r="J71" s="120"/>
      <c r="K71" s="121" t="str">
        <f t="shared" si="12"/>
        <v>BOURNE</v>
      </c>
      <c r="L71" s="121" t="str">
        <f t="shared" si="13"/>
        <v>CICCHETTO</v>
      </c>
      <c r="M71" s="121">
        <f t="shared" si="23"/>
        <v>22626</v>
      </c>
      <c r="N71" s="121">
        <f t="shared" si="14"/>
        <v>22469</v>
      </c>
      <c r="O71" s="121" t="str">
        <f t="shared" si="15"/>
        <v>242599915</v>
      </c>
      <c r="P71" s="121" t="str">
        <f t="shared" si="16"/>
        <v>242600999</v>
      </c>
      <c r="Q71" s="120" t="s">
        <v>1015</v>
      </c>
      <c r="R71" s="120" t="s">
        <v>1016</v>
      </c>
      <c r="S71" s="120" t="s">
        <v>1054</v>
      </c>
      <c r="T71" s="120" t="s">
        <v>1018</v>
      </c>
      <c r="U71" s="120" t="s">
        <v>1019</v>
      </c>
      <c r="V71" s="120"/>
      <c r="W71" s="122" t="str">
        <f t="shared" si="17"/>
        <v>PPAddIban16@mailinator.com</v>
      </c>
      <c r="X71" s="120" t="str">
        <f t="shared" si="18"/>
        <v>PPAddIban7@mailinator.com</v>
      </c>
      <c r="Y71" s="121" t="str">
        <f t="shared" si="19"/>
        <v>Dummy!2022</v>
      </c>
      <c r="Z71" s="121" t="str">
        <f t="shared" si="20"/>
        <v>020-8055516</v>
      </c>
      <c r="AA71" s="120" t="s">
        <v>1103</v>
      </c>
      <c r="AB71" s="120" t="s">
        <v>986</v>
      </c>
      <c r="AQ71" s="119" t="str">
        <f t="shared" si="21"/>
        <v>PPAddIban16@mailinator.com</v>
      </c>
      <c r="AR71" s="119" t="str">
        <f t="shared" si="22"/>
        <v>PPAddIban7@mailinator.com</v>
      </c>
    </row>
    <row r="72" spans="1:44" ht="41.4" x14ac:dyDescent="0.3">
      <c r="A72" s="120" t="s">
        <v>731</v>
      </c>
      <c r="B72" s="120" t="s">
        <v>615</v>
      </c>
      <c r="C72" s="120" t="s">
        <v>1021</v>
      </c>
      <c r="D72" s="120" t="s">
        <v>1072</v>
      </c>
      <c r="E72" s="120" t="s">
        <v>1093</v>
      </c>
      <c r="F72" s="120" t="s">
        <v>31</v>
      </c>
      <c r="G72" s="120" t="s">
        <v>1033</v>
      </c>
      <c r="H72" s="120" t="s">
        <v>999</v>
      </c>
      <c r="I72" s="120"/>
      <c r="J72" s="120"/>
      <c r="K72" s="121" t="str">
        <f t="shared" si="12"/>
        <v>BOURNE</v>
      </c>
      <c r="L72" s="121" t="str">
        <f t="shared" si="13"/>
        <v>CICCHETTO</v>
      </c>
      <c r="M72" s="121">
        <f t="shared" si="23"/>
        <v>22626</v>
      </c>
      <c r="N72" s="121">
        <f t="shared" si="14"/>
        <v>22469</v>
      </c>
      <c r="O72" s="121" t="str">
        <f t="shared" si="15"/>
        <v>242599915</v>
      </c>
      <c r="P72" s="121" t="str">
        <f t="shared" si="16"/>
        <v>242600999</v>
      </c>
      <c r="Q72" s="120" t="s">
        <v>1015</v>
      </c>
      <c r="R72" s="120" t="s">
        <v>1016</v>
      </c>
      <c r="S72" s="120" t="s">
        <v>1056</v>
      </c>
      <c r="T72" s="120" t="s">
        <v>1018</v>
      </c>
      <c r="U72" s="120" t="s">
        <v>1019</v>
      </c>
      <c r="V72" s="120"/>
      <c r="W72" s="122" t="str">
        <f t="shared" si="17"/>
        <v>PPAddIban16@mailinator.com</v>
      </c>
      <c r="X72" s="120" t="str">
        <f t="shared" si="18"/>
        <v>PPAddIban7@mailinator.com</v>
      </c>
      <c r="Y72" s="121" t="str">
        <f t="shared" si="19"/>
        <v>Dummy!2022</v>
      </c>
      <c r="Z72" s="121" t="str">
        <f t="shared" si="20"/>
        <v>020-8055516</v>
      </c>
      <c r="AA72" s="120" t="s">
        <v>1104</v>
      </c>
      <c r="AB72" s="120" t="s">
        <v>986</v>
      </c>
      <c r="AQ72" s="119" t="str">
        <f t="shared" si="21"/>
        <v>PPAddIban16@mailinator.com</v>
      </c>
      <c r="AR72" s="119" t="str">
        <f t="shared" si="22"/>
        <v>PPAddIban7@mailinator.com</v>
      </c>
    </row>
    <row r="73" spans="1:44" ht="27.6" x14ac:dyDescent="0.3">
      <c r="A73" s="120" t="s">
        <v>743</v>
      </c>
      <c r="B73" s="120" t="s">
        <v>980</v>
      </c>
      <c r="C73" s="120" t="s">
        <v>981</v>
      </c>
      <c r="D73" s="120" t="s">
        <v>1072</v>
      </c>
      <c r="E73" s="120" t="s">
        <v>1105</v>
      </c>
      <c r="F73" s="120"/>
      <c r="G73" s="120" t="s">
        <v>985</v>
      </c>
      <c r="H73" s="120" t="s">
        <v>985</v>
      </c>
      <c r="I73" s="120"/>
      <c r="J73" s="120"/>
      <c r="K73" s="121" t="str">
        <f t="shared" si="12"/>
        <v>RIGNALL</v>
      </c>
      <c r="L73" s="121" t="str">
        <f t="shared" si="13"/>
        <v>DE GLANVILLE</v>
      </c>
      <c r="M73" s="121">
        <f t="shared" si="23"/>
        <v>19209</v>
      </c>
      <c r="N73" s="121">
        <f t="shared" si="14"/>
        <v>27439</v>
      </c>
      <c r="O73" s="121" t="str">
        <f t="shared" si="15"/>
        <v>242600948</v>
      </c>
      <c r="P73" s="121" t="str">
        <f t="shared" si="16"/>
        <v>242596037</v>
      </c>
      <c r="Q73" s="120"/>
      <c r="R73" s="120"/>
      <c r="S73" s="120"/>
      <c r="T73" s="120"/>
      <c r="U73" s="120"/>
      <c r="V73" s="120"/>
      <c r="W73" s="122" t="str">
        <f t="shared" si="17"/>
        <v>PPAddIban6@mailinator.com</v>
      </c>
      <c r="X73" s="120" t="str">
        <f t="shared" si="18"/>
        <v>RebrandAutomationUser7@mailinator.com</v>
      </c>
      <c r="Y73" s="121" t="str">
        <f t="shared" si="19"/>
        <v>Dummy!2022</v>
      </c>
      <c r="Z73" s="121" t="str">
        <f t="shared" si="20"/>
        <v>020-8055556</v>
      </c>
      <c r="AA73" s="120" t="s">
        <v>1106</v>
      </c>
      <c r="AB73" s="120" t="s">
        <v>986</v>
      </c>
      <c r="AQ73" s="119" t="str">
        <f t="shared" si="21"/>
        <v>PPAddIban6@mailinator.com</v>
      </c>
      <c r="AR73" s="119" t="str">
        <f t="shared" si="22"/>
        <v>RebrandAutomationUser7@mailinator.com</v>
      </c>
    </row>
    <row r="74" spans="1:44" ht="27.6" x14ac:dyDescent="0.3">
      <c r="A74" s="120" t="s">
        <v>1107</v>
      </c>
      <c r="B74" s="120" t="s">
        <v>992</v>
      </c>
      <c r="C74" s="120" t="s">
        <v>22</v>
      </c>
      <c r="D74" s="120" t="s">
        <v>1072</v>
      </c>
      <c r="E74" s="120" t="s">
        <v>1105</v>
      </c>
      <c r="F74" s="120"/>
      <c r="G74" s="120" t="s">
        <v>984</v>
      </c>
      <c r="H74" s="120"/>
      <c r="I74" s="120"/>
      <c r="J74" s="120"/>
      <c r="K74" s="121" t="str">
        <f t="shared" si="12"/>
        <v>RIGNALL</v>
      </c>
      <c r="L74" s="121" t="str">
        <f t="shared" si="13"/>
        <v>DE GLANVILLE</v>
      </c>
      <c r="M74" s="121">
        <f t="shared" si="23"/>
        <v>19209</v>
      </c>
      <c r="N74" s="121">
        <f t="shared" si="14"/>
        <v>27439</v>
      </c>
      <c r="O74" s="121" t="str">
        <f t="shared" si="15"/>
        <v>242600948</v>
      </c>
      <c r="P74" s="121" t="str">
        <f t="shared" si="16"/>
        <v>242596037</v>
      </c>
      <c r="Q74" s="120"/>
      <c r="R74" s="120"/>
      <c r="S74" s="120"/>
      <c r="T74" s="120"/>
      <c r="U74" s="120"/>
      <c r="V74" s="120"/>
      <c r="W74" s="122" t="str">
        <f t="shared" si="17"/>
        <v>PPAddIban6@mailinator.com</v>
      </c>
      <c r="X74" s="120" t="str">
        <f t="shared" si="18"/>
        <v>RebrandAutomationUser7@mailinator.com</v>
      </c>
      <c r="Y74" s="121" t="str">
        <f t="shared" si="19"/>
        <v>Dummy!2022</v>
      </c>
      <c r="Z74" s="121" t="str">
        <f t="shared" si="20"/>
        <v>020-8055556</v>
      </c>
      <c r="AA74" s="120" t="s">
        <v>1108</v>
      </c>
      <c r="AB74" s="120" t="s">
        <v>986</v>
      </c>
      <c r="AQ74" s="119" t="str">
        <f t="shared" si="21"/>
        <v>PPAddIban6@mailinator.com</v>
      </c>
      <c r="AR74" s="119" t="str">
        <f t="shared" si="22"/>
        <v>RebrandAutomationUser7@mailinator.com</v>
      </c>
    </row>
    <row r="75" spans="1:44" ht="27.6" x14ac:dyDescent="0.3">
      <c r="A75" s="120" t="s">
        <v>1109</v>
      </c>
      <c r="B75" s="120" t="s">
        <v>615</v>
      </c>
      <c r="C75" s="120" t="s">
        <v>997</v>
      </c>
      <c r="D75" s="120" t="s">
        <v>1072</v>
      </c>
      <c r="E75" s="120" t="s">
        <v>1105</v>
      </c>
      <c r="F75" s="120"/>
      <c r="G75" s="120" t="s">
        <v>993</v>
      </c>
      <c r="H75" s="120" t="s">
        <v>999</v>
      </c>
      <c r="I75" s="120"/>
      <c r="J75" s="120"/>
      <c r="K75" s="121" t="str">
        <f t="shared" si="12"/>
        <v>RIGNALL</v>
      </c>
      <c r="L75" s="121" t="str">
        <f t="shared" si="13"/>
        <v>DE GLANVILLE</v>
      </c>
      <c r="M75" s="121">
        <f t="shared" si="23"/>
        <v>19209</v>
      </c>
      <c r="N75" s="121">
        <f t="shared" si="14"/>
        <v>27439</v>
      </c>
      <c r="O75" s="121" t="str">
        <f t="shared" si="15"/>
        <v>242600948</v>
      </c>
      <c r="P75" s="121" t="str">
        <f t="shared" si="16"/>
        <v>242596037</v>
      </c>
      <c r="Q75" s="120"/>
      <c r="R75" s="120"/>
      <c r="S75" s="120"/>
      <c r="T75" s="120"/>
      <c r="U75" s="120"/>
      <c r="V75" s="120"/>
      <c r="W75" s="122" t="str">
        <f t="shared" si="17"/>
        <v>PPAddIban6@mailinator.com</v>
      </c>
      <c r="X75" s="120" t="str">
        <f t="shared" si="18"/>
        <v>RebrandAutomationUser7@mailinator.com</v>
      </c>
      <c r="Y75" s="121" t="str">
        <f t="shared" si="19"/>
        <v>Dummy!2022</v>
      </c>
      <c r="Z75" s="121" t="str">
        <f t="shared" si="20"/>
        <v>020-8055556</v>
      </c>
      <c r="AA75" s="120" t="s">
        <v>1110</v>
      </c>
      <c r="AB75" s="120" t="s">
        <v>986</v>
      </c>
      <c r="AQ75" s="119" t="str">
        <f t="shared" si="21"/>
        <v>PPAddIban6@mailinator.com</v>
      </c>
      <c r="AR75" s="119" t="str">
        <f t="shared" si="22"/>
        <v>RebrandAutomationUser7@mailinator.com</v>
      </c>
    </row>
    <row r="76" spans="1:44" ht="27.6" x14ac:dyDescent="0.3">
      <c r="A76" s="120" t="s">
        <v>1111</v>
      </c>
      <c r="B76" s="120" t="s">
        <v>615</v>
      </c>
      <c r="C76" s="120" t="s">
        <v>1005</v>
      </c>
      <c r="D76" s="120" t="s">
        <v>1072</v>
      </c>
      <c r="E76" s="120" t="s">
        <v>1105</v>
      </c>
      <c r="F76" s="120"/>
      <c r="G76" s="120" t="s">
        <v>998</v>
      </c>
      <c r="H76" s="120" t="s">
        <v>1007</v>
      </c>
      <c r="I76" s="120"/>
      <c r="J76" s="120"/>
      <c r="K76" s="121" t="str">
        <f t="shared" si="12"/>
        <v>RIGNALL</v>
      </c>
      <c r="L76" s="121" t="str">
        <f t="shared" si="13"/>
        <v>DE GLANVILLE</v>
      </c>
      <c r="M76" s="121">
        <f t="shared" si="23"/>
        <v>19209</v>
      </c>
      <c r="N76" s="121">
        <f t="shared" si="14"/>
        <v>27439</v>
      </c>
      <c r="O76" s="121" t="str">
        <f t="shared" si="15"/>
        <v>242600948</v>
      </c>
      <c r="P76" s="121" t="str">
        <f t="shared" si="16"/>
        <v>242596037</v>
      </c>
      <c r="Q76" s="120"/>
      <c r="R76" s="120"/>
      <c r="S76" s="120"/>
      <c r="T76" s="120"/>
      <c r="U76" s="120"/>
      <c r="V76" s="120"/>
      <c r="W76" s="122" t="str">
        <f t="shared" si="17"/>
        <v>PPAddIban6@mailinator.com</v>
      </c>
      <c r="X76" s="120" t="str">
        <f t="shared" si="18"/>
        <v>RebrandAutomationUser7@mailinator.com</v>
      </c>
      <c r="Y76" s="121" t="str">
        <f t="shared" si="19"/>
        <v>Dummy!2022</v>
      </c>
      <c r="Z76" s="121" t="str">
        <f t="shared" si="20"/>
        <v>020-8055556</v>
      </c>
      <c r="AA76" s="120" t="s">
        <v>1112</v>
      </c>
      <c r="AB76" s="120" t="s">
        <v>986</v>
      </c>
      <c r="AQ76" s="119" t="str">
        <f t="shared" si="21"/>
        <v>PPAddIban6@mailinator.com</v>
      </c>
      <c r="AR76" s="119" t="str">
        <f t="shared" si="22"/>
        <v>RebrandAutomationUser7@mailinator.com</v>
      </c>
    </row>
    <row r="77" spans="1:44" ht="41.4" x14ac:dyDescent="0.3">
      <c r="A77" s="120" t="s">
        <v>773</v>
      </c>
      <c r="B77" s="120" t="s">
        <v>615</v>
      </c>
      <c r="C77" s="120" t="s">
        <v>1021</v>
      </c>
      <c r="D77" s="120" t="s">
        <v>1072</v>
      </c>
      <c r="E77" s="120" t="s">
        <v>1105</v>
      </c>
      <c r="F77" s="120" t="s">
        <v>72</v>
      </c>
      <c r="G77" s="120" t="s">
        <v>1006</v>
      </c>
      <c r="H77" s="120" t="s">
        <v>985</v>
      </c>
      <c r="I77" s="120"/>
      <c r="J77" s="120"/>
      <c r="K77" s="121" t="str">
        <f t="shared" si="12"/>
        <v>RIGNALL</v>
      </c>
      <c r="L77" s="121" t="str">
        <f t="shared" si="13"/>
        <v>DE GLANVILLE</v>
      </c>
      <c r="M77" s="121">
        <f t="shared" si="23"/>
        <v>19209</v>
      </c>
      <c r="N77" s="121">
        <f t="shared" si="14"/>
        <v>27439</v>
      </c>
      <c r="O77" s="121" t="str">
        <f t="shared" si="15"/>
        <v>242600948</v>
      </c>
      <c r="P77" s="121" t="str">
        <f t="shared" si="16"/>
        <v>242596037</v>
      </c>
      <c r="Q77" s="120" t="s">
        <v>1015</v>
      </c>
      <c r="R77" s="120" t="s">
        <v>1016</v>
      </c>
      <c r="S77" s="120" t="s">
        <v>1017</v>
      </c>
      <c r="T77" s="120" t="s">
        <v>1018</v>
      </c>
      <c r="U77" s="120" t="s">
        <v>1019</v>
      </c>
      <c r="V77" s="120"/>
      <c r="W77" s="122" t="str">
        <f t="shared" si="17"/>
        <v>PPAddIban6@mailinator.com</v>
      </c>
      <c r="X77" s="120" t="str">
        <f t="shared" si="18"/>
        <v>RebrandAutomationUser7@mailinator.com</v>
      </c>
      <c r="Y77" s="121" t="str">
        <f t="shared" si="19"/>
        <v>Dummy!2022</v>
      </c>
      <c r="Z77" s="121" t="str">
        <f t="shared" si="20"/>
        <v>020-8055556</v>
      </c>
      <c r="AA77" s="120" t="s">
        <v>1113</v>
      </c>
      <c r="AB77" s="120" t="s">
        <v>986</v>
      </c>
      <c r="AQ77" s="119" t="str">
        <f t="shared" si="21"/>
        <v>PPAddIban6@mailinator.com</v>
      </c>
      <c r="AR77" s="119" t="str">
        <f t="shared" si="22"/>
        <v>RebrandAutomationUser7@mailinator.com</v>
      </c>
    </row>
    <row r="78" spans="1:44" ht="27.6" x14ac:dyDescent="0.3">
      <c r="A78" s="120" t="s">
        <v>1114</v>
      </c>
      <c r="B78" s="120" t="s">
        <v>615</v>
      </c>
      <c r="C78" s="120" t="s">
        <v>1028</v>
      </c>
      <c r="D78" s="120" t="s">
        <v>1072</v>
      </c>
      <c r="E78" s="120" t="s">
        <v>1105</v>
      </c>
      <c r="F78" s="120" t="s">
        <v>72</v>
      </c>
      <c r="G78" s="120" t="s">
        <v>1012</v>
      </c>
      <c r="H78" s="120"/>
      <c r="I78" s="120"/>
      <c r="J78" s="120"/>
      <c r="K78" s="121" t="str">
        <f t="shared" si="12"/>
        <v>RIGNALL</v>
      </c>
      <c r="L78" s="121" t="str">
        <f t="shared" si="13"/>
        <v>DE GLANVILLE</v>
      </c>
      <c r="M78" s="121">
        <f t="shared" si="23"/>
        <v>19209</v>
      </c>
      <c r="N78" s="121">
        <f t="shared" si="14"/>
        <v>27439</v>
      </c>
      <c r="O78" s="121" t="str">
        <f t="shared" si="15"/>
        <v>242600948</v>
      </c>
      <c r="P78" s="121" t="str">
        <f t="shared" si="16"/>
        <v>242596037</v>
      </c>
      <c r="Q78" s="120" t="s">
        <v>1015</v>
      </c>
      <c r="R78" s="120" t="s">
        <v>1016</v>
      </c>
      <c r="S78" s="120" t="s">
        <v>1017</v>
      </c>
      <c r="T78" s="120" t="s">
        <v>1018</v>
      </c>
      <c r="U78" s="120" t="s">
        <v>1019</v>
      </c>
      <c r="V78" s="120"/>
      <c r="W78" s="122" t="str">
        <f t="shared" si="17"/>
        <v>PPAddIban6@mailinator.com</v>
      </c>
      <c r="X78" s="120" t="str">
        <f t="shared" si="18"/>
        <v>RebrandAutomationUser7@mailinator.com</v>
      </c>
      <c r="Y78" s="121" t="str">
        <f t="shared" si="19"/>
        <v>Dummy!2022</v>
      </c>
      <c r="Z78" s="121" t="str">
        <f t="shared" si="20"/>
        <v>020-8055556</v>
      </c>
      <c r="AA78" s="120" t="s">
        <v>1115</v>
      </c>
      <c r="AB78" s="120" t="s">
        <v>986</v>
      </c>
      <c r="AQ78" s="119" t="str">
        <f t="shared" si="21"/>
        <v>PPAddIban6@mailinator.com</v>
      </c>
      <c r="AR78" s="119" t="str">
        <f t="shared" si="22"/>
        <v>RebrandAutomationUser7@mailinator.com</v>
      </c>
    </row>
    <row r="79" spans="1:44" ht="27.6" x14ac:dyDescent="0.3">
      <c r="A79" s="120" t="s">
        <v>1116</v>
      </c>
      <c r="B79" s="120" t="s">
        <v>615</v>
      </c>
      <c r="C79" s="120" t="s">
        <v>1028</v>
      </c>
      <c r="D79" s="120" t="s">
        <v>1072</v>
      </c>
      <c r="E79" s="120" t="s">
        <v>1105</v>
      </c>
      <c r="F79" s="120" t="s">
        <v>31</v>
      </c>
      <c r="G79" s="120" t="s">
        <v>1022</v>
      </c>
      <c r="H79" s="120"/>
      <c r="I79" s="120"/>
      <c r="J79" s="120"/>
      <c r="K79" s="121" t="str">
        <f t="shared" si="12"/>
        <v>RIGNALL</v>
      </c>
      <c r="L79" s="121" t="str">
        <f t="shared" si="13"/>
        <v>DE GLANVILLE</v>
      </c>
      <c r="M79" s="121">
        <f t="shared" si="23"/>
        <v>19209</v>
      </c>
      <c r="N79" s="121">
        <f t="shared" si="14"/>
        <v>27439</v>
      </c>
      <c r="O79" s="121" t="str">
        <f t="shared" si="15"/>
        <v>242600948</v>
      </c>
      <c r="P79" s="121" t="str">
        <f t="shared" si="16"/>
        <v>242596037</v>
      </c>
      <c r="Q79" s="120" t="s">
        <v>1015</v>
      </c>
      <c r="R79" s="120" t="s">
        <v>1016</v>
      </c>
      <c r="S79" s="120" t="s">
        <v>1017</v>
      </c>
      <c r="T79" s="120" t="s">
        <v>1018</v>
      </c>
      <c r="U79" s="120" t="s">
        <v>1019</v>
      </c>
      <c r="V79" s="120"/>
      <c r="W79" s="122" t="str">
        <f t="shared" si="17"/>
        <v>PPAddIban6@mailinator.com</v>
      </c>
      <c r="X79" s="120" t="str">
        <f t="shared" si="18"/>
        <v>RebrandAutomationUser7@mailinator.com</v>
      </c>
      <c r="Y79" s="121" t="str">
        <f t="shared" si="19"/>
        <v>Dummy!2022</v>
      </c>
      <c r="Z79" s="121" t="str">
        <f t="shared" si="20"/>
        <v>020-8055556</v>
      </c>
      <c r="AA79" s="120" t="s">
        <v>1117</v>
      </c>
      <c r="AB79" s="120" t="s">
        <v>986</v>
      </c>
      <c r="AQ79" s="119" t="str">
        <f t="shared" si="21"/>
        <v>PPAddIban6@mailinator.com</v>
      </c>
      <c r="AR79" s="119" t="str">
        <f t="shared" si="22"/>
        <v>RebrandAutomationUser7@mailinator.com</v>
      </c>
    </row>
    <row r="80" spans="1:44" ht="27.6" x14ac:dyDescent="0.3">
      <c r="A80" s="120" t="s">
        <v>1118</v>
      </c>
      <c r="B80" s="120" t="s">
        <v>615</v>
      </c>
      <c r="C80" s="120" t="s">
        <v>1032</v>
      </c>
      <c r="D80" s="120" t="s">
        <v>1072</v>
      </c>
      <c r="E80" s="120" t="s">
        <v>1105</v>
      </c>
      <c r="F80" s="120" t="s">
        <v>31</v>
      </c>
      <c r="G80" s="120" t="s">
        <v>1029</v>
      </c>
      <c r="H80" s="120" t="s">
        <v>985</v>
      </c>
      <c r="I80" s="120"/>
      <c r="J80" s="120"/>
      <c r="K80" s="121" t="str">
        <f t="shared" si="12"/>
        <v>RIGNALL</v>
      </c>
      <c r="L80" s="121" t="str">
        <f t="shared" si="13"/>
        <v>DE GLANVILLE</v>
      </c>
      <c r="M80" s="121">
        <f t="shared" si="23"/>
        <v>19209</v>
      </c>
      <c r="N80" s="121">
        <f t="shared" si="14"/>
        <v>27439</v>
      </c>
      <c r="O80" s="121" t="str">
        <f t="shared" si="15"/>
        <v>242600948</v>
      </c>
      <c r="P80" s="121" t="str">
        <f t="shared" si="16"/>
        <v>242596037</v>
      </c>
      <c r="Q80" s="120" t="s">
        <v>1015</v>
      </c>
      <c r="R80" s="120" t="s">
        <v>1016</v>
      </c>
      <c r="S80" s="120" t="s">
        <v>1054</v>
      </c>
      <c r="T80" s="120" t="s">
        <v>1018</v>
      </c>
      <c r="U80" s="120" t="s">
        <v>1019</v>
      </c>
      <c r="V80" s="120"/>
      <c r="W80" s="122" t="str">
        <f t="shared" si="17"/>
        <v>PPAddIban6@mailinator.com</v>
      </c>
      <c r="X80" s="120" t="str">
        <f t="shared" si="18"/>
        <v>RebrandAutomationUser7@mailinator.com</v>
      </c>
      <c r="Y80" s="121" t="str">
        <f t="shared" si="19"/>
        <v>Dummy!2022</v>
      </c>
      <c r="Z80" s="121" t="str">
        <f t="shared" si="20"/>
        <v>020-8055556</v>
      </c>
      <c r="AA80" s="120" t="s">
        <v>1119</v>
      </c>
      <c r="AB80" s="120" t="s">
        <v>986</v>
      </c>
      <c r="AQ80" s="119" t="str">
        <f t="shared" si="21"/>
        <v>PPAddIban6@mailinator.com</v>
      </c>
      <c r="AR80" s="119" t="str">
        <f t="shared" si="22"/>
        <v>RebrandAutomationUser7@mailinator.com</v>
      </c>
    </row>
    <row r="81" spans="1:44" ht="41.4" x14ac:dyDescent="0.3">
      <c r="A81" s="120" t="s">
        <v>1120</v>
      </c>
      <c r="B81" s="120" t="s">
        <v>615</v>
      </c>
      <c r="C81" s="120" t="s">
        <v>1021</v>
      </c>
      <c r="D81" s="120" t="s">
        <v>1072</v>
      </c>
      <c r="E81" s="120" t="s">
        <v>1105</v>
      </c>
      <c r="F81" s="120" t="s">
        <v>31</v>
      </c>
      <c r="G81" s="120" t="s">
        <v>1033</v>
      </c>
      <c r="H81" s="120" t="s">
        <v>999</v>
      </c>
      <c r="I81" s="120"/>
      <c r="J81" s="120"/>
      <c r="K81" s="121" t="str">
        <f t="shared" si="12"/>
        <v>RIGNALL</v>
      </c>
      <c r="L81" s="121" t="str">
        <f t="shared" si="13"/>
        <v>DE GLANVILLE</v>
      </c>
      <c r="M81" s="121">
        <f t="shared" si="23"/>
        <v>19209</v>
      </c>
      <c r="N81" s="121">
        <f t="shared" si="14"/>
        <v>27439</v>
      </c>
      <c r="O81" s="121" t="str">
        <f t="shared" si="15"/>
        <v>242600948</v>
      </c>
      <c r="P81" s="121" t="str">
        <f t="shared" si="16"/>
        <v>242596037</v>
      </c>
      <c r="Q81" s="120" t="s">
        <v>1015</v>
      </c>
      <c r="R81" s="120" t="s">
        <v>1016</v>
      </c>
      <c r="S81" s="120" t="s">
        <v>1056</v>
      </c>
      <c r="T81" s="120" t="s">
        <v>1018</v>
      </c>
      <c r="U81" s="120" t="s">
        <v>1019</v>
      </c>
      <c r="V81" s="120"/>
      <c r="W81" s="122" t="str">
        <f t="shared" si="17"/>
        <v>PPAddIban6@mailinator.com</v>
      </c>
      <c r="X81" s="120" t="str">
        <f t="shared" si="18"/>
        <v>RebrandAutomationUser7@mailinator.com</v>
      </c>
      <c r="Y81" s="121" t="str">
        <f t="shared" si="19"/>
        <v>Dummy!2022</v>
      </c>
      <c r="Z81" s="121" t="str">
        <f t="shared" si="20"/>
        <v>020-8055556</v>
      </c>
      <c r="AA81" s="120" t="s">
        <v>1121</v>
      </c>
      <c r="AB81" s="120" t="s">
        <v>986</v>
      </c>
      <c r="AQ81" s="119" t="str">
        <f t="shared" si="21"/>
        <v>PPAddIban6@mailinator.com</v>
      </c>
      <c r="AR81" s="119" t="str">
        <f t="shared" si="22"/>
        <v>RebrandAutomationUser7@mailinator.com</v>
      </c>
    </row>
    <row r="82" spans="1:44" ht="27.6" x14ac:dyDescent="0.3">
      <c r="A82" s="120" t="s">
        <v>1122</v>
      </c>
      <c r="B82" s="120" t="s">
        <v>980</v>
      </c>
      <c r="C82" s="120" t="s">
        <v>981</v>
      </c>
      <c r="D82" s="120" t="s">
        <v>1123</v>
      </c>
      <c r="E82" s="120" t="s">
        <v>1073</v>
      </c>
      <c r="F82" s="120"/>
      <c r="G82" s="120" t="s">
        <v>985</v>
      </c>
      <c r="H82" s="120" t="s">
        <v>985</v>
      </c>
      <c r="I82" s="120"/>
      <c r="J82" s="120"/>
      <c r="K82" s="121" t="str">
        <f t="shared" si="12"/>
        <v>BOURNE</v>
      </c>
      <c r="L82" s="121" t="str">
        <f t="shared" si="13"/>
        <v>DE GLANVILLE</v>
      </c>
      <c r="M82" s="121">
        <f t="shared" si="23"/>
        <v>22626</v>
      </c>
      <c r="N82" s="121">
        <f t="shared" si="14"/>
        <v>27439</v>
      </c>
      <c r="O82" s="121" t="str">
        <f t="shared" si="15"/>
        <v>242599915</v>
      </c>
      <c r="P82" s="121" t="str">
        <f t="shared" si="16"/>
        <v>242596037</v>
      </c>
      <c r="Q82" s="120"/>
      <c r="R82" s="120"/>
      <c r="S82" s="120"/>
      <c r="T82" s="120"/>
      <c r="U82" s="120"/>
      <c r="V82" s="120"/>
      <c r="W82" s="122" t="str">
        <f t="shared" si="17"/>
        <v>PPAddIban16@mailinator.com</v>
      </c>
      <c r="X82" s="120" t="str">
        <f t="shared" si="18"/>
        <v>RebrandAutomationUser7@mailinator.com</v>
      </c>
      <c r="Y82" s="121" t="str">
        <f t="shared" si="19"/>
        <v>Dummy!2022</v>
      </c>
      <c r="Z82" s="121" t="str">
        <f t="shared" si="20"/>
        <v>020-8055516</v>
      </c>
      <c r="AA82" s="126"/>
      <c r="AB82" s="120" t="s">
        <v>986</v>
      </c>
      <c r="AQ82" s="119" t="str">
        <f t="shared" si="21"/>
        <v>PPAddIban16@mailinator.com</v>
      </c>
      <c r="AR82" s="119" t="str">
        <f t="shared" si="22"/>
        <v>RebrandAutomationUser7@mailinator.com</v>
      </c>
    </row>
    <row r="83" spans="1:44" ht="27.6" x14ac:dyDescent="0.3">
      <c r="A83" s="120" t="s">
        <v>1124</v>
      </c>
      <c r="B83" s="120" t="s">
        <v>992</v>
      </c>
      <c r="C83" s="120" t="s">
        <v>22</v>
      </c>
      <c r="D83" s="120" t="s">
        <v>1123</v>
      </c>
      <c r="E83" s="120" t="s">
        <v>1073</v>
      </c>
      <c r="F83" s="120"/>
      <c r="G83" s="120" t="s">
        <v>984</v>
      </c>
      <c r="H83" s="120"/>
      <c r="I83" s="120"/>
      <c r="J83" s="120"/>
      <c r="K83" s="121" t="str">
        <f t="shared" si="12"/>
        <v>BOURNE</v>
      </c>
      <c r="L83" s="121" t="str">
        <f t="shared" si="13"/>
        <v>DE GLANVILLE</v>
      </c>
      <c r="M83" s="121">
        <f t="shared" si="23"/>
        <v>22626</v>
      </c>
      <c r="N83" s="121">
        <f t="shared" si="14"/>
        <v>27439</v>
      </c>
      <c r="O83" s="121" t="str">
        <f t="shared" si="15"/>
        <v>242599915</v>
      </c>
      <c r="P83" s="121" t="str">
        <f t="shared" si="16"/>
        <v>242596037</v>
      </c>
      <c r="Q83" s="120"/>
      <c r="R83" s="120"/>
      <c r="S83" s="120"/>
      <c r="T83" s="120"/>
      <c r="U83" s="120"/>
      <c r="V83" s="120"/>
      <c r="W83" s="122" t="str">
        <f t="shared" si="17"/>
        <v>PPAddIban16@mailinator.com</v>
      </c>
      <c r="X83" s="120" t="str">
        <f t="shared" si="18"/>
        <v>RebrandAutomationUser7@mailinator.com</v>
      </c>
      <c r="Y83" s="121" t="str">
        <f t="shared" si="19"/>
        <v>Dummy!2022</v>
      </c>
      <c r="Z83" s="121" t="str">
        <f t="shared" si="20"/>
        <v>020-8055516</v>
      </c>
      <c r="AA83" s="126"/>
      <c r="AB83" s="120" t="s">
        <v>986</v>
      </c>
      <c r="AQ83" s="119" t="str">
        <f t="shared" si="21"/>
        <v>PPAddIban16@mailinator.com</v>
      </c>
      <c r="AR83" s="119" t="str">
        <f t="shared" si="22"/>
        <v>RebrandAutomationUser7@mailinator.com</v>
      </c>
    </row>
    <row r="84" spans="1:44" ht="27.6" x14ac:dyDescent="0.3">
      <c r="A84" s="120" t="s">
        <v>1125</v>
      </c>
      <c r="B84" s="120" t="s">
        <v>615</v>
      </c>
      <c r="C84" s="120" t="s">
        <v>997</v>
      </c>
      <c r="D84" s="120" t="s">
        <v>1123</v>
      </c>
      <c r="E84" s="120" t="s">
        <v>1073</v>
      </c>
      <c r="F84" s="120"/>
      <c r="G84" s="120" t="s">
        <v>993</v>
      </c>
      <c r="H84" s="120" t="s">
        <v>999</v>
      </c>
      <c r="I84" s="120"/>
      <c r="J84" s="120"/>
      <c r="K84" s="121" t="str">
        <f t="shared" si="12"/>
        <v>BOURNE</v>
      </c>
      <c r="L84" s="121" t="str">
        <f t="shared" si="13"/>
        <v>DE GLANVILLE</v>
      </c>
      <c r="M84" s="121">
        <f t="shared" si="23"/>
        <v>22626</v>
      </c>
      <c r="N84" s="121">
        <f t="shared" si="14"/>
        <v>27439</v>
      </c>
      <c r="O84" s="121" t="str">
        <f t="shared" si="15"/>
        <v>242599915</v>
      </c>
      <c r="P84" s="121" t="str">
        <f t="shared" si="16"/>
        <v>242596037</v>
      </c>
      <c r="Q84" s="120"/>
      <c r="R84" s="120"/>
      <c r="S84" s="120"/>
      <c r="T84" s="120"/>
      <c r="U84" s="120"/>
      <c r="V84" s="120"/>
      <c r="W84" s="122" t="str">
        <f t="shared" si="17"/>
        <v>PPAddIban16@mailinator.com</v>
      </c>
      <c r="X84" s="120" t="str">
        <f t="shared" si="18"/>
        <v>RebrandAutomationUser7@mailinator.com</v>
      </c>
      <c r="Y84" s="121" t="str">
        <f t="shared" si="19"/>
        <v>Dummy!2022</v>
      </c>
      <c r="Z84" s="121" t="str">
        <f t="shared" si="20"/>
        <v>020-8055516</v>
      </c>
      <c r="AA84" s="126"/>
      <c r="AB84" s="120" t="s">
        <v>986</v>
      </c>
      <c r="AQ84" s="119" t="str">
        <f t="shared" si="21"/>
        <v>PPAddIban16@mailinator.com</v>
      </c>
      <c r="AR84" s="119" t="str">
        <f t="shared" si="22"/>
        <v>RebrandAutomationUser7@mailinator.com</v>
      </c>
    </row>
    <row r="85" spans="1:44" ht="27.6" x14ac:dyDescent="0.3">
      <c r="A85" s="120" t="s">
        <v>1126</v>
      </c>
      <c r="B85" s="120" t="s">
        <v>615</v>
      </c>
      <c r="C85" s="120" t="s">
        <v>1005</v>
      </c>
      <c r="D85" s="120" t="s">
        <v>1123</v>
      </c>
      <c r="E85" s="120" t="s">
        <v>1073</v>
      </c>
      <c r="F85" s="120"/>
      <c r="G85" s="120" t="s">
        <v>998</v>
      </c>
      <c r="H85" s="120" t="s">
        <v>1007</v>
      </c>
      <c r="I85" s="120"/>
      <c r="J85" s="120"/>
      <c r="K85" s="121" t="str">
        <f t="shared" si="12"/>
        <v>BOURNE</v>
      </c>
      <c r="L85" s="121" t="str">
        <f t="shared" si="13"/>
        <v>DE GLANVILLE</v>
      </c>
      <c r="M85" s="121">
        <f t="shared" si="23"/>
        <v>22626</v>
      </c>
      <c r="N85" s="121">
        <f t="shared" si="14"/>
        <v>27439</v>
      </c>
      <c r="O85" s="121" t="str">
        <f t="shared" si="15"/>
        <v>242599915</v>
      </c>
      <c r="P85" s="121" t="str">
        <f t="shared" si="16"/>
        <v>242596037</v>
      </c>
      <c r="Q85" s="120"/>
      <c r="R85" s="120"/>
      <c r="S85" s="120"/>
      <c r="T85" s="120"/>
      <c r="U85" s="120"/>
      <c r="V85" s="120"/>
      <c r="W85" s="122" t="str">
        <f t="shared" si="17"/>
        <v>PPAddIban16@mailinator.com</v>
      </c>
      <c r="X85" s="120" t="str">
        <f t="shared" si="18"/>
        <v>RebrandAutomationUser7@mailinator.com</v>
      </c>
      <c r="Y85" s="121" t="str">
        <f t="shared" si="19"/>
        <v>Dummy!2022</v>
      </c>
      <c r="Z85" s="121" t="str">
        <f t="shared" si="20"/>
        <v>020-8055516</v>
      </c>
      <c r="AA85" s="126"/>
      <c r="AB85" s="120" t="s">
        <v>986</v>
      </c>
      <c r="AQ85" s="119" t="str">
        <f t="shared" si="21"/>
        <v>PPAddIban16@mailinator.com</v>
      </c>
      <c r="AR85" s="119" t="str">
        <f t="shared" si="22"/>
        <v>RebrandAutomationUser7@mailinator.com</v>
      </c>
    </row>
    <row r="86" spans="1:44" ht="41.4" x14ac:dyDescent="0.3">
      <c r="A86" s="120" t="s">
        <v>1127</v>
      </c>
      <c r="B86" s="120" t="s">
        <v>615</v>
      </c>
      <c r="C86" s="120" t="s">
        <v>1021</v>
      </c>
      <c r="D86" s="120" t="s">
        <v>1123</v>
      </c>
      <c r="E86" s="120" t="s">
        <v>1073</v>
      </c>
      <c r="F86" s="120" t="s">
        <v>72</v>
      </c>
      <c r="G86" s="120" t="s">
        <v>1006</v>
      </c>
      <c r="H86" s="120" t="s">
        <v>985</v>
      </c>
      <c r="I86" s="120"/>
      <c r="J86" s="120"/>
      <c r="K86" s="121" t="str">
        <f t="shared" si="12"/>
        <v>BOURNE</v>
      </c>
      <c r="L86" s="121" t="str">
        <f t="shared" si="13"/>
        <v>DE GLANVILLE</v>
      </c>
      <c r="M86" s="121">
        <f t="shared" si="23"/>
        <v>22626</v>
      </c>
      <c r="N86" s="121">
        <f t="shared" si="14"/>
        <v>27439</v>
      </c>
      <c r="O86" s="121" t="str">
        <f t="shared" si="15"/>
        <v>242599915</v>
      </c>
      <c r="P86" s="121" t="str">
        <f t="shared" si="16"/>
        <v>242596037</v>
      </c>
      <c r="Q86" s="120" t="s">
        <v>1015</v>
      </c>
      <c r="R86" s="120" t="s">
        <v>1016</v>
      </c>
      <c r="S86" s="120" t="s">
        <v>1017</v>
      </c>
      <c r="T86" s="120" t="s">
        <v>1018</v>
      </c>
      <c r="U86" s="120" t="s">
        <v>1019</v>
      </c>
      <c r="V86" s="120"/>
      <c r="W86" s="122" t="str">
        <f t="shared" si="17"/>
        <v>PPAddIban16@mailinator.com</v>
      </c>
      <c r="X86" s="120" t="str">
        <f t="shared" si="18"/>
        <v>RebrandAutomationUser7@mailinator.com</v>
      </c>
      <c r="Y86" s="121" t="str">
        <f t="shared" si="19"/>
        <v>Dummy!2022</v>
      </c>
      <c r="Z86" s="121" t="str">
        <f t="shared" si="20"/>
        <v>020-8055516</v>
      </c>
      <c r="AA86" s="120"/>
      <c r="AB86" s="120" t="s">
        <v>986</v>
      </c>
      <c r="AQ86" s="119" t="str">
        <f t="shared" si="21"/>
        <v>PPAddIban16@mailinator.com</v>
      </c>
      <c r="AR86" s="119" t="str">
        <f t="shared" si="22"/>
        <v>RebrandAutomationUser7@mailinator.com</v>
      </c>
    </row>
    <row r="87" spans="1:44" ht="27.6" x14ac:dyDescent="0.3">
      <c r="A87" s="120" t="s">
        <v>1128</v>
      </c>
      <c r="B87" s="120" t="s">
        <v>615</v>
      </c>
      <c r="C87" s="120" t="s">
        <v>1028</v>
      </c>
      <c r="D87" s="120" t="s">
        <v>1123</v>
      </c>
      <c r="E87" s="120" t="s">
        <v>1073</v>
      </c>
      <c r="F87" s="120" t="s">
        <v>72</v>
      </c>
      <c r="G87" s="120" t="s">
        <v>1012</v>
      </c>
      <c r="H87" s="120"/>
      <c r="I87" s="120"/>
      <c r="J87" s="120"/>
      <c r="K87" s="121" t="str">
        <f t="shared" si="12"/>
        <v>BOURNE</v>
      </c>
      <c r="L87" s="121" t="str">
        <f t="shared" si="13"/>
        <v>DE GLANVILLE</v>
      </c>
      <c r="M87" s="121">
        <f t="shared" si="23"/>
        <v>22626</v>
      </c>
      <c r="N87" s="121">
        <f t="shared" si="14"/>
        <v>27439</v>
      </c>
      <c r="O87" s="121" t="str">
        <f t="shared" si="15"/>
        <v>242599915</v>
      </c>
      <c r="P87" s="121" t="str">
        <f t="shared" si="16"/>
        <v>242596037</v>
      </c>
      <c r="Q87" s="120" t="s">
        <v>1015</v>
      </c>
      <c r="R87" s="120" t="s">
        <v>1016</v>
      </c>
      <c r="S87" s="120" t="s">
        <v>1017</v>
      </c>
      <c r="T87" s="120" t="s">
        <v>1018</v>
      </c>
      <c r="U87" s="120" t="s">
        <v>1019</v>
      </c>
      <c r="V87" s="120"/>
      <c r="W87" s="122" t="str">
        <f t="shared" si="17"/>
        <v>PPAddIban16@mailinator.com</v>
      </c>
      <c r="X87" s="120" t="str">
        <f t="shared" si="18"/>
        <v>RebrandAutomationUser7@mailinator.com</v>
      </c>
      <c r="Y87" s="121" t="str">
        <f t="shared" si="19"/>
        <v>Dummy!2022</v>
      </c>
      <c r="Z87" s="121" t="str">
        <f t="shared" si="20"/>
        <v>020-8055516</v>
      </c>
      <c r="AA87" s="120"/>
      <c r="AB87" s="120" t="s">
        <v>986</v>
      </c>
      <c r="AQ87" s="119" t="str">
        <f t="shared" si="21"/>
        <v>PPAddIban16@mailinator.com</v>
      </c>
      <c r="AR87" s="119" t="str">
        <f t="shared" si="22"/>
        <v>RebrandAutomationUser7@mailinator.com</v>
      </c>
    </row>
    <row r="88" spans="1:44" ht="27.6" x14ac:dyDescent="0.3">
      <c r="A88" s="120" t="s">
        <v>1129</v>
      </c>
      <c r="B88" s="120" t="s">
        <v>615</v>
      </c>
      <c r="C88" s="120" t="s">
        <v>1028</v>
      </c>
      <c r="D88" s="120" t="s">
        <v>1123</v>
      </c>
      <c r="E88" s="120" t="s">
        <v>1073</v>
      </c>
      <c r="F88" s="120" t="s">
        <v>31</v>
      </c>
      <c r="G88" s="120" t="s">
        <v>1022</v>
      </c>
      <c r="H88" s="120"/>
      <c r="I88" s="120"/>
      <c r="J88" s="120"/>
      <c r="K88" s="121" t="str">
        <f t="shared" si="12"/>
        <v>BOURNE</v>
      </c>
      <c r="L88" s="121" t="str">
        <f t="shared" si="13"/>
        <v>DE GLANVILLE</v>
      </c>
      <c r="M88" s="121">
        <f t="shared" si="23"/>
        <v>22626</v>
      </c>
      <c r="N88" s="121">
        <f t="shared" si="14"/>
        <v>27439</v>
      </c>
      <c r="O88" s="121" t="str">
        <f t="shared" si="15"/>
        <v>242599915</v>
      </c>
      <c r="P88" s="121" t="str">
        <f t="shared" si="16"/>
        <v>242596037</v>
      </c>
      <c r="Q88" s="120" t="s">
        <v>1015</v>
      </c>
      <c r="R88" s="120" t="s">
        <v>1016</v>
      </c>
      <c r="S88" s="120" t="s">
        <v>1017</v>
      </c>
      <c r="T88" s="120" t="s">
        <v>1018</v>
      </c>
      <c r="U88" s="120" t="s">
        <v>1019</v>
      </c>
      <c r="V88" s="120"/>
      <c r="W88" s="122" t="str">
        <f t="shared" si="17"/>
        <v>PPAddIban16@mailinator.com</v>
      </c>
      <c r="X88" s="120" t="str">
        <f t="shared" si="18"/>
        <v>RebrandAutomationUser7@mailinator.com</v>
      </c>
      <c r="Y88" s="121" t="str">
        <f t="shared" si="19"/>
        <v>Dummy!2022</v>
      </c>
      <c r="Z88" s="121" t="str">
        <f t="shared" si="20"/>
        <v>020-8055516</v>
      </c>
      <c r="AA88" s="120"/>
      <c r="AB88" s="120" t="s">
        <v>986</v>
      </c>
      <c r="AQ88" s="119" t="str">
        <f t="shared" si="21"/>
        <v>PPAddIban16@mailinator.com</v>
      </c>
      <c r="AR88" s="119" t="str">
        <f t="shared" si="22"/>
        <v>RebrandAutomationUser7@mailinator.com</v>
      </c>
    </row>
    <row r="89" spans="1:44" ht="27.6" x14ac:dyDescent="0.3">
      <c r="A89" s="120" t="s">
        <v>1130</v>
      </c>
      <c r="B89" s="120" t="s">
        <v>615</v>
      </c>
      <c r="C89" s="120" t="s">
        <v>1032</v>
      </c>
      <c r="D89" s="120" t="s">
        <v>1123</v>
      </c>
      <c r="E89" s="120" t="s">
        <v>1073</v>
      </c>
      <c r="F89" s="120" t="s">
        <v>31</v>
      </c>
      <c r="G89" s="120" t="s">
        <v>1029</v>
      </c>
      <c r="H89" s="120" t="s">
        <v>985</v>
      </c>
      <c r="I89" s="120"/>
      <c r="J89" s="120"/>
      <c r="K89" s="121" t="str">
        <f t="shared" si="12"/>
        <v>BOURNE</v>
      </c>
      <c r="L89" s="121" t="str">
        <f t="shared" si="13"/>
        <v>DE GLANVILLE</v>
      </c>
      <c r="M89" s="121">
        <f t="shared" si="23"/>
        <v>22626</v>
      </c>
      <c r="N89" s="121">
        <f t="shared" si="14"/>
        <v>27439</v>
      </c>
      <c r="O89" s="121" t="str">
        <f t="shared" si="15"/>
        <v>242599915</v>
      </c>
      <c r="P89" s="121" t="str">
        <f t="shared" si="16"/>
        <v>242596037</v>
      </c>
      <c r="Q89" s="120" t="s">
        <v>1015</v>
      </c>
      <c r="R89" s="120" t="s">
        <v>1016</v>
      </c>
      <c r="S89" s="120" t="s">
        <v>1054</v>
      </c>
      <c r="T89" s="120" t="s">
        <v>1018</v>
      </c>
      <c r="U89" s="120" t="s">
        <v>1019</v>
      </c>
      <c r="V89" s="120"/>
      <c r="W89" s="122" t="str">
        <f t="shared" si="17"/>
        <v>PPAddIban16@mailinator.com</v>
      </c>
      <c r="X89" s="120" t="str">
        <f t="shared" si="18"/>
        <v>RebrandAutomationUser7@mailinator.com</v>
      </c>
      <c r="Y89" s="121" t="str">
        <f t="shared" si="19"/>
        <v>Dummy!2022</v>
      </c>
      <c r="Z89" s="121" t="str">
        <f t="shared" si="20"/>
        <v>020-8055516</v>
      </c>
      <c r="AA89" s="120"/>
      <c r="AB89" s="120" t="s">
        <v>986</v>
      </c>
      <c r="AQ89" s="119" t="str">
        <f t="shared" si="21"/>
        <v>PPAddIban16@mailinator.com</v>
      </c>
      <c r="AR89" s="119" t="str">
        <f t="shared" si="22"/>
        <v>RebrandAutomationUser7@mailinator.com</v>
      </c>
    </row>
    <row r="90" spans="1:44" ht="41.4" x14ac:dyDescent="0.3">
      <c r="A90" s="120" t="s">
        <v>1131</v>
      </c>
      <c r="B90" s="120" t="s">
        <v>615</v>
      </c>
      <c r="C90" s="120" t="s">
        <v>1021</v>
      </c>
      <c r="D90" s="120" t="s">
        <v>1123</v>
      </c>
      <c r="E90" s="120" t="s">
        <v>1073</v>
      </c>
      <c r="F90" s="120" t="s">
        <v>31</v>
      </c>
      <c r="G90" s="120" t="s">
        <v>1033</v>
      </c>
      <c r="H90" s="120" t="s">
        <v>999</v>
      </c>
      <c r="I90" s="120"/>
      <c r="J90" s="120"/>
      <c r="K90" s="121" t="str">
        <f t="shared" si="12"/>
        <v>BOURNE</v>
      </c>
      <c r="L90" s="121" t="str">
        <f t="shared" si="13"/>
        <v>DE GLANVILLE</v>
      </c>
      <c r="M90" s="121">
        <f t="shared" si="23"/>
        <v>22626</v>
      </c>
      <c r="N90" s="121">
        <f t="shared" si="14"/>
        <v>27439</v>
      </c>
      <c r="O90" s="121" t="str">
        <f t="shared" si="15"/>
        <v>242599915</v>
      </c>
      <c r="P90" s="121" t="str">
        <f t="shared" si="16"/>
        <v>242596037</v>
      </c>
      <c r="Q90" s="120" t="s">
        <v>1015</v>
      </c>
      <c r="R90" s="120" t="s">
        <v>1016</v>
      </c>
      <c r="S90" s="120" t="s">
        <v>1056</v>
      </c>
      <c r="T90" s="120" t="s">
        <v>1018</v>
      </c>
      <c r="U90" s="120" t="s">
        <v>1019</v>
      </c>
      <c r="V90" s="120"/>
      <c r="W90" s="122" t="str">
        <f t="shared" si="17"/>
        <v>PPAddIban16@mailinator.com</v>
      </c>
      <c r="X90" s="120" t="str">
        <f t="shared" si="18"/>
        <v>RebrandAutomationUser7@mailinator.com</v>
      </c>
      <c r="Y90" s="121" t="str">
        <f t="shared" si="19"/>
        <v>Dummy!2022</v>
      </c>
      <c r="Z90" s="121" t="str">
        <f t="shared" si="20"/>
        <v>020-8055516</v>
      </c>
      <c r="AA90" s="120"/>
      <c r="AB90" s="120" t="s">
        <v>986</v>
      </c>
      <c r="AQ90" s="119" t="str">
        <f t="shared" si="21"/>
        <v>PPAddIban16@mailinator.com</v>
      </c>
      <c r="AR90" s="119" t="str">
        <f t="shared" si="22"/>
        <v>RebrandAutomationUser7@mailinator.com</v>
      </c>
    </row>
    <row r="91" spans="1:44" ht="27.6" x14ac:dyDescent="0.3">
      <c r="A91" s="120" t="s">
        <v>1132</v>
      </c>
      <c r="B91" s="120" t="s">
        <v>980</v>
      </c>
      <c r="C91" s="120" t="s">
        <v>981</v>
      </c>
      <c r="D91" s="120" t="s">
        <v>1123</v>
      </c>
      <c r="E91" s="120" t="s">
        <v>1076</v>
      </c>
      <c r="F91" s="120"/>
      <c r="G91" s="120" t="s">
        <v>985</v>
      </c>
      <c r="H91" s="120" t="s">
        <v>985</v>
      </c>
      <c r="I91" s="120"/>
      <c r="J91" s="120"/>
      <c r="K91" s="121" t="str">
        <f t="shared" si="12"/>
        <v>RIGNALL</v>
      </c>
      <c r="L91" s="121" t="str">
        <f t="shared" si="13"/>
        <v>CICCHETTO</v>
      </c>
      <c r="M91" s="121">
        <f t="shared" si="23"/>
        <v>19209</v>
      </c>
      <c r="N91" s="121">
        <f t="shared" si="14"/>
        <v>22469</v>
      </c>
      <c r="O91" s="121" t="str">
        <f t="shared" si="15"/>
        <v>242600948</v>
      </c>
      <c r="P91" s="121" t="str">
        <f t="shared" si="16"/>
        <v>242600999</v>
      </c>
      <c r="Q91" s="120"/>
      <c r="R91" s="120"/>
      <c r="S91" s="120"/>
      <c r="T91" s="120"/>
      <c r="U91" s="120"/>
      <c r="V91" s="120"/>
      <c r="W91" s="122" t="str">
        <f t="shared" si="17"/>
        <v>PPAddIban6@mailinator.com</v>
      </c>
      <c r="X91" s="120" t="str">
        <f t="shared" si="18"/>
        <v>PPAddIban7@mailinator.com</v>
      </c>
      <c r="Y91" s="121" t="str">
        <f t="shared" si="19"/>
        <v>Dummy!2022</v>
      </c>
      <c r="Z91" s="121" t="str">
        <f t="shared" si="20"/>
        <v>020-8055556</v>
      </c>
      <c r="AA91" s="120" t="s">
        <v>1133</v>
      </c>
      <c r="AB91" s="120" t="s">
        <v>986</v>
      </c>
      <c r="AQ91" s="119" t="str">
        <f t="shared" si="21"/>
        <v>PPAddIban6@mailinator.com</v>
      </c>
      <c r="AR91" s="119" t="str">
        <f t="shared" si="22"/>
        <v>PPAddIban7@mailinator.com</v>
      </c>
    </row>
    <row r="92" spans="1:44" ht="27.6" x14ac:dyDescent="0.3">
      <c r="A92" s="120" t="s">
        <v>1134</v>
      </c>
      <c r="B92" s="120" t="s">
        <v>992</v>
      </c>
      <c r="C92" s="120" t="s">
        <v>22</v>
      </c>
      <c r="D92" s="120" t="s">
        <v>1123</v>
      </c>
      <c r="E92" s="120" t="s">
        <v>1076</v>
      </c>
      <c r="F92" s="120"/>
      <c r="G92" s="120" t="s">
        <v>984</v>
      </c>
      <c r="H92" s="120"/>
      <c r="I92" s="120"/>
      <c r="J92" s="120"/>
      <c r="K92" s="121" t="str">
        <f t="shared" si="12"/>
        <v>RIGNALL</v>
      </c>
      <c r="L92" s="121" t="str">
        <f t="shared" si="13"/>
        <v>CICCHETTO</v>
      </c>
      <c r="M92" s="121">
        <f t="shared" si="23"/>
        <v>19209</v>
      </c>
      <c r="N92" s="121">
        <f t="shared" si="14"/>
        <v>22469</v>
      </c>
      <c r="O92" s="121" t="str">
        <f t="shared" si="15"/>
        <v>242600948</v>
      </c>
      <c r="P92" s="121" t="str">
        <f t="shared" si="16"/>
        <v>242600999</v>
      </c>
      <c r="Q92" s="120"/>
      <c r="R92" s="120"/>
      <c r="S92" s="120"/>
      <c r="T92" s="120"/>
      <c r="U92" s="120"/>
      <c r="V92" s="120"/>
      <c r="W92" s="122" t="str">
        <f t="shared" si="17"/>
        <v>PPAddIban6@mailinator.com</v>
      </c>
      <c r="X92" s="120" t="str">
        <f t="shared" si="18"/>
        <v>PPAddIban7@mailinator.com</v>
      </c>
      <c r="Y92" s="121" t="str">
        <f t="shared" si="19"/>
        <v>Dummy!2022</v>
      </c>
      <c r="Z92" s="121" t="str">
        <f t="shared" si="20"/>
        <v>020-8055556</v>
      </c>
      <c r="AA92" s="120" t="s">
        <v>1135</v>
      </c>
      <c r="AB92" s="120" t="s">
        <v>986</v>
      </c>
      <c r="AQ92" s="119" t="str">
        <f t="shared" si="21"/>
        <v>PPAddIban6@mailinator.com</v>
      </c>
      <c r="AR92" s="119" t="str">
        <f t="shared" si="22"/>
        <v>PPAddIban7@mailinator.com</v>
      </c>
    </row>
    <row r="93" spans="1:44" ht="27.6" x14ac:dyDescent="0.3">
      <c r="A93" s="120" t="s">
        <v>1136</v>
      </c>
      <c r="B93" s="120" t="s">
        <v>615</v>
      </c>
      <c r="C93" s="120" t="s">
        <v>997</v>
      </c>
      <c r="D93" s="120" t="s">
        <v>1123</v>
      </c>
      <c r="E93" s="120" t="s">
        <v>1076</v>
      </c>
      <c r="F93" s="120"/>
      <c r="G93" s="120" t="s">
        <v>993</v>
      </c>
      <c r="H93" s="120" t="s">
        <v>999</v>
      </c>
      <c r="I93" s="120"/>
      <c r="J93" s="120"/>
      <c r="K93" s="121" t="str">
        <f t="shared" si="12"/>
        <v>RIGNALL</v>
      </c>
      <c r="L93" s="121" t="str">
        <f t="shared" si="13"/>
        <v>CICCHETTO</v>
      </c>
      <c r="M93" s="121">
        <f t="shared" si="23"/>
        <v>19209</v>
      </c>
      <c r="N93" s="121">
        <f t="shared" si="14"/>
        <v>22469</v>
      </c>
      <c r="O93" s="121" t="str">
        <f t="shared" si="15"/>
        <v>242600948</v>
      </c>
      <c r="P93" s="121" t="str">
        <f t="shared" si="16"/>
        <v>242600999</v>
      </c>
      <c r="Q93" s="120"/>
      <c r="R93" s="120"/>
      <c r="S93" s="120"/>
      <c r="T93" s="120"/>
      <c r="U93" s="120"/>
      <c r="V93" s="120"/>
      <c r="W93" s="122" t="str">
        <f t="shared" si="17"/>
        <v>PPAddIban6@mailinator.com</v>
      </c>
      <c r="X93" s="120" t="str">
        <f t="shared" si="18"/>
        <v>PPAddIban7@mailinator.com</v>
      </c>
      <c r="Y93" s="121" t="str">
        <f t="shared" si="19"/>
        <v>Dummy!2022</v>
      </c>
      <c r="Z93" s="121" t="str">
        <f t="shared" si="20"/>
        <v>020-8055556</v>
      </c>
      <c r="AA93" s="120" t="s">
        <v>1137</v>
      </c>
      <c r="AB93" s="120" t="s">
        <v>986</v>
      </c>
      <c r="AQ93" s="119" t="str">
        <f t="shared" si="21"/>
        <v>PPAddIban6@mailinator.com</v>
      </c>
      <c r="AR93" s="119" t="str">
        <f t="shared" si="22"/>
        <v>PPAddIban7@mailinator.com</v>
      </c>
    </row>
    <row r="94" spans="1:44" ht="27.6" x14ac:dyDescent="0.3">
      <c r="A94" s="120" t="s">
        <v>1138</v>
      </c>
      <c r="B94" s="120" t="s">
        <v>615</v>
      </c>
      <c r="C94" s="120" t="s">
        <v>1005</v>
      </c>
      <c r="D94" s="120" t="s">
        <v>1123</v>
      </c>
      <c r="E94" s="120" t="s">
        <v>1076</v>
      </c>
      <c r="F94" s="120"/>
      <c r="G94" s="120" t="s">
        <v>998</v>
      </c>
      <c r="H94" s="120" t="s">
        <v>1007</v>
      </c>
      <c r="I94" s="120"/>
      <c r="J94" s="120"/>
      <c r="K94" s="121" t="str">
        <f t="shared" si="12"/>
        <v>RIGNALL</v>
      </c>
      <c r="L94" s="121" t="str">
        <f t="shared" si="13"/>
        <v>CICCHETTO</v>
      </c>
      <c r="M94" s="121">
        <f t="shared" si="23"/>
        <v>19209</v>
      </c>
      <c r="N94" s="121">
        <f t="shared" si="14"/>
        <v>22469</v>
      </c>
      <c r="O94" s="121" t="str">
        <f t="shared" si="15"/>
        <v>242600948</v>
      </c>
      <c r="P94" s="121" t="str">
        <f t="shared" si="16"/>
        <v>242600999</v>
      </c>
      <c r="Q94" s="120"/>
      <c r="R94" s="120"/>
      <c r="S94" s="120"/>
      <c r="T94" s="120"/>
      <c r="U94" s="120"/>
      <c r="V94" s="120"/>
      <c r="W94" s="122" t="str">
        <f t="shared" si="17"/>
        <v>PPAddIban6@mailinator.com</v>
      </c>
      <c r="X94" s="120" t="str">
        <f t="shared" si="18"/>
        <v>PPAddIban7@mailinator.com</v>
      </c>
      <c r="Y94" s="121" t="str">
        <f t="shared" si="19"/>
        <v>Dummy!2022</v>
      </c>
      <c r="Z94" s="121" t="str">
        <f t="shared" si="20"/>
        <v>020-8055556</v>
      </c>
      <c r="AA94" s="120" t="s">
        <v>1139</v>
      </c>
      <c r="AB94" s="120" t="s">
        <v>986</v>
      </c>
      <c r="AQ94" s="119" t="str">
        <f t="shared" si="21"/>
        <v>PPAddIban6@mailinator.com</v>
      </c>
      <c r="AR94" s="119" t="str">
        <f t="shared" si="22"/>
        <v>PPAddIban7@mailinator.com</v>
      </c>
    </row>
    <row r="95" spans="1:44" ht="41.4" x14ac:dyDescent="0.3">
      <c r="A95" s="120" t="s">
        <v>1140</v>
      </c>
      <c r="B95" s="120" t="s">
        <v>615</v>
      </c>
      <c r="C95" s="120" t="s">
        <v>1021</v>
      </c>
      <c r="D95" s="120" t="s">
        <v>1123</v>
      </c>
      <c r="E95" s="120" t="s">
        <v>1076</v>
      </c>
      <c r="F95" s="120" t="s">
        <v>72</v>
      </c>
      <c r="G95" s="120" t="s">
        <v>1006</v>
      </c>
      <c r="H95" s="120" t="s">
        <v>985</v>
      </c>
      <c r="I95" s="120"/>
      <c r="J95" s="120"/>
      <c r="K95" s="121" t="str">
        <f t="shared" si="12"/>
        <v>RIGNALL</v>
      </c>
      <c r="L95" s="121" t="str">
        <f t="shared" si="13"/>
        <v>CICCHETTO</v>
      </c>
      <c r="M95" s="121">
        <f t="shared" si="23"/>
        <v>19209</v>
      </c>
      <c r="N95" s="121">
        <f t="shared" si="14"/>
        <v>22469</v>
      </c>
      <c r="O95" s="121" t="str">
        <f t="shared" si="15"/>
        <v>242600948</v>
      </c>
      <c r="P95" s="121" t="str">
        <f t="shared" si="16"/>
        <v>242600999</v>
      </c>
      <c r="Q95" s="120" t="s">
        <v>1015</v>
      </c>
      <c r="R95" s="120" t="s">
        <v>1016</v>
      </c>
      <c r="S95" s="120" t="s">
        <v>1017</v>
      </c>
      <c r="T95" s="120" t="s">
        <v>1018</v>
      </c>
      <c r="U95" s="120" t="s">
        <v>1019</v>
      </c>
      <c r="V95" s="120"/>
      <c r="W95" s="122" t="str">
        <f t="shared" si="17"/>
        <v>PPAddIban6@mailinator.com</v>
      </c>
      <c r="X95" s="120" t="str">
        <f t="shared" si="18"/>
        <v>PPAddIban7@mailinator.com</v>
      </c>
      <c r="Y95" s="121" t="str">
        <f t="shared" si="19"/>
        <v>Dummy!2022</v>
      </c>
      <c r="Z95" s="121" t="str">
        <f t="shared" si="20"/>
        <v>020-8055556</v>
      </c>
      <c r="AA95" s="120" t="s">
        <v>1141</v>
      </c>
      <c r="AB95" s="120" t="s">
        <v>986</v>
      </c>
      <c r="AQ95" s="119" t="str">
        <f t="shared" si="21"/>
        <v>PPAddIban6@mailinator.com</v>
      </c>
      <c r="AR95" s="119" t="str">
        <f t="shared" si="22"/>
        <v>PPAddIban7@mailinator.com</v>
      </c>
    </row>
    <row r="96" spans="1:44" ht="27.6" x14ac:dyDescent="0.3">
      <c r="A96" s="120" t="s">
        <v>1142</v>
      </c>
      <c r="B96" s="120" t="s">
        <v>615</v>
      </c>
      <c r="C96" s="120" t="s">
        <v>1028</v>
      </c>
      <c r="D96" s="120" t="s">
        <v>1123</v>
      </c>
      <c r="E96" s="120" t="s">
        <v>1076</v>
      </c>
      <c r="F96" s="120" t="s">
        <v>72</v>
      </c>
      <c r="G96" s="120" t="s">
        <v>1012</v>
      </c>
      <c r="H96" s="120"/>
      <c r="I96" s="120"/>
      <c r="J96" s="120"/>
      <c r="K96" s="121" t="str">
        <f t="shared" si="12"/>
        <v>RIGNALL</v>
      </c>
      <c r="L96" s="121" t="str">
        <f t="shared" si="13"/>
        <v>CICCHETTO</v>
      </c>
      <c r="M96" s="121">
        <f t="shared" si="23"/>
        <v>19209</v>
      </c>
      <c r="N96" s="121">
        <f t="shared" si="14"/>
        <v>22469</v>
      </c>
      <c r="O96" s="121" t="str">
        <f t="shared" si="15"/>
        <v>242600948</v>
      </c>
      <c r="P96" s="121" t="str">
        <f t="shared" si="16"/>
        <v>242600999</v>
      </c>
      <c r="Q96" s="120" t="s">
        <v>1015</v>
      </c>
      <c r="R96" s="120" t="s">
        <v>1016</v>
      </c>
      <c r="S96" s="120" t="s">
        <v>1017</v>
      </c>
      <c r="T96" s="120" t="s">
        <v>1018</v>
      </c>
      <c r="U96" s="120" t="s">
        <v>1019</v>
      </c>
      <c r="V96" s="120"/>
      <c r="W96" s="122" t="str">
        <f t="shared" si="17"/>
        <v>PPAddIban6@mailinator.com</v>
      </c>
      <c r="X96" s="120" t="str">
        <f t="shared" si="18"/>
        <v>PPAddIban7@mailinator.com</v>
      </c>
      <c r="Y96" s="121" t="str">
        <f t="shared" si="19"/>
        <v>Dummy!2022</v>
      </c>
      <c r="Z96" s="121" t="str">
        <f t="shared" si="20"/>
        <v>020-8055556</v>
      </c>
      <c r="AA96" s="120" t="s">
        <v>1143</v>
      </c>
      <c r="AB96" s="120" t="s">
        <v>986</v>
      </c>
      <c r="AQ96" s="119" t="str">
        <f t="shared" si="21"/>
        <v>PPAddIban6@mailinator.com</v>
      </c>
      <c r="AR96" s="119" t="str">
        <f t="shared" si="22"/>
        <v>PPAddIban7@mailinator.com</v>
      </c>
    </row>
    <row r="97" spans="1:44" ht="27.6" x14ac:dyDescent="0.3">
      <c r="A97" s="120" t="s">
        <v>1144</v>
      </c>
      <c r="B97" s="120" t="s">
        <v>615</v>
      </c>
      <c r="C97" s="120" t="s">
        <v>1028</v>
      </c>
      <c r="D97" s="120" t="s">
        <v>1123</v>
      </c>
      <c r="E97" s="120" t="s">
        <v>1076</v>
      </c>
      <c r="F97" s="120" t="s">
        <v>31</v>
      </c>
      <c r="G97" s="120" t="s">
        <v>1022</v>
      </c>
      <c r="H97" s="120"/>
      <c r="I97" s="120"/>
      <c r="J97" s="120"/>
      <c r="K97" s="121" t="str">
        <f t="shared" si="12"/>
        <v>RIGNALL</v>
      </c>
      <c r="L97" s="121" t="str">
        <f t="shared" si="13"/>
        <v>CICCHETTO</v>
      </c>
      <c r="M97" s="121">
        <f t="shared" si="23"/>
        <v>19209</v>
      </c>
      <c r="N97" s="121">
        <f t="shared" si="14"/>
        <v>22469</v>
      </c>
      <c r="O97" s="121" t="str">
        <f t="shared" si="15"/>
        <v>242600948</v>
      </c>
      <c r="P97" s="121" t="str">
        <f t="shared" si="16"/>
        <v>242600999</v>
      </c>
      <c r="Q97" s="120" t="s">
        <v>1015</v>
      </c>
      <c r="R97" s="120" t="s">
        <v>1016</v>
      </c>
      <c r="S97" s="120" t="s">
        <v>1017</v>
      </c>
      <c r="T97" s="120" t="s">
        <v>1018</v>
      </c>
      <c r="U97" s="120" t="s">
        <v>1019</v>
      </c>
      <c r="V97" s="120"/>
      <c r="W97" s="122" t="str">
        <f t="shared" si="17"/>
        <v>PPAddIban6@mailinator.com</v>
      </c>
      <c r="X97" s="120" t="str">
        <f t="shared" si="18"/>
        <v>PPAddIban7@mailinator.com</v>
      </c>
      <c r="Y97" s="121" t="str">
        <f t="shared" si="19"/>
        <v>Dummy!2022</v>
      </c>
      <c r="Z97" s="121" t="str">
        <f t="shared" si="20"/>
        <v>020-8055556</v>
      </c>
      <c r="AA97" s="120" t="s">
        <v>1145</v>
      </c>
      <c r="AB97" s="120" t="s">
        <v>986</v>
      </c>
      <c r="AQ97" s="119" t="str">
        <f t="shared" si="21"/>
        <v>PPAddIban6@mailinator.com</v>
      </c>
      <c r="AR97" s="119" t="str">
        <f t="shared" si="22"/>
        <v>PPAddIban7@mailinator.com</v>
      </c>
    </row>
    <row r="98" spans="1:44" ht="27.6" x14ac:dyDescent="0.3">
      <c r="A98" s="120" t="s">
        <v>1146</v>
      </c>
      <c r="B98" s="120" t="s">
        <v>615</v>
      </c>
      <c r="C98" s="120" t="s">
        <v>1032</v>
      </c>
      <c r="D98" s="120" t="s">
        <v>1123</v>
      </c>
      <c r="E98" s="120" t="s">
        <v>1076</v>
      </c>
      <c r="F98" s="120" t="s">
        <v>31</v>
      </c>
      <c r="G98" s="120" t="s">
        <v>1029</v>
      </c>
      <c r="H98" s="120" t="s">
        <v>985</v>
      </c>
      <c r="I98" s="120"/>
      <c r="J98" s="120"/>
      <c r="K98" s="121" t="str">
        <f t="shared" si="12"/>
        <v>RIGNALL</v>
      </c>
      <c r="L98" s="121" t="str">
        <f t="shared" si="13"/>
        <v>CICCHETTO</v>
      </c>
      <c r="M98" s="121">
        <f t="shared" si="23"/>
        <v>19209</v>
      </c>
      <c r="N98" s="121">
        <f t="shared" si="14"/>
        <v>22469</v>
      </c>
      <c r="O98" s="121" t="str">
        <f t="shared" si="15"/>
        <v>242600948</v>
      </c>
      <c r="P98" s="121" t="str">
        <f t="shared" si="16"/>
        <v>242600999</v>
      </c>
      <c r="Q98" s="120" t="s">
        <v>1015</v>
      </c>
      <c r="R98" s="120" t="s">
        <v>1016</v>
      </c>
      <c r="S98" s="120" t="s">
        <v>1054</v>
      </c>
      <c r="T98" s="120" t="s">
        <v>1018</v>
      </c>
      <c r="U98" s="120" t="s">
        <v>1019</v>
      </c>
      <c r="V98" s="120"/>
      <c r="W98" s="122" t="str">
        <f t="shared" si="17"/>
        <v>PPAddIban6@mailinator.com</v>
      </c>
      <c r="X98" s="120" t="str">
        <f t="shared" si="18"/>
        <v>PPAddIban7@mailinator.com</v>
      </c>
      <c r="Y98" s="121" t="str">
        <f t="shared" si="19"/>
        <v>Dummy!2022</v>
      </c>
      <c r="Z98" s="121" t="str">
        <f t="shared" si="20"/>
        <v>020-8055556</v>
      </c>
      <c r="AA98" s="120" t="s">
        <v>1147</v>
      </c>
      <c r="AB98" s="120" t="s">
        <v>986</v>
      </c>
      <c r="AQ98" s="119" t="str">
        <f t="shared" si="21"/>
        <v>PPAddIban6@mailinator.com</v>
      </c>
      <c r="AR98" s="119" t="str">
        <f t="shared" si="22"/>
        <v>PPAddIban7@mailinator.com</v>
      </c>
    </row>
    <row r="99" spans="1:44" ht="41.4" x14ac:dyDescent="0.3">
      <c r="A99" s="120" t="s">
        <v>1148</v>
      </c>
      <c r="B99" s="120" t="s">
        <v>615</v>
      </c>
      <c r="C99" s="120" t="s">
        <v>1021</v>
      </c>
      <c r="D99" s="120" t="s">
        <v>1123</v>
      </c>
      <c r="E99" s="120" t="s">
        <v>1076</v>
      </c>
      <c r="F99" s="120" t="s">
        <v>31</v>
      </c>
      <c r="G99" s="120" t="s">
        <v>1033</v>
      </c>
      <c r="H99" s="120" t="s">
        <v>999</v>
      </c>
      <c r="I99" s="120"/>
      <c r="J99" s="120"/>
      <c r="K99" s="121" t="str">
        <f t="shared" si="12"/>
        <v>RIGNALL</v>
      </c>
      <c r="L99" s="121" t="str">
        <f t="shared" si="13"/>
        <v>CICCHETTO</v>
      </c>
      <c r="M99" s="121">
        <f t="shared" si="23"/>
        <v>19209</v>
      </c>
      <c r="N99" s="121">
        <f t="shared" si="14"/>
        <v>22469</v>
      </c>
      <c r="O99" s="121" t="str">
        <f t="shared" si="15"/>
        <v>242600948</v>
      </c>
      <c r="P99" s="121" t="str">
        <f t="shared" si="16"/>
        <v>242600999</v>
      </c>
      <c r="Q99" s="120" t="s">
        <v>1015</v>
      </c>
      <c r="R99" s="120" t="s">
        <v>1016</v>
      </c>
      <c r="S99" s="120" t="s">
        <v>1056</v>
      </c>
      <c r="T99" s="120" t="s">
        <v>1018</v>
      </c>
      <c r="U99" s="120" t="s">
        <v>1019</v>
      </c>
      <c r="V99" s="120"/>
      <c r="W99" s="122" t="str">
        <f t="shared" si="17"/>
        <v>PPAddIban6@mailinator.com</v>
      </c>
      <c r="X99" s="120" t="str">
        <f t="shared" si="18"/>
        <v>PPAddIban7@mailinator.com</v>
      </c>
      <c r="Y99" s="121" t="str">
        <f t="shared" si="19"/>
        <v>Dummy!2022</v>
      </c>
      <c r="Z99" s="121" t="str">
        <f t="shared" si="20"/>
        <v>020-8055556</v>
      </c>
      <c r="AA99" s="120" t="s">
        <v>1149</v>
      </c>
      <c r="AB99" s="120" t="s">
        <v>986</v>
      </c>
      <c r="AQ99" s="119" t="str">
        <f t="shared" si="21"/>
        <v>PPAddIban6@mailinator.com</v>
      </c>
      <c r="AR99" s="119" t="str">
        <f t="shared" si="22"/>
        <v>PPAddIban7@mailinator.com</v>
      </c>
    </row>
    <row r="100" spans="1:44" ht="27.6" x14ac:dyDescent="0.3">
      <c r="A100" s="120" t="s">
        <v>1150</v>
      </c>
      <c r="B100" s="120" t="s">
        <v>980</v>
      </c>
      <c r="C100" s="120" t="s">
        <v>981</v>
      </c>
      <c r="D100" s="120" t="s">
        <v>1123</v>
      </c>
      <c r="E100" s="120" t="s">
        <v>1093</v>
      </c>
      <c r="F100" s="120"/>
      <c r="G100" s="120" t="s">
        <v>985</v>
      </c>
      <c r="H100" s="120" t="s">
        <v>985</v>
      </c>
      <c r="I100" s="120"/>
      <c r="J100" s="120"/>
      <c r="K100" s="121" t="str">
        <f t="shared" si="12"/>
        <v>BOURNE</v>
      </c>
      <c r="L100" s="121" t="str">
        <f t="shared" si="13"/>
        <v>CICCHETTO</v>
      </c>
      <c r="M100" s="121">
        <f t="shared" si="23"/>
        <v>22626</v>
      </c>
      <c r="N100" s="121">
        <f t="shared" si="14"/>
        <v>22469</v>
      </c>
      <c r="O100" s="121" t="str">
        <f t="shared" si="15"/>
        <v>242599915</v>
      </c>
      <c r="P100" s="121" t="str">
        <f t="shared" si="16"/>
        <v>242600999</v>
      </c>
      <c r="Q100" s="120"/>
      <c r="R100" s="120"/>
      <c r="S100" s="120"/>
      <c r="T100" s="120"/>
      <c r="U100" s="120"/>
      <c r="V100" s="120"/>
      <c r="W100" s="122" t="str">
        <f t="shared" si="17"/>
        <v>PPAddIban16@mailinator.com</v>
      </c>
      <c r="X100" s="120" t="str">
        <f t="shared" si="18"/>
        <v>PPAddIban7@mailinator.com</v>
      </c>
      <c r="Y100" s="121" t="str">
        <f t="shared" si="19"/>
        <v>Dummy!2022</v>
      </c>
      <c r="Z100" s="121" t="str">
        <f t="shared" si="20"/>
        <v>020-8055516</v>
      </c>
      <c r="AA100" s="120" t="s">
        <v>1151</v>
      </c>
      <c r="AB100" s="120" t="s">
        <v>986</v>
      </c>
      <c r="AQ100" s="119" t="str">
        <f t="shared" si="21"/>
        <v>PPAddIban16@mailinator.com</v>
      </c>
      <c r="AR100" s="119" t="str">
        <f t="shared" si="22"/>
        <v>PPAddIban7@mailinator.com</v>
      </c>
    </row>
    <row r="101" spans="1:44" ht="27.6" x14ac:dyDescent="0.3">
      <c r="A101" s="120" t="s">
        <v>1152</v>
      </c>
      <c r="B101" s="120" t="s">
        <v>992</v>
      </c>
      <c r="C101" s="120" t="s">
        <v>22</v>
      </c>
      <c r="D101" s="120" t="s">
        <v>1123</v>
      </c>
      <c r="E101" s="120" t="s">
        <v>1093</v>
      </c>
      <c r="F101" s="120"/>
      <c r="G101" s="120" t="s">
        <v>984</v>
      </c>
      <c r="H101" s="120"/>
      <c r="I101" s="120"/>
      <c r="J101" s="120"/>
      <c r="K101" s="121" t="str">
        <f t="shared" si="12"/>
        <v>BOURNE</v>
      </c>
      <c r="L101" s="121" t="str">
        <f t="shared" si="13"/>
        <v>CICCHETTO</v>
      </c>
      <c r="M101" s="121">
        <f t="shared" si="23"/>
        <v>22626</v>
      </c>
      <c r="N101" s="121">
        <f t="shared" si="14"/>
        <v>22469</v>
      </c>
      <c r="O101" s="121" t="str">
        <f t="shared" si="15"/>
        <v>242599915</v>
      </c>
      <c r="P101" s="121" t="str">
        <f t="shared" si="16"/>
        <v>242600999</v>
      </c>
      <c r="Q101" s="120"/>
      <c r="R101" s="120"/>
      <c r="S101" s="120"/>
      <c r="T101" s="120"/>
      <c r="U101" s="120"/>
      <c r="V101" s="120"/>
      <c r="W101" s="122" t="str">
        <f t="shared" si="17"/>
        <v>PPAddIban16@mailinator.com</v>
      </c>
      <c r="X101" s="120" t="str">
        <f t="shared" si="18"/>
        <v>PPAddIban7@mailinator.com</v>
      </c>
      <c r="Y101" s="121" t="str">
        <f t="shared" si="19"/>
        <v>Dummy!2022</v>
      </c>
      <c r="Z101" s="121" t="str">
        <f t="shared" si="20"/>
        <v>020-8055516</v>
      </c>
      <c r="AA101" s="120" t="s">
        <v>1153</v>
      </c>
      <c r="AB101" s="120" t="s">
        <v>986</v>
      </c>
      <c r="AQ101" s="119" t="str">
        <f t="shared" si="21"/>
        <v>PPAddIban16@mailinator.com</v>
      </c>
      <c r="AR101" s="119" t="str">
        <f t="shared" si="22"/>
        <v>PPAddIban7@mailinator.com</v>
      </c>
    </row>
    <row r="102" spans="1:44" ht="27.6" x14ac:dyDescent="0.3">
      <c r="A102" s="120" t="s">
        <v>1154</v>
      </c>
      <c r="B102" s="120" t="s">
        <v>615</v>
      </c>
      <c r="C102" s="120" t="s">
        <v>997</v>
      </c>
      <c r="D102" s="120" t="s">
        <v>1123</v>
      </c>
      <c r="E102" s="120" t="s">
        <v>1093</v>
      </c>
      <c r="F102" s="120"/>
      <c r="G102" s="120" t="s">
        <v>993</v>
      </c>
      <c r="H102" s="120" t="s">
        <v>999</v>
      </c>
      <c r="I102" s="120"/>
      <c r="J102" s="120"/>
      <c r="K102" s="121" t="str">
        <f t="shared" si="12"/>
        <v>BOURNE</v>
      </c>
      <c r="L102" s="121" t="str">
        <f t="shared" si="13"/>
        <v>CICCHETTO</v>
      </c>
      <c r="M102" s="121">
        <f t="shared" si="23"/>
        <v>22626</v>
      </c>
      <c r="N102" s="121">
        <f t="shared" si="14"/>
        <v>22469</v>
      </c>
      <c r="O102" s="121" t="str">
        <f t="shared" si="15"/>
        <v>242599915</v>
      </c>
      <c r="P102" s="121" t="str">
        <f t="shared" si="16"/>
        <v>242600999</v>
      </c>
      <c r="Q102" s="120"/>
      <c r="R102" s="120"/>
      <c r="S102" s="120"/>
      <c r="T102" s="120"/>
      <c r="U102" s="120"/>
      <c r="V102" s="120"/>
      <c r="W102" s="122" t="str">
        <f t="shared" si="17"/>
        <v>PPAddIban16@mailinator.com</v>
      </c>
      <c r="X102" s="120" t="str">
        <f t="shared" si="18"/>
        <v>PPAddIban7@mailinator.com</v>
      </c>
      <c r="Y102" s="121" t="str">
        <f t="shared" si="19"/>
        <v>Dummy!2022</v>
      </c>
      <c r="Z102" s="121" t="str">
        <f t="shared" si="20"/>
        <v>020-8055516</v>
      </c>
      <c r="AA102" s="120" t="s">
        <v>1155</v>
      </c>
      <c r="AB102" s="120" t="s">
        <v>986</v>
      </c>
      <c r="AQ102" s="119" t="str">
        <f t="shared" si="21"/>
        <v>PPAddIban16@mailinator.com</v>
      </c>
      <c r="AR102" s="119" t="str">
        <f t="shared" si="22"/>
        <v>PPAddIban7@mailinator.com</v>
      </c>
    </row>
    <row r="103" spans="1:44" ht="27.6" x14ac:dyDescent="0.3">
      <c r="A103" s="120" t="s">
        <v>1156</v>
      </c>
      <c r="B103" s="120" t="s">
        <v>615</v>
      </c>
      <c r="C103" s="120" t="s">
        <v>1005</v>
      </c>
      <c r="D103" s="120" t="s">
        <v>1123</v>
      </c>
      <c r="E103" s="120" t="s">
        <v>1093</v>
      </c>
      <c r="F103" s="120"/>
      <c r="G103" s="120" t="s">
        <v>998</v>
      </c>
      <c r="H103" s="120" t="s">
        <v>1007</v>
      </c>
      <c r="I103" s="120"/>
      <c r="J103" s="120"/>
      <c r="K103" s="121" t="str">
        <f t="shared" si="12"/>
        <v>BOURNE</v>
      </c>
      <c r="L103" s="121" t="str">
        <f t="shared" si="13"/>
        <v>CICCHETTO</v>
      </c>
      <c r="M103" s="121">
        <f t="shared" si="23"/>
        <v>22626</v>
      </c>
      <c r="N103" s="121">
        <f t="shared" si="14"/>
        <v>22469</v>
      </c>
      <c r="O103" s="121" t="str">
        <f t="shared" si="15"/>
        <v>242599915</v>
      </c>
      <c r="P103" s="121" t="str">
        <f t="shared" si="16"/>
        <v>242600999</v>
      </c>
      <c r="Q103" s="120"/>
      <c r="R103" s="120"/>
      <c r="S103" s="120"/>
      <c r="T103" s="120"/>
      <c r="U103" s="120"/>
      <c r="V103" s="120"/>
      <c r="W103" s="122" t="str">
        <f t="shared" si="17"/>
        <v>PPAddIban16@mailinator.com</v>
      </c>
      <c r="X103" s="120" t="str">
        <f t="shared" si="18"/>
        <v>PPAddIban7@mailinator.com</v>
      </c>
      <c r="Y103" s="121" t="str">
        <f t="shared" si="19"/>
        <v>Dummy!2022</v>
      </c>
      <c r="Z103" s="121" t="str">
        <f t="shared" si="20"/>
        <v>020-8055516</v>
      </c>
      <c r="AA103" s="120" t="s">
        <v>1157</v>
      </c>
      <c r="AB103" s="120" t="s">
        <v>986</v>
      </c>
      <c r="AQ103" s="119" t="str">
        <f t="shared" si="21"/>
        <v>PPAddIban16@mailinator.com</v>
      </c>
      <c r="AR103" s="119" t="str">
        <f t="shared" si="22"/>
        <v>PPAddIban7@mailinator.com</v>
      </c>
    </row>
    <row r="104" spans="1:44" ht="41.4" x14ac:dyDescent="0.3">
      <c r="A104" s="120" t="s">
        <v>1158</v>
      </c>
      <c r="B104" s="120" t="s">
        <v>615</v>
      </c>
      <c r="C104" s="120" t="s">
        <v>1021</v>
      </c>
      <c r="D104" s="120" t="s">
        <v>1123</v>
      </c>
      <c r="E104" s="120" t="s">
        <v>1093</v>
      </c>
      <c r="F104" s="120" t="s">
        <v>72</v>
      </c>
      <c r="G104" s="120" t="s">
        <v>1006</v>
      </c>
      <c r="H104" s="120" t="s">
        <v>985</v>
      </c>
      <c r="I104" s="120"/>
      <c r="J104" s="120"/>
      <c r="K104" s="121" t="str">
        <f t="shared" si="12"/>
        <v>BOURNE</v>
      </c>
      <c r="L104" s="121" t="str">
        <f t="shared" si="13"/>
        <v>CICCHETTO</v>
      </c>
      <c r="M104" s="121">
        <f t="shared" si="23"/>
        <v>22626</v>
      </c>
      <c r="N104" s="121">
        <f t="shared" si="14"/>
        <v>22469</v>
      </c>
      <c r="O104" s="121" t="str">
        <f t="shared" si="15"/>
        <v>242599915</v>
      </c>
      <c r="P104" s="121" t="str">
        <f t="shared" si="16"/>
        <v>242600999</v>
      </c>
      <c r="Q104" s="120" t="s">
        <v>1015</v>
      </c>
      <c r="R104" s="120" t="s">
        <v>1016</v>
      </c>
      <c r="S104" s="120" t="s">
        <v>1017</v>
      </c>
      <c r="T104" s="120" t="s">
        <v>1018</v>
      </c>
      <c r="U104" s="120" t="s">
        <v>1019</v>
      </c>
      <c r="V104" s="120"/>
      <c r="W104" s="122" t="str">
        <f t="shared" si="17"/>
        <v>PPAddIban16@mailinator.com</v>
      </c>
      <c r="X104" s="120" t="str">
        <f t="shared" si="18"/>
        <v>PPAddIban7@mailinator.com</v>
      </c>
      <c r="Y104" s="121" t="str">
        <f t="shared" si="19"/>
        <v>Dummy!2022</v>
      </c>
      <c r="Z104" s="121" t="str">
        <f t="shared" si="20"/>
        <v>020-8055516</v>
      </c>
      <c r="AA104" s="120" t="s">
        <v>1159</v>
      </c>
      <c r="AB104" s="120" t="s">
        <v>986</v>
      </c>
      <c r="AQ104" s="119" t="str">
        <f t="shared" si="21"/>
        <v>PPAddIban16@mailinator.com</v>
      </c>
      <c r="AR104" s="119" t="str">
        <f t="shared" si="22"/>
        <v>PPAddIban7@mailinator.com</v>
      </c>
    </row>
    <row r="105" spans="1:44" ht="27.6" x14ac:dyDescent="0.3">
      <c r="A105" s="120" t="s">
        <v>1160</v>
      </c>
      <c r="B105" s="120" t="s">
        <v>615</v>
      </c>
      <c r="C105" s="120" t="s">
        <v>1028</v>
      </c>
      <c r="D105" s="120" t="s">
        <v>1123</v>
      </c>
      <c r="E105" s="120" t="s">
        <v>1093</v>
      </c>
      <c r="F105" s="120" t="s">
        <v>72</v>
      </c>
      <c r="G105" s="120" t="s">
        <v>1012</v>
      </c>
      <c r="H105" s="120"/>
      <c r="I105" s="120"/>
      <c r="J105" s="120"/>
      <c r="K105" s="121" t="str">
        <f t="shared" si="12"/>
        <v>BOURNE</v>
      </c>
      <c r="L105" s="121" t="str">
        <f t="shared" si="13"/>
        <v>CICCHETTO</v>
      </c>
      <c r="M105" s="121">
        <f t="shared" si="23"/>
        <v>22626</v>
      </c>
      <c r="N105" s="121">
        <f t="shared" si="14"/>
        <v>22469</v>
      </c>
      <c r="O105" s="121" t="str">
        <f t="shared" si="15"/>
        <v>242599915</v>
      </c>
      <c r="P105" s="121" t="str">
        <f t="shared" si="16"/>
        <v>242600999</v>
      </c>
      <c r="Q105" s="120" t="s">
        <v>1015</v>
      </c>
      <c r="R105" s="120" t="s">
        <v>1016</v>
      </c>
      <c r="S105" s="120" t="s">
        <v>1017</v>
      </c>
      <c r="T105" s="120" t="s">
        <v>1018</v>
      </c>
      <c r="U105" s="120" t="s">
        <v>1019</v>
      </c>
      <c r="V105" s="120"/>
      <c r="W105" s="122" t="str">
        <f t="shared" si="17"/>
        <v>PPAddIban16@mailinator.com</v>
      </c>
      <c r="X105" s="120" t="str">
        <f t="shared" si="18"/>
        <v>PPAddIban7@mailinator.com</v>
      </c>
      <c r="Y105" s="121" t="str">
        <f t="shared" si="19"/>
        <v>Dummy!2022</v>
      </c>
      <c r="Z105" s="121" t="str">
        <f t="shared" si="20"/>
        <v>020-8055516</v>
      </c>
      <c r="AA105" s="120" t="s">
        <v>1161</v>
      </c>
      <c r="AB105" s="120" t="s">
        <v>986</v>
      </c>
      <c r="AQ105" s="119" t="str">
        <f t="shared" si="21"/>
        <v>PPAddIban16@mailinator.com</v>
      </c>
      <c r="AR105" s="119" t="str">
        <f t="shared" si="22"/>
        <v>PPAddIban7@mailinator.com</v>
      </c>
    </row>
    <row r="106" spans="1:44" ht="27.6" x14ac:dyDescent="0.3">
      <c r="A106" s="120" t="s">
        <v>745</v>
      </c>
      <c r="B106" s="120" t="s">
        <v>615</v>
      </c>
      <c r="C106" s="120" t="s">
        <v>1028</v>
      </c>
      <c r="D106" s="120" t="s">
        <v>1123</v>
      </c>
      <c r="E106" s="120" t="s">
        <v>1093</v>
      </c>
      <c r="F106" s="120" t="s">
        <v>31</v>
      </c>
      <c r="G106" s="120" t="s">
        <v>1022</v>
      </c>
      <c r="H106" s="120"/>
      <c r="I106" s="120"/>
      <c r="J106" s="120"/>
      <c r="K106" s="121" t="str">
        <f t="shared" si="12"/>
        <v>BOURNE</v>
      </c>
      <c r="L106" s="121" t="str">
        <f t="shared" si="13"/>
        <v>CICCHETTO</v>
      </c>
      <c r="M106" s="121">
        <f t="shared" si="23"/>
        <v>22626</v>
      </c>
      <c r="N106" s="121">
        <f t="shared" si="14"/>
        <v>22469</v>
      </c>
      <c r="O106" s="121" t="str">
        <f t="shared" si="15"/>
        <v>242599915</v>
      </c>
      <c r="P106" s="121" t="str">
        <f t="shared" si="16"/>
        <v>242600999</v>
      </c>
      <c r="Q106" s="120" t="s">
        <v>1015</v>
      </c>
      <c r="R106" s="120" t="s">
        <v>1016</v>
      </c>
      <c r="S106" s="120" t="s">
        <v>1017</v>
      </c>
      <c r="T106" s="120" t="s">
        <v>1018</v>
      </c>
      <c r="U106" s="120" t="s">
        <v>1019</v>
      </c>
      <c r="V106" s="120"/>
      <c r="W106" s="122" t="str">
        <f t="shared" si="17"/>
        <v>PPAddIban16@mailinator.com</v>
      </c>
      <c r="X106" s="120" t="str">
        <f t="shared" si="18"/>
        <v>PPAddIban7@mailinator.com</v>
      </c>
      <c r="Y106" s="121" t="str">
        <f t="shared" si="19"/>
        <v>Dummy!2022</v>
      </c>
      <c r="Z106" s="121" t="str">
        <f t="shared" si="20"/>
        <v>020-8055516</v>
      </c>
      <c r="AA106" s="120" t="s">
        <v>1162</v>
      </c>
      <c r="AB106" s="120" t="s">
        <v>986</v>
      </c>
      <c r="AQ106" s="119" t="str">
        <f t="shared" si="21"/>
        <v>PPAddIban16@mailinator.com</v>
      </c>
      <c r="AR106" s="119" t="str">
        <f t="shared" si="22"/>
        <v>PPAddIban7@mailinator.com</v>
      </c>
    </row>
    <row r="107" spans="1:44" ht="27.6" x14ac:dyDescent="0.3">
      <c r="A107" s="120" t="s">
        <v>1163</v>
      </c>
      <c r="B107" s="120" t="s">
        <v>615</v>
      </c>
      <c r="C107" s="120" t="s">
        <v>1032</v>
      </c>
      <c r="D107" s="120" t="s">
        <v>1123</v>
      </c>
      <c r="E107" s="120" t="s">
        <v>1093</v>
      </c>
      <c r="F107" s="120" t="s">
        <v>31</v>
      </c>
      <c r="G107" s="120" t="s">
        <v>1029</v>
      </c>
      <c r="H107" s="120" t="s">
        <v>985</v>
      </c>
      <c r="I107" s="120"/>
      <c r="J107" s="120"/>
      <c r="K107" s="121" t="str">
        <f t="shared" si="12"/>
        <v>BOURNE</v>
      </c>
      <c r="L107" s="121" t="str">
        <f t="shared" si="13"/>
        <v>CICCHETTO</v>
      </c>
      <c r="M107" s="121">
        <f t="shared" si="23"/>
        <v>22626</v>
      </c>
      <c r="N107" s="121">
        <f t="shared" si="14"/>
        <v>22469</v>
      </c>
      <c r="O107" s="121" t="str">
        <f t="shared" si="15"/>
        <v>242599915</v>
      </c>
      <c r="P107" s="121" t="str">
        <f t="shared" si="16"/>
        <v>242600999</v>
      </c>
      <c r="Q107" s="120" t="s">
        <v>1015</v>
      </c>
      <c r="R107" s="120" t="s">
        <v>1016</v>
      </c>
      <c r="S107" s="120" t="s">
        <v>1054</v>
      </c>
      <c r="T107" s="120" t="s">
        <v>1018</v>
      </c>
      <c r="U107" s="120" t="s">
        <v>1019</v>
      </c>
      <c r="V107" s="120"/>
      <c r="W107" s="122" t="str">
        <f t="shared" si="17"/>
        <v>PPAddIban16@mailinator.com</v>
      </c>
      <c r="X107" s="120" t="str">
        <f t="shared" si="18"/>
        <v>PPAddIban7@mailinator.com</v>
      </c>
      <c r="Y107" s="121" t="str">
        <f t="shared" si="19"/>
        <v>Dummy!2022</v>
      </c>
      <c r="Z107" s="121" t="str">
        <f t="shared" si="20"/>
        <v>020-8055516</v>
      </c>
      <c r="AA107" s="120" t="s">
        <v>1164</v>
      </c>
      <c r="AB107" s="120" t="s">
        <v>986</v>
      </c>
      <c r="AQ107" s="119" t="str">
        <f t="shared" si="21"/>
        <v>PPAddIban16@mailinator.com</v>
      </c>
      <c r="AR107" s="119" t="str">
        <f t="shared" si="22"/>
        <v>PPAddIban7@mailinator.com</v>
      </c>
    </row>
    <row r="108" spans="1:44" ht="41.4" x14ac:dyDescent="0.3">
      <c r="A108" s="120" t="s">
        <v>1165</v>
      </c>
      <c r="B108" s="120" t="s">
        <v>615</v>
      </c>
      <c r="C108" s="120" t="s">
        <v>1021</v>
      </c>
      <c r="D108" s="120" t="s">
        <v>1123</v>
      </c>
      <c r="E108" s="120" t="s">
        <v>1093</v>
      </c>
      <c r="F108" s="120" t="s">
        <v>31</v>
      </c>
      <c r="G108" s="120" t="s">
        <v>1033</v>
      </c>
      <c r="H108" s="120" t="s">
        <v>999</v>
      </c>
      <c r="I108" s="120"/>
      <c r="J108" s="120"/>
      <c r="K108" s="121" t="str">
        <f t="shared" si="12"/>
        <v>BOURNE</v>
      </c>
      <c r="L108" s="121" t="str">
        <f t="shared" si="13"/>
        <v>CICCHETTO</v>
      </c>
      <c r="M108" s="121">
        <f t="shared" si="23"/>
        <v>22626</v>
      </c>
      <c r="N108" s="121">
        <f t="shared" si="14"/>
        <v>22469</v>
      </c>
      <c r="O108" s="121" t="str">
        <f t="shared" si="15"/>
        <v>242599915</v>
      </c>
      <c r="P108" s="121" t="str">
        <f t="shared" si="16"/>
        <v>242600999</v>
      </c>
      <c r="Q108" s="120" t="s">
        <v>1015</v>
      </c>
      <c r="R108" s="120" t="s">
        <v>1016</v>
      </c>
      <c r="S108" s="120" t="s">
        <v>1056</v>
      </c>
      <c r="T108" s="120" t="s">
        <v>1018</v>
      </c>
      <c r="U108" s="120" t="s">
        <v>1019</v>
      </c>
      <c r="V108" s="120"/>
      <c r="W108" s="122" t="str">
        <f t="shared" si="17"/>
        <v>PPAddIban16@mailinator.com</v>
      </c>
      <c r="X108" s="120" t="str">
        <f t="shared" si="18"/>
        <v>PPAddIban7@mailinator.com</v>
      </c>
      <c r="Y108" s="121" t="str">
        <f t="shared" si="19"/>
        <v>Dummy!2022</v>
      </c>
      <c r="Z108" s="121" t="str">
        <f t="shared" si="20"/>
        <v>020-8055516</v>
      </c>
      <c r="AA108" s="120" t="s">
        <v>1166</v>
      </c>
      <c r="AB108" s="120" t="s">
        <v>986</v>
      </c>
      <c r="AQ108" s="119" t="str">
        <f t="shared" si="21"/>
        <v>PPAddIban16@mailinator.com</v>
      </c>
      <c r="AR108" s="119" t="str">
        <f t="shared" si="22"/>
        <v>PPAddIban7@mailinator.com</v>
      </c>
    </row>
    <row r="109" spans="1:44" ht="27.6" x14ac:dyDescent="0.3">
      <c r="A109" s="120" t="s">
        <v>1167</v>
      </c>
      <c r="B109" s="120" t="s">
        <v>980</v>
      </c>
      <c r="C109" s="120" t="s">
        <v>981</v>
      </c>
      <c r="D109" s="120" t="s">
        <v>1123</v>
      </c>
      <c r="E109" s="120" t="s">
        <v>1105</v>
      </c>
      <c r="F109" s="120"/>
      <c r="G109" s="120" t="s">
        <v>985</v>
      </c>
      <c r="H109" s="120" t="s">
        <v>985</v>
      </c>
      <c r="I109" s="120"/>
      <c r="J109" s="120"/>
      <c r="K109" s="121" t="str">
        <f t="shared" si="12"/>
        <v>RIGNALL</v>
      </c>
      <c r="L109" s="121" t="str">
        <f t="shared" si="13"/>
        <v>DE GLANVILLE</v>
      </c>
      <c r="M109" s="121">
        <f t="shared" si="23"/>
        <v>19209</v>
      </c>
      <c r="N109" s="121">
        <f t="shared" si="14"/>
        <v>27439</v>
      </c>
      <c r="O109" s="121" t="str">
        <f t="shared" si="15"/>
        <v>242600948</v>
      </c>
      <c r="P109" s="121" t="str">
        <f t="shared" si="16"/>
        <v>242596037</v>
      </c>
      <c r="Q109" s="120"/>
      <c r="R109" s="120"/>
      <c r="S109" s="120"/>
      <c r="T109" s="120"/>
      <c r="U109" s="120"/>
      <c r="V109" s="120"/>
      <c r="W109" s="122" t="str">
        <f t="shared" si="17"/>
        <v>PPAddIban6@mailinator.com</v>
      </c>
      <c r="X109" s="120" t="str">
        <f t="shared" si="18"/>
        <v>RebrandAutomationUser7@mailinator.com</v>
      </c>
      <c r="Y109" s="121" t="str">
        <f t="shared" si="19"/>
        <v>Dummy!2022</v>
      </c>
      <c r="Z109" s="121" t="str">
        <f t="shared" si="20"/>
        <v>020-8055556</v>
      </c>
      <c r="AA109" s="120" t="s">
        <v>1168</v>
      </c>
      <c r="AB109" s="120" t="s">
        <v>986</v>
      </c>
      <c r="AQ109" s="119" t="str">
        <f t="shared" si="21"/>
        <v>PPAddIban6@mailinator.com</v>
      </c>
      <c r="AR109" s="119" t="str">
        <f t="shared" si="22"/>
        <v>RebrandAutomationUser7@mailinator.com</v>
      </c>
    </row>
    <row r="110" spans="1:44" ht="27.6" x14ac:dyDescent="0.3">
      <c r="A110" s="120" t="s">
        <v>1169</v>
      </c>
      <c r="B110" s="120" t="s">
        <v>992</v>
      </c>
      <c r="C110" s="120" t="s">
        <v>22</v>
      </c>
      <c r="D110" s="120" t="s">
        <v>1123</v>
      </c>
      <c r="E110" s="120" t="s">
        <v>1105</v>
      </c>
      <c r="F110" s="120"/>
      <c r="G110" s="120" t="s">
        <v>984</v>
      </c>
      <c r="H110" s="120"/>
      <c r="I110" s="120"/>
      <c r="J110" s="120"/>
      <c r="K110" s="121" t="str">
        <f t="shared" si="12"/>
        <v>RIGNALL</v>
      </c>
      <c r="L110" s="121" t="str">
        <f t="shared" si="13"/>
        <v>DE GLANVILLE</v>
      </c>
      <c r="M110" s="121">
        <f t="shared" si="23"/>
        <v>19209</v>
      </c>
      <c r="N110" s="121">
        <f t="shared" si="14"/>
        <v>27439</v>
      </c>
      <c r="O110" s="121" t="str">
        <f t="shared" si="15"/>
        <v>242600948</v>
      </c>
      <c r="P110" s="121" t="str">
        <f t="shared" si="16"/>
        <v>242596037</v>
      </c>
      <c r="Q110" s="120"/>
      <c r="R110" s="120"/>
      <c r="S110" s="120"/>
      <c r="T110" s="120"/>
      <c r="U110" s="120"/>
      <c r="V110" s="120"/>
      <c r="W110" s="122" t="str">
        <f t="shared" si="17"/>
        <v>PPAddIban6@mailinator.com</v>
      </c>
      <c r="X110" s="120" t="str">
        <f t="shared" si="18"/>
        <v>RebrandAutomationUser7@mailinator.com</v>
      </c>
      <c r="Y110" s="121" t="str">
        <f t="shared" si="19"/>
        <v>Dummy!2022</v>
      </c>
      <c r="Z110" s="121" t="str">
        <f t="shared" si="20"/>
        <v>020-8055556</v>
      </c>
      <c r="AA110" s="120" t="s">
        <v>1170</v>
      </c>
      <c r="AB110" s="120" t="s">
        <v>986</v>
      </c>
      <c r="AQ110" s="119" t="str">
        <f t="shared" si="21"/>
        <v>PPAddIban6@mailinator.com</v>
      </c>
      <c r="AR110" s="119" t="str">
        <f t="shared" si="22"/>
        <v>RebrandAutomationUser7@mailinator.com</v>
      </c>
    </row>
    <row r="111" spans="1:44" ht="27.6" x14ac:dyDescent="0.3">
      <c r="A111" s="120" t="s">
        <v>1171</v>
      </c>
      <c r="B111" s="120" t="s">
        <v>615</v>
      </c>
      <c r="C111" s="120" t="s">
        <v>997</v>
      </c>
      <c r="D111" s="120" t="s">
        <v>1123</v>
      </c>
      <c r="E111" s="120" t="s">
        <v>1105</v>
      </c>
      <c r="F111" s="120"/>
      <c r="G111" s="120" t="s">
        <v>993</v>
      </c>
      <c r="H111" s="120" t="s">
        <v>999</v>
      </c>
      <c r="I111" s="120"/>
      <c r="J111" s="120"/>
      <c r="K111" s="121" t="str">
        <f t="shared" si="12"/>
        <v>RIGNALL</v>
      </c>
      <c r="L111" s="121" t="str">
        <f t="shared" si="13"/>
        <v>DE GLANVILLE</v>
      </c>
      <c r="M111" s="121">
        <f t="shared" si="23"/>
        <v>19209</v>
      </c>
      <c r="N111" s="121">
        <f t="shared" si="14"/>
        <v>27439</v>
      </c>
      <c r="O111" s="121" t="str">
        <f t="shared" si="15"/>
        <v>242600948</v>
      </c>
      <c r="P111" s="121" t="str">
        <f t="shared" si="16"/>
        <v>242596037</v>
      </c>
      <c r="Q111" s="120"/>
      <c r="R111" s="120"/>
      <c r="S111" s="120"/>
      <c r="T111" s="120"/>
      <c r="U111" s="120"/>
      <c r="V111" s="120"/>
      <c r="W111" s="122" t="str">
        <f t="shared" si="17"/>
        <v>PPAddIban6@mailinator.com</v>
      </c>
      <c r="X111" s="120" t="str">
        <f t="shared" si="18"/>
        <v>RebrandAutomationUser7@mailinator.com</v>
      </c>
      <c r="Y111" s="121" t="str">
        <f t="shared" si="19"/>
        <v>Dummy!2022</v>
      </c>
      <c r="Z111" s="121" t="str">
        <f t="shared" si="20"/>
        <v>020-8055556</v>
      </c>
      <c r="AA111" s="120" t="s">
        <v>1172</v>
      </c>
      <c r="AB111" s="120" t="s">
        <v>986</v>
      </c>
      <c r="AQ111" s="119" t="str">
        <f t="shared" si="21"/>
        <v>PPAddIban6@mailinator.com</v>
      </c>
      <c r="AR111" s="119" t="str">
        <f t="shared" si="22"/>
        <v>RebrandAutomationUser7@mailinator.com</v>
      </c>
    </row>
    <row r="112" spans="1:44" ht="27.6" x14ac:dyDescent="0.3">
      <c r="A112" s="120" t="s">
        <v>1173</v>
      </c>
      <c r="B112" s="120" t="s">
        <v>615</v>
      </c>
      <c r="C112" s="120" t="s">
        <v>1005</v>
      </c>
      <c r="D112" s="120" t="s">
        <v>1123</v>
      </c>
      <c r="E112" s="120" t="s">
        <v>1105</v>
      </c>
      <c r="F112" s="120"/>
      <c r="G112" s="120" t="s">
        <v>998</v>
      </c>
      <c r="H112" s="120" t="s">
        <v>1007</v>
      </c>
      <c r="I112" s="120"/>
      <c r="J112" s="120"/>
      <c r="K112" s="121" t="str">
        <f t="shared" si="12"/>
        <v>RIGNALL</v>
      </c>
      <c r="L112" s="121" t="str">
        <f t="shared" si="13"/>
        <v>DE GLANVILLE</v>
      </c>
      <c r="M112" s="121">
        <f t="shared" si="23"/>
        <v>19209</v>
      </c>
      <c r="N112" s="121">
        <f t="shared" si="14"/>
        <v>27439</v>
      </c>
      <c r="O112" s="121" t="str">
        <f t="shared" si="15"/>
        <v>242600948</v>
      </c>
      <c r="P112" s="121" t="str">
        <f t="shared" si="16"/>
        <v>242596037</v>
      </c>
      <c r="Q112" s="120"/>
      <c r="R112" s="120"/>
      <c r="S112" s="120"/>
      <c r="T112" s="120"/>
      <c r="U112" s="120"/>
      <c r="V112" s="120"/>
      <c r="W112" s="122" t="str">
        <f t="shared" si="17"/>
        <v>PPAddIban6@mailinator.com</v>
      </c>
      <c r="X112" s="120" t="str">
        <f t="shared" si="18"/>
        <v>RebrandAutomationUser7@mailinator.com</v>
      </c>
      <c r="Y112" s="121" t="str">
        <f t="shared" si="19"/>
        <v>Dummy!2022</v>
      </c>
      <c r="Z112" s="121" t="str">
        <f t="shared" si="20"/>
        <v>020-8055556</v>
      </c>
      <c r="AA112" s="120" t="s">
        <v>1174</v>
      </c>
      <c r="AB112" s="120" t="s">
        <v>986</v>
      </c>
      <c r="AQ112" s="119" t="str">
        <f t="shared" si="21"/>
        <v>PPAddIban6@mailinator.com</v>
      </c>
      <c r="AR112" s="119" t="str">
        <f t="shared" si="22"/>
        <v>RebrandAutomationUser7@mailinator.com</v>
      </c>
    </row>
    <row r="113" spans="1:44" ht="41.4" x14ac:dyDescent="0.3">
      <c r="A113" s="120" t="s">
        <v>1175</v>
      </c>
      <c r="B113" s="120" t="s">
        <v>615</v>
      </c>
      <c r="C113" s="120" t="s">
        <v>1021</v>
      </c>
      <c r="D113" s="120" t="s">
        <v>1123</v>
      </c>
      <c r="E113" s="120" t="s">
        <v>1105</v>
      </c>
      <c r="F113" s="120" t="s">
        <v>72</v>
      </c>
      <c r="G113" s="120" t="s">
        <v>1006</v>
      </c>
      <c r="H113" s="120" t="s">
        <v>985</v>
      </c>
      <c r="I113" s="120"/>
      <c r="J113" s="120"/>
      <c r="K113" s="121" t="str">
        <f t="shared" si="12"/>
        <v>RIGNALL</v>
      </c>
      <c r="L113" s="121" t="str">
        <f t="shared" si="13"/>
        <v>DE GLANVILLE</v>
      </c>
      <c r="M113" s="121">
        <f t="shared" si="23"/>
        <v>19209</v>
      </c>
      <c r="N113" s="121">
        <f t="shared" si="14"/>
        <v>27439</v>
      </c>
      <c r="O113" s="121" t="str">
        <f t="shared" si="15"/>
        <v>242600948</v>
      </c>
      <c r="P113" s="121" t="str">
        <f t="shared" si="16"/>
        <v>242596037</v>
      </c>
      <c r="Q113" s="120" t="s">
        <v>1015</v>
      </c>
      <c r="R113" s="120" t="s">
        <v>1016</v>
      </c>
      <c r="S113" s="120" t="s">
        <v>1017</v>
      </c>
      <c r="T113" s="120" t="s">
        <v>1018</v>
      </c>
      <c r="U113" s="120" t="s">
        <v>1019</v>
      </c>
      <c r="V113" s="120"/>
      <c r="W113" s="122" t="str">
        <f t="shared" si="17"/>
        <v>PPAddIban6@mailinator.com</v>
      </c>
      <c r="X113" s="120" t="str">
        <f t="shared" si="18"/>
        <v>RebrandAutomationUser7@mailinator.com</v>
      </c>
      <c r="Y113" s="121" t="str">
        <f t="shared" si="19"/>
        <v>Dummy!2022</v>
      </c>
      <c r="Z113" s="121" t="str">
        <f t="shared" si="20"/>
        <v>020-8055556</v>
      </c>
      <c r="AA113" s="120" t="s">
        <v>1176</v>
      </c>
      <c r="AB113" s="120" t="s">
        <v>986</v>
      </c>
      <c r="AQ113" s="119" t="str">
        <f t="shared" si="21"/>
        <v>PPAddIban6@mailinator.com</v>
      </c>
      <c r="AR113" s="119" t="str">
        <f t="shared" si="22"/>
        <v>RebrandAutomationUser7@mailinator.com</v>
      </c>
    </row>
    <row r="114" spans="1:44" ht="27.6" x14ac:dyDescent="0.3">
      <c r="A114" s="120" t="s">
        <v>1177</v>
      </c>
      <c r="B114" s="120" t="s">
        <v>615</v>
      </c>
      <c r="C114" s="120" t="s">
        <v>1028</v>
      </c>
      <c r="D114" s="120" t="s">
        <v>1123</v>
      </c>
      <c r="E114" s="120" t="s">
        <v>1105</v>
      </c>
      <c r="F114" s="120" t="s">
        <v>72</v>
      </c>
      <c r="G114" s="120" t="s">
        <v>1012</v>
      </c>
      <c r="H114" s="120"/>
      <c r="I114" s="120"/>
      <c r="J114" s="120"/>
      <c r="K114" s="121" t="str">
        <f t="shared" si="12"/>
        <v>RIGNALL</v>
      </c>
      <c r="L114" s="121" t="str">
        <f t="shared" si="13"/>
        <v>DE GLANVILLE</v>
      </c>
      <c r="M114" s="121">
        <f t="shared" si="23"/>
        <v>19209</v>
      </c>
      <c r="N114" s="121">
        <f t="shared" si="14"/>
        <v>27439</v>
      </c>
      <c r="O114" s="121" t="str">
        <f t="shared" si="15"/>
        <v>242600948</v>
      </c>
      <c r="P114" s="121" t="str">
        <f t="shared" si="16"/>
        <v>242596037</v>
      </c>
      <c r="Q114" s="120" t="s">
        <v>1015</v>
      </c>
      <c r="R114" s="120" t="s">
        <v>1016</v>
      </c>
      <c r="S114" s="120" t="s">
        <v>1017</v>
      </c>
      <c r="T114" s="120" t="s">
        <v>1018</v>
      </c>
      <c r="U114" s="120" t="s">
        <v>1019</v>
      </c>
      <c r="V114" s="120"/>
      <c r="W114" s="122" t="str">
        <f t="shared" si="17"/>
        <v>PPAddIban6@mailinator.com</v>
      </c>
      <c r="X114" s="120" t="str">
        <f t="shared" si="18"/>
        <v>RebrandAutomationUser7@mailinator.com</v>
      </c>
      <c r="Y114" s="121" t="str">
        <f t="shared" si="19"/>
        <v>Dummy!2022</v>
      </c>
      <c r="Z114" s="121" t="str">
        <f t="shared" si="20"/>
        <v>020-8055556</v>
      </c>
      <c r="AA114" s="120" t="s">
        <v>1178</v>
      </c>
      <c r="AB114" s="120" t="s">
        <v>986</v>
      </c>
      <c r="AQ114" s="119" t="str">
        <f t="shared" si="21"/>
        <v>PPAddIban6@mailinator.com</v>
      </c>
      <c r="AR114" s="119" t="str">
        <f t="shared" si="22"/>
        <v>RebrandAutomationUser7@mailinator.com</v>
      </c>
    </row>
    <row r="115" spans="1:44" ht="27.6" x14ac:dyDescent="0.3">
      <c r="A115" s="120" t="s">
        <v>1179</v>
      </c>
      <c r="B115" s="120" t="s">
        <v>615</v>
      </c>
      <c r="C115" s="120" t="s">
        <v>1028</v>
      </c>
      <c r="D115" s="120" t="s">
        <v>1123</v>
      </c>
      <c r="E115" s="120" t="s">
        <v>1105</v>
      </c>
      <c r="F115" s="120" t="s">
        <v>31</v>
      </c>
      <c r="G115" s="120" t="s">
        <v>1022</v>
      </c>
      <c r="H115" s="120"/>
      <c r="I115" s="120"/>
      <c r="J115" s="120"/>
      <c r="K115" s="121" t="str">
        <f t="shared" si="12"/>
        <v>RIGNALL</v>
      </c>
      <c r="L115" s="121" t="str">
        <f t="shared" si="13"/>
        <v>DE GLANVILLE</v>
      </c>
      <c r="M115" s="121">
        <f t="shared" si="23"/>
        <v>19209</v>
      </c>
      <c r="N115" s="121">
        <f t="shared" si="14"/>
        <v>27439</v>
      </c>
      <c r="O115" s="121" t="str">
        <f t="shared" si="15"/>
        <v>242600948</v>
      </c>
      <c r="P115" s="121" t="str">
        <f t="shared" si="16"/>
        <v>242596037</v>
      </c>
      <c r="Q115" s="120" t="s">
        <v>1015</v>
      </c>
      <c r="R115" s="120" t="s">
        <v>1016</v>
      </c>
      <c r="S115" s="120" t="s">
        <v>1017</v>
      </c>
      <c r="T115" s="120" t="s">
        <v>1018</v>
      </c>
      <c r="U115" s="120" t="s">
        <v>1019</v>
      </c>
      <c r="V115" s="120"/>
      <c r="W115" s="122" t="str">
        <f t="shared" si="17"/>
        <v>PPAddIban6@mailinator.com</v>
      </c>
      <c r="X115" s="120" t="str">
        <f t="shared" si="18"/>
        <v>RebrandAutomationUser7@mailinator.com</v>
      </c>
      <c r="Y115" s="121" t="str">
        <f t="shared" si="19"/>
        <v>Dummy!2022</v>
      </c>
      <c r="Z115" s="121" t="str">
        <f t="shared" si="20"/>
        <v>020-8055556</v>
      </c>
      <c r="AA115" s="120" t="s">
        <v>1180</v>
      </c>
      <c r="AB115" s="120" t="s">
        <v>986</v>
      </c>
      <c r="AQ115" s="119" t="str">
        <f t="shared" si="21"/>
        <v>PPAddIban6@mailinator.com</v>
      </c>
      <c r="AR115" s="119" t="str">
        <f t="shared" si="22"/>
        <v>RebrandAutomationUser7@mailinator.com</v>
      </c>
    </row>
    <row r="116" spans="1:44" ht="27.6" x14ac:dyDescent="0.3">
      <c r="A116" s="120" t="s">
        <v>764</v>
      </c>
      <c r="B116" s="120" t="s">
        <v>615</v>
      </c>
      <c r="C116" s="120" t="s">
        <v>1032</v>
      </c>
      <c r="D116" s="120" t="s">
        <v>1123</v>
      </c>
      <c r="E116" s="120" t="s">
        <v>1105</v>
      </c>
      <c r="F116" s="120" t="s">
        <v>31</v>
      </c>
      <c r="G116" s="120" t="s">
        <v>1029</v>
      </c>
      <c r="H116" s="120" t="s">
        <v>985</v>
      </c>
      <c r="I116" s="120"/>
      <c r="J116" s="120"/>
      <c r="K116" s="121" t="str">
        <f t="shared" si="12"/>
        <v>RIGNALL</v>
      </c>
      <c r="L116" s="121" t="str">
        <f t="shared" si="13"/>
        <v>DE GLANVILLE</v>
      </c>
      <c r="M116" s="121">
        <f t="shared" si="23"/>
        <v>19209</v>
      </c>
      <c r="N116" s="121">
        <f t="shared" si="14"/>
        <v>27439</v>
      </c>
      <c r="O116" s="121" t="str">
        <f t="shared" si="15"/>
        <v>242600948</v>
      </c>
      <c r="P116" s="121" t="str">
        <f t="shared" si="16"/>
        <v>242596037</v>
      </c>
      <c r="Q116" s="120" t="s">
        <v>1015</v>
      </c>
      <c r="R116" s="120" t="s">
        <v>1016</v>
      </c>
      <c r="S116" s="120" t="s">
        <v>1054</v>
      </c>
      <c r="T116" s="120" t="s">
        <v>1018</v>
      </c>
      <c r="U116" s="120" t="s">
        <v>1019</v>
      </c>
      <c r="V116" s="120"/>
      <c r="W116" s="122" t="str">
        <f t="shared" si="17"/>
        <v>PPAddIban6@mailinator.com</v>
      </c>
      <c r="X116" s="120" t="str">
        <f t="shared" si="18"/>
        <v>RebrandAutomationUser7@mailinator.com</v>
      </c>
      <c r="Y116" s="121" t="str">
        <f t="shared" si="19"/>
        <v>Dummy!2022</v>
      </c>
      <c r="Z116" s="121" t="str">
        <f t="shared" si="20"/>
        <v>020-8055556</v>
      </c>
      <c r="AA116" s="120" t="s">
        <v>1181</v>
      </c>
      <c r="AB116" s="120" t="s">
        <v>986</v>
      </c>
      <c r="AQ116" s="119" t="str">
        <f t="shared" si="21"/>
        <v>PPAddIban6@mailinator.com</v>
      </c>
      <c r="AR116" s="119" t="str">
        <f t="shared" si="22"/>
        <v>RebrandAutomationUser7@mailinator.com</v>
      </c>
    </row>
    <row r="117" spans="1:44" ht="41.4" x14ac:dyDescent="0.3">
      <c r="A117" s="120" t="s">
        <v>765</v>
      </c>
      <c r="B117" s="120" t="s">
        <v>615</v>
      </c>
      <c r="C117" s="120" t="s">
        <v>1021</v>
      </c>
      <c r="D117" s="120" t="s">
        <v>1123</v>
      </c>
      <c r="E117" s="120" t="s">
        <v>1105</v>
      </c>
      <c r="F117" s="120" t="s">
        <v>31</v>
      </c>
      <c r="G117" s="120" t="s">
        <v>1033</v>
      </c>
      <c r="H117" s="120" t="s">
        <v>999</v>
      </c>
      <c r="I117" s="120"/>
      <c r="J117" s="120"/>
      <c r="K117" s="121" t="str">
        <f t="shared" si="12"/>
        <v>RIGNALL</v>
      </c>
      <c r="L117" s="121" t="str">
        <f t="shared" si="13"/>
        <v>DE GLANVILLE</v>
      </c>
      <c r="M117" s="121">
        <f t="shared" si="23"/>
        <v>19209</v>
      </c>
      <c r="N117" s="121">
        <f t="shared" si="14"/>
        <v>27439</v>
      </c>
      <c r="O117" s="121" t="str">
        <f t="shared" si="15"/>
        <v>242600948</v>
      </c>
      <c r="P117" s="121" t="str">
        <f t="shared" si="16"/>
        <v>242596037</v>
      </c>
      <c r="Q117" s="120" t="s">
        <v>1015</v>
      </c>
      <c r="R117" s="120" t="s">
        <v>1016</v>
      </c>
      <c r="S117" s="120" t="s">
        <v>1056</v>
      </c>
      <c r="T117" s="120" t="s">
        <v>1018</v>
      </c>
      <c r="U117" s="120" t="s">
        <v>1019</v>
      </c>
      <c r="V117" s="120"/>
      <c r="W117" s="122" t="str">
        <f t="shared" si="17"/>
        <v>PPAddIban6@mailinator.com</v>
      </c>
      <c r="X117" s="120" t="str">
        <f t="shared" si="18"/>
        <v>RebrandAutomationUser7@mailinator.com</v>
      </c>
      <c r="Y117" s="121" t="str">
        <f t="shared" si="19"/>
        <v>Dummy!2022</v>
      </c>
      <c r="Z117" s="121" t="str">
        <f t="shared" si="20"/>
        <v>020-8055556</v>
      </c>
      <c r="AA117" s="120" t="s">
        <v>1182</v>
      </c>
      <c r="AB117" s="120" t="s">
        <v>986</v>
      </c>
      <c r="AQ117" s="119" t="str">
        <f t="shared" si="21"/>
        <v>PPAddIban6@mailinator.com</v>
      </c>
      <c r="AR117" s="119" t="str">
        <f t="shared" si="22"/>
        <v>RebrandAutomationUser7@mailinator.com</v>
      </c>
    </row>
    <row r="118" spans="1:44" ht="27.6" x14ac:dyDescent="0.3">
      <c r="A118" s="120" t="s">
        <v>776</v>
      </c>
      <c r="B118" s="120" t="s">
        <v>980</v>
      </c>
      <c r="C118" s="120" t="s">
        <v>981</v>
      </c>
      <c r="D118" s="120" t="s">
        <v>982</v>
      </c>
      <c r="E118" s="120" t="s">
        <v>983</v>
      </c>
      <c r="F118" s="120" t="s">
        <v>615</v>
      </c>
      <c r="G118" s="120" t="s">
        <v>985</v>
      </c>
      <c r="H118" s="120" t="s">
        <v>985</v>
      </c>
      <c r="I118" s="120">
        <v>100</v>
      </c>
      <c r="J118" s="120" t="s">
        <v>615</v>
      </c>
      <c r="K118" s="121" t="str">
        <f t="shared" si="12"/>
        <v>BOURNE</v>
      </c>
      <c r="L118" s="121" t="str">
        <f t="shared" si="13"/>
        <v/>
      </c>
      <c r="M118" s="121">
        <f t="shared" si="23"/>
        <v>22626</v>
      </c>
      <c r="N118" s="121" t="str">
        <f t="shared" si="14"/>
        <v/>
      </c>
      <c r="O118" s="121" t="str">
        <f t="shared" si="15"/>
        <v>242599915</v>
      </c>
      <c r="P118" s="121" t="str">
        <f t="shared" si="16"/>
        <v/>
      </c>
      <c r="Q118" s="120" t="s">
        <v>615</v>
      </c>
      <c r="R118" s="120" t="s">
        <v>615</v>
      </c>
      <c r="S118" s="120" t="s">
        <v>615</v>
      </c>
      <c r="T118" s="120" t="s">
        <v>615</v>
      </c>
      <c r="U118" s="120" t="s">
        <v>615</v>
      </c>
      <c r="V118" s="120" t="s">
        <v>615</v>
      </c>
      <c r="W118" s="122" t="str">
        <f t="shared" si="17"/>
        <v>PPAddIban16@mailinator.com</v>
      </c>
      <c r="X118" s="120" t="str">
        <f t="shared" si="18"/>
        <v/>
      </c>
      <c r="Y118" s="121" t="str">
        <f t="shared" si="19"/>
        <v>Dummy!2022</v>
      </c>
      <c r="Z118" s="121" t="str">
        <f t="shared" si="20"/>
        <v>020-8055516</v>
      </c>
      <c r="AA118" s="120"/>
      <c r="AB118" s="120" t="s">
        <v>986</v>
      </c>
      <c r="AQ118" s="119" t="str">
        <f t="shared" si="21"/>
        <v>PPAddIban16@mailinator.com</v>
      </c>
      <c r="AR118" s="119" t="str">
        <f t="shared" si="22"/>
        <v/>
      </c>
    </row>
    <row r="119" spans="1:44" ht="27.6" x14ac:dyDescent="0.3">
      <c r="A119" s="120" t="s">
        <v>775</v>
      </c>
      <c r="B119" s="120" t="s">
        <v>992</v>
      </c>
      <c r="C119" s="120" t="s">
        <v>22</v>
      </c>
      <c r="D119" s="120" t="s">
        <v>982</v>
      </c>
      <c r="E119" s="120" t="s">
        <v>983</v>
      </c>
      <c r="F119" s="120" t="s">
        <v>615</v>
      </c>
      <c r="G119" s="120" t="s">
        <v>984</v>
      </c>
      <c r="H119" s="120"/>
      <c r="I119" s="120" t="s">
        <v>53</v>
      </c>
      <c r="J119" s="120" t="s">
        <v>615</v>
      </c>
      <c r="K119" s="121" t="str">
        <f t="shared" si="12"/>
        <v>BOURNE</v>
      </c>
      <c r="L119" s="121" t="str">
        <f t="shared" si="13"/>
        <v/>
      </c>
      <c r="M119" s="121">
        <f t="shared" si="23"/>
        <v>22626</v>
      </c>
      <c r="N119" s="121" t="str">
        <f t="shared" si="14"/>
        <v/>
      </c>
      <c r="O119" s="121" t="str">
        <f t="shared" si="15"/>
        <v>242599915</v>
      </c>
      <c r="P119" s="121" t="str">
        <f t="shared" si="16"/>
        <v/>
      </c>
      <c r="Q119" s="120" t="s">
        <v>615</v>
      </c>
      <c r="R119" s="120" t="s">
        <v>615</v>
      </c>
      <c r="S119" s="120" t="s">
        <v>615</v>
      </c>
      <c r="T119" s="120" t="s">
        <v>615</v>
      </c>
      <c r="U119" s="120" t="s">
        <v>615</v>
      </c>
      <c r="V119" s="120" t="s">
        <v>615</v>
      </c>
      <c r="W119" s="122" t="str">
        <f t="shared" si="17"/>
        <v>PPAddIban16@mailinator.com</v>
      </c>
      <c r="X119" s="120" t="str">
        <f t="shared" si="18"/>
        <v/>
      </c>
      <c r="Y119" s="121" t="str">
        <f t="shared" si="19"/>
        <v>Dummy!2022</v>
      </c>
      <c r="Z119" s="121" t="str">
        <f t="shared" si="20"/>
        <v>020-8055516</v>
      </c>
      <c r="AA119" s="120"/>
      <c r="AB119" s="120" t="s">
        <v>986</v>
      </c>
      <c r="AQ119" s="119" t="str">
        <f t="shared" si="21"/>
        <v>PPAddIban16@mailinator.com</v>
      </c>
      <c r="AR119" s="119" t="str">
        <f t="shared" si="22"/>
        <v/>
      </c>
    </row>
    <row r="120" spans="1:44" ht="27.6" x14ac:dyDescent="0.3">
      <c r="A120" s="120" t="s">
        <v>802</v>
      </c>
      <c r="B120" s="120" t="s">
        <v>615</v>
      </c>
      <c r="C120" s="120" t="s">
        <v>997</v>
      </c>
      <c r="D120" s="120" t="s">
        <v>982</v>
      </c>
      <c r="E120" s="120" t="s">
        <v>983</v>
      </c>
      <c r="F120" s="120" t="s">
        <v>615</v>
      </c>
      <c r="G120" s="120" t="s">
        <v>993</v>
      </c>
      <c r="H120" s="120" t="s">
        <v>999</v>
      </c>
      <c r="I120" s="120" t="s">
        <v>1000</v>
      </c>
      <c r="J120" s="120" t="s">
        <v>615</v>
      </c>
      <c r="K120" s="121" t="str">
        <f t="shared" si="12"/>
        <v>BOURNE</v>
      </c>
      <c r="L120" s="121" t="str">
        <f t="shared" si="13"/>
        <v/>
      </c>
      <c r="M120" s="121">
        <f t="shared" si="23"/>
        <v>22626</v>
      </c>
      <c r="N120" s="121" t="str">
        <f t="shared" si="14"/>
        <v/>
      </c>
      <c r="O120" s="121" t="str">
        <f t="shared" si="15"/>
        <v>242599915</v>
      </c>
      <c r="P120" s="121" t="str">
        <f t="shared" si="16"/>
        <v/>
      </c>
      <c r="Q120" s="120" t="s">
        <v>615</v>
      </c>
      <c r="R120" s="120" t="s">
        <v>615</v>
      </c>
      <c r="S120" s="120" t="s">
        <v>615</v>
      </c>
      <c r="T120" s="120" t="s">
        <v>615</v>
      </c>
      <c r="U120" s="120" t="s">
        <v>615</v>
      </c>
      <c r="V120" s="120" t="s">
        <v>615</v>
      </c>
      <c r="W120" s="122" t="str">
        <f t="shared" si="17"/>
        <v>PPAddIban16@mailinator.com</v>
      </c>
      <c r="X120" s="120" t="str">
        <f t="shared" si="18"/>
        <v/>
      </c>
      <c r="Y120" s="121" t="str">
        <f t="shared" si="19"/>
        <v>Dummy!2022</v>
      </c>
      <c r="Z120" s="121" t="str">
        <f t="shared" si="20"/>
        <v>020-8055516</v>
      </c>
      <c r="AA120" s="120"/>
      <c r="AB120" s="120" t="s">
        <v>986</v>
      </c>
      <c r="AQ120" s="119" t="str">
        <f t="shared" si="21"/>
        <v>PPAddIban16@mailinator.com</v>
      </c>
      <c r="AR120" s="119" t="str">
        <f t="shared" si="22"/>
        <v/>
      </c>
    </row>
    <row r="121" spans="1:44" ht="27.6" x14ac:dyDescent="0.3">
      <c r="A121" s="120" t="s">
        <v>766</v>
      </c>
      <c r="B121" s="120" t="s">
        <v>615</v>
      </c>
      <c r="C121" s="120" t="s">
        <v>1005</v>
      </c>
      <c r="D121" s="120" t="s">
        <v>982</v>
      </c>
      <c r="E121" s="120" t="s">
        <v>983</v>
      </c>
      <c r="F121" s="120" t="s">
        <v>615</v>
      </c>
      <c r="G121" s="120" t="s">
        <v>998</v>
      </c>
      <c r="H121" s="120" t="s">
        <v>1007</v>
      </c>
      <c r="I121" s="120" t="s">
        <v>1008</v>
      </c>
      <c r="J121" s="120" t="s">
        <v>615</v>
      </c>
      <c r="K121" s="121" t="str">
        <f t="shared" si="12"/>
        <v>BOURNE</v>
      </c>
      <c r="L121" s="121" t="str">
        <f t="shared" si="13"/>
        <v/>
      </c>
      <c r="M121" s="121">
        <f t="shared" si="23"/>
        <v>22626</v>
      </c>
      <c r="N121" s="121" t="str">
        <f t="shared" si="14"/>
        <v/>
      </c>
      <c r="O121" s="121" t="str">
        <f t="shared" si="15"/>
        <v>242599915</v>
      </c>
      <c r="P121" s="121" t="str">
        <f t="shared" si="16"/>
        <v/>
      </c>
      <c r="Q121" s="120" t="s">
        <v>615</v>
      </c>
      <c r="R121" s="120" t="s">
        <v>615</v>
      </c>
      <c r="S121" s="120" t="s">
        <v>615</v>
      </c>
      <c r="T121" s="120" t="s">
        <v>615</v>
      </c>
      <c r="U121" s="120" t="s">
        <v>615</v>
      </c>
      <c r="V121" s="120" t="s">
        <v>615</v>
      </c>
      <c r="W121" s="122" t="str">
        <f t="shared" si="17"/>
        <v>PPAddIban16@mailinator.com</v>
      </c>
      <c r="X121" s="120" t="str">
        <f t="shared" si="18"/>
        <v/>
      </c>
      <c r="Y121" s="121" t="str">
        <f t="shared" si="19"/>
        <v>Dummy!2022</v>
      </c>
      <c r="Z121" s="121" t="str">
        <f t="shared" si="20"/>
        <v>020-8055516</v>
      </c>
      <c r="AA121" s="120"/>
      <c r="AB121" s="120" t="s">
        <v>986</v>
      </c>
      <c r="AQ121" s="119" t="str">
        <f t="shared" si="21"/>
        <v>PPAddIban16@mailinator.com</v>
      </c>
      <c r="AR121" s="119" t="str">
        <f t="shared" si="22"/>
        <v/>
      </c>
    </row>
    <row r="122" spans="1:44" ht="41.4" x14ac:dyDescent="0.3">
      <c r="A122" s="120" t="s">
        <v>1183</v>
      </c>
      <c r="B122" s="120" t="s">
        <v>615</v>
      </c>
      <c r="C122" s="120" t="s">
        <v>1011</v>
      </c>
      <c r="D122" s="120" t="s">
        <v>982</v>
      </c>
      <c r="E122" s="120" t="s">
        <v>983</v>
      </c>
      <c r="F122" s="120" t="s">
        <v>72</v>
      </c>
      <c r="G122" s="120" t="s">
        <v>1006</v>
      </c>
      <c r="H122" s="120"/>
      <c r="I122" s="120" t="s">
        <v>615</v>
      </c>
      <c r="J122" s="120" t="s">
        <v>1013</v>
      </c>
      <c r="K122" s="120" t="s">
        <v>1014</v>
      </c>
      <c r="L122" s="121" t="str">
        <f t="shared" si="13"/>
        <v/>
      </c>
      <c r="M122" s="121">
        <f t="shared" si="23"/>
        <v>22626</v>
      </c>
      <c r="N122" s="121" t="str">
        <f t="shared" si="14"/>
        <v/>
      </c>
      <c r="O122" s="121" t="str">
        <f t="shared" si="15"/>
        <v>242599915</v>
      </c>
      <c r="P122" s="121" t="str">
        <f t="shared" si="16"/>
        <v/>
      </c>
      <c r="Q122" s="120" t="s">
        <v>1015</v>
      </c>
      <c r="R122" s="120" t="s">
        <v>1016</v>
      </c>
      <c r="S122" s="120" t="s">
        <v>1017</v>
      </c>
      <c r="T122" s="120" t="s">
        <v>1018</v>
      </c>
      <c r="U122" s="120" t="s">
        <v>1019</v>
      </c>
      <c r="V122" s="120" t="s">
        <v>1020</v>
      </c>
      <c r="W122" s="122" t="str">
        <f t="shared" si="17"/>
        <v>PPAddIban16@mailinator.com</v>
      </c>
      <c r="X122" s="120" t="str">
        <f t="shared" si="18"/>
        <v/>
      </c>
      <c r="Y122" s="121" t="str">
        <f t="shared" si="19"/>
        <v>Dummy!2022</v>
      </c>
      <c r="Z122" s="121" t="str">
        <f t="shared" si="20"/>
        <v>020-8055516</v>
      </c>
      <c r="AA122" s="120"/>
      <c r="AB122" s="120" t="s">
        <v>986</v>
      </c>
      <c r="AQ122" s="119" t="str">
        <f t="shared" si="21"/>
        <v>PPAddIban16@mailinator.com</v>
      </c>
      <c r="AR122" s="119" t="str">
        <f t="shared" si="22"/>
        <v/>
      </c>
    </row>
    <row r="123" spans="1:44" ht="41.4" x14ac:dyDescent="0.3">
      <c r="A123" s="120" t="s">
        <v>767</v>
      </c>
      <c r="B123" s="120" t="s">
        <v>615</v>
      </c>
      <c r="C123" s="120" t="s">
        <v>1021</v>
      </c>
      <c r="D123" s="120" t="s">
        <v>982</v>
      </c>
      <c r="E123" s="120" t="s">
        <v>983</v>
      </c>
      <c r="F123" s="120" t="s">
        <v>615</v>
      </c>
      <c r="G123" s="120" t="s">
        <v>1012</v>
      </c>
      <c r="H123" s="120" t="s">
        <v>985</v>
      </c>
      <c r="I123" s="120" t="s">
        <v>615</v>
      </c>
      <c r="J123" s="120" t="s">
        <v>615</v>
      </c>
      <c r="K123" s="121" t="str">
        <f t="shared" si="12"/>
        <v>BOURNE</v>
      </c>
      <c r="L123" s="121" t="str">
        <f t="shared" si="13"/>
        <v/>
      </c>
      <c r="M123" s="121">
        <f t="shared" si="23"/>
        <v>22626</v>
      </c>
      <c r="N123" s="121" t="str">
        <f t="shared" si="14"/>
        <v/>
      </c>
      <c r="O123" s="121" t="str">
        <f t="shared" si="15"/>
        <v>242599915</v>
      </c>
      <c r="P123" s="121" t="str">
        <f t="shared" si="16"/>
        <v/>
      </c>
      <c r="Q123" s="120" t="s">
        <v>1023</v>
      </c>
      <c r="R123" s="120" t="s">
        <v>1024</v>
      </c>
      <c r="S123" s="120" t="s">
        <v>1025</v>
      </c>
      <c r="T123" s="120" t="s">
        <v>615</v>
      </c>
      <c r="U123" s="120" t="s">
        <v>615</v>
      </c>
      <c r="V123" s="120" t="s">
        <v>615</v>
      </c>
      <c r="W123" s="122" t="str">
        <f t="shared" si="17"/>
        <v>PPAddIban16@mailinator.com</v>
      </c>
      <c r="X123" s="120" t="str">
        <f t="shared" si="18"/>
        <v/>
      </c>
      <c r="Y123" s="121" t="str">
        <f t="shared" si="19"/>
        <v>Dummy!2022</v>
      </c>
      <c r="Z123" s="121" t="str">
        <f t="shared" si="20"/>
        <v>020-8055516</v>
      </c>
      <c r="AA123" s="120"/>
      <c r="AB123" s="120" t="s">
        <v>986</v>
      </c>
      <c r="AQ123" s="119" t="str">
        <f t="shared" si="21"/>
        <v>PPAddIban16@mailinator.com</v>
      </c>
      <c r="AR123" s="119" t="str">
        <f t="shared" si="22"/>
        <v/>
      </c>
    </row>
    <row r="124" spans="1:44" ht="41.4" x14ac:dyDescent="0.3">
      <c r="A124" s="120" t="s">
        <v>768</v>
      </c>
      <c r="B124" s="120" t="s">
        <v>615</v>
      </c>
      <c r="C124" s="120" t="s">
        <v>1028</v>
      </c>
      <c r="D124" s="120" t="s">
        <v>982</v>
      </c>
      <c r="E124" s="120" t="s">
        <v>983</v>
      </c>
      <c r="F124" s="120" t="s">
        <v>72</v>
      </c>
      <c r="G124" s="120" t="s">
        <v>1022</v>
      </c>
      <c r="H124" s="120"/>
      <c r="I124" s="120" t="s">
        <v>615</v>
      </c>
      <c r="J124" s="120"/>
      <c r="K124" s="121" t="str">
        <f t="shared" si="12"/>
        <v>BOURNE</v>
      </c>
      <c r="L124" s="121" t="str">
        <f t="shared" si="13"/>
        <v/>
      </c>
      <c r="M124" s="121">
        <f t="shared" si="23"/>
        <v>22626</v>
      </c>
      <c r="N124" s="121" t="str">
        <f t="shared" si="14"/>
        <v/>
      </c>
      <c r="O124" s="121" t="str">
        <f t="shared" si="15"/>
        <v>242599915</v>
      </c>
      <c r="P124" s="121" t="str">
        <f t="shared" si="16"/>
        <v/>
      </c>
      <c r="Q124" s="120" t="s">
        <v>1030</v>
      </c>
      <c r="R124" s="120" t="s">
        <v>1031</v>
      </c>
      <c r="S124" s="120" t="s">
        <v>1017</v>
      </c>
      <c r="T124" s="120" t="s">
        <v>1018</v>
      </c>
      <c r="U124" s="120" t="s">
        <v>1019</v>
      </c>
      <c r="V124" s="120" t="s">
        <v>1020</v>
      </c>
      <c r="W124" s="122" t="str">
        <f t="shared" si="17"/>
        <v>PPAddIban16@mailinator.com</v>
      </c>
      <c r="X124" s="120" t="str">
        <f t="shared" si="18"/>
        <v/>
      </c>
      <c r="Y124" s="121" t="str">
        <f t="shared" si="19"/>
        <v>Dummy!2022</v>
      </c>
      <c r="Z124" s="121" t="str">
        <f t="shared" si="20"/>
        <v>020-8055516</v>
      </c>
      <c r="AA124" s="120"/>
      <c r="AB124" s="120" t="s">
        <v>986</v>
      </c>
      <c r="AQ124" s="119" t="str">
        <f t="shared" si="21"/>
        <v>PPAddIban16@mailinator.com</v>
      </c>
      <c r="AR124" s="119" t="str">
        <f t="shared" si="22"/>
        <v/>
      </c>
    </row>
    <row r="125" spans="1:44" ht="41.4" x14ac:dyDescent="0.3">
      <c r="A125" s="120" t="s">
        <v>783</v>
      </c>
      <c r="B125" s="120" t="s">
        <v>615</v>
      </c>
      <c r="C125" s="120" t="s">
        <v>1032</v>
      </c>
      <c r="D125" s="120" t="s">
        <v>982</v>
      </c>
      <c r="E125" s="120" t="s">
        <v>983</v>
      </c>
      <c r="F125" s="120" t="s">
        <v>31</v>
      </c>
      <c r="G125" s="120" t="s">
        <v>1029</v>
      </c>
      <c r="H125" s="120" t="s">
        <v>1007</v>
      </c>
      <c r="I125" s="120" t="s">
        <v>1034</v>
      </c>
      <c r="J125" s="120" t="s">
        <v>615</v>
      </c>
      <c r="K125" s="121" t="str">
        <f t="shared" si="12"/>
        <v>BOURNE</v>
      </c>
      <c r="L125" s="121" t="str">
        <f t="shared" si="13"/>
        <v/>
      </c>
      <c r="M125" s="121">
        <f t="shared" si="23"/>
        <v>22626</v>
      </c>
      <c r="N125" s="121" t="str">
        <f t="shared" si="14"/>
        <v/>
      </c>
      <c r="O125" s="121" t="str">
        <f t="shared" si="15"/>
        <v>242599915</v>
      </c>
      <c r="P125" s="121" t="str">
        <f t="shared" si="16"/>
        <v/>
      </c>
      <c r="Q125" s="120" t="s">
        <v>1023</v>
      </c>
      <c r="R125" s="120" t="s">
        <v>1024</v>
      </c>
      <c r="S125" s="120" t="s">
        <v>1025</v>
      </c>
      <c r="T125" s="120" t="s">
        <v>1018</v>
      </c>
      <c r="U125" s="120" t="s">
        <v>1019</v>
      </c>
      <c r="V125" s="120" t="s">
        <v>615</v>
      </c>
      <c r="W125" s="122" t="str">
        <f t="shared" si="17"/>
        <v>PPAddIban16@mailinator.com</v>
      </c>
      <c r="X125" s="120" t="str">
        <f t="shared" si="18"/>
        <v/>
      </c>
      <c r="Y125" s="121" t="str">
        <f t="shared" si="19"/>
        <v>Dummy!2022</v>
      </c>
      <c r="Z125" s="121" t="str">
        <f t="shared" si="20"/>
        <v>020-8055516</v>
      </c>
      <c r="AA125" s="120"/>
      <c r="AB125" s="120" t="s">
        <v>986</v>
      </c>
      <c r="AQ125" s="119" t="str">
        <f t="shared" si="21"/>
        <v>PPAddIban16@mailinator.com</v>
      </c>
      <c r="AR125" s="119" t="str">
        <f t="shared" si="22"/>
        <v/>
      </c>
    </row>
    <row r="126" spans="1:44" ht="41.4" x14ac:dyDescent="0.3">
      <c r="A126" s="120" t="s">
        <v>1184</v>
      </c>
      <c r="B126" s="120" t="s">
        <v>615</v>
      </c>
      <c r="C126" s="120" t="s">
        <v>1011</v>
      </c>
      <c r="D126" s="120" t="s">
        <v>982</v>
      </c>
      <c r="E126" s="120" t="s">
        <v>983</v>
      </c>
      <c r="F126" s="120" t="s">
        <v>31</v>
      </c>
      <c r="G126" s="120" t="s">
        <v>1033</v>
      </c>
      <c r="H126" s="120"/>
      <c r="I126" s="120" t="s">
        <v>615</v>
      </c>
      <c r="J126" s="120" t="s">
        <v>1013</v>
      </c>
      <c r="K126" s="120" t="s">
        <v>1014</v>
      </c>
      <c r="L126" s="121" t="str">
        <f t="shared" si="13"/>
        <v/>
      </c>
      <c r="M126" s="121">
        <f t="shared" si="23"/>
        <v>22626</v>
      </c>
      <c r="N126" s="121" t="str">
        <f t="shared" si="14"/>
        <v/>
      </c>
      <c r="O126" s="121" t="str">
        <f t="shared" si="15"/>
        <v>242599915</v>
      </c>
      <c r="P126" s="121" t="str">
        <f t="shared" si="16"/>
        <v/>
      </c>
      <c r="Q126" s="120" t="s">
        <v>1015</v>
      </c>
      <c r="R126" s="120" t="s">
        <v>1016</v>
      </c>
      <c r="S126" s="120" t="s">
        <v>1017</v>
      </c>
      <c r="T126" s="120" t="s">
        <v>1018</v>
      </c>
      <c r="U126" s="120" t="s">
        <v>1019</v>
      </c>
      <c r="V126" s="120" t="s">
        <v>1020</v>
      </c>
      <c r="W126" s="122" t="str">
        <f t="shared" si="17"/>
        <v>PPAddIban16@mailinator.com</v>
      </c>
      <c r="X126" s="120" t="str">
        <f t="shared" si="18"/>
        <v/>
      </c>
      <c r="Y126" s="121" t="str">
        <f t="shared" si="19"/>
        <v>Dummy!2022</v>
      </c>
      <c r="Z126" s="121" t="str">
        <f t="shared" si="20"/>
        <v>020-8055516</v>
      </c>
      <c r="AA126" s="120"/>
      <c r="AB126" s="120" t="s">
        <v>986</v>
      </c>
      <c r="AQ126" s="119" t="str">
        <f t="shared" si="21"/>
        <v>PPAddIban16@mailinator.com</v>
      </c>
      <c r="AR126" s="119" t="str">
        <f t="shared" si="22"/>
        <v/>
      </c>
    </row>
    <row r="127" spans="1:44" ht="41.4" x14ac:dyDescent="0.3">
      <c r="A127" s="120" t="s">
        <v>769</v>
      </c>
      <c r="B127" s="120" t="s">
        <v>615</v>
      </c>
      <c r="C127" s="120" t="s">
        <v>1021</v>
      </c>
      <c r="D127" s="120" t="s">
        <v>982</v>
      </c>
      <c r="E127" s="120" t="s">
        <v>983</v>
      </c>
      <c r="F127" s="120" t="s">
        <v>31</v>
      </c>
      <c r="G127" s="120" t="s">
        <v>985</v>
      </c>
      <c r="H127" s="120" t="s">
        <v>999</v>
      </c>
      <c r="I127" s="120" t="s">
        <v>615</v>
      </c>
      <c r="J127" s="120" t="s">
        <v>615</v>
      </c>
      <c r="K127" s="121" t="str">
        <f t="shared" si="12"/>
        <v>BOURNE</v>
      </c>
      <c r="L127" s="121" t="str">
        <f t="shared" si="13"/>
        <v/>
      </c>
      <c r="M127" s="121">
        <f t="shared" si="23"/>
        <v>22626</v>
      </c>
      <c r="N127" s="121" t="str">
        <f t="shared" si="14"/>
        <v/>
      </c>
      <c r="O127" s="121" t="str">
        <f t="shared" si="15"/>
        <v>242599915</v>
      </c>
      <c r="P127" s="121" t="str">
        <f t="shared" si="16"/>
        <v/>
      </c>
      <c r="Q127" s="120" t="s">
        <v>1023</v>
      </c>
      <c r="R127" s="120" t="s">
        <v>1024</v>
      </c>
      <c r="S127" s="120" t="s">
        <v>1025</v>
      </c>
      <c r="T127" s="120" t="s">
        <v>1018</v>
      </c>
      <c r="U127" s="120" t="s">
        <v>1019</v>
      </c>
      <c r="V127" s="120" t="s">
        <v>615</v>
      </c>
      <c r="W127" s="122" t="str">
        <f t="shared" si="17"/>
        <v>PPAddIban16@mailinator.com</v>
      </c>
      <c r="X127" s="120" t="str">
        <f t="shared" si="18"/>
        <v/>
      </c>
      <c r="Y127" s="121" t="str">
        <f t="shared" si="19"/>
        <v>Dummy!2022</v>
      </c>
      <c r="Z127" s="121" t="str">
        <f t="shared" si="20"/>
        <v>020-8055516</v>
      </c>
      <c r="AA127" s="120"/>
      <c r="AB127" s="120" t="s">
        <v>986</v>
      </c>
      <c r="AQ127" s="119" t="str">
        <f t="shared" si="21"/>
        <v>PPAddIban16@mailinator.com</v>
      </c>
      <c r="AR127" s="119" t="str">
        <f t="shared" si="22"/>
        <v/>
      </c>
    </row>
    <row r="128" spans="1:44" ht="41.4" x14ac:dyDescent="0.3">
      <c r="A128" s="120" t="s">
        <v>770</v>
      </c>
      <c r="B128" s="120" t="s">
        <v>615</v>
      </c>
      <c r="C128" s="120" t="s">
        <v>1028</v>
      </c>
      <c r="D128" s="120" t="s">
        <v>982</v>
      </c>
      <c r="E128" s="120" t="s">
        <v>983</v>
      </c>
      <c r="F128" s="120" t="s">
        <v>31</v>
      </c>
      <c r="G128" s="120" t="s">
        <v>984</v>
      </c>
      <c r="H128" s="120"/>
      <c r="I128" s="120" t="s">
        <v>615</v>
      </c>
      <c r="J128" s="120"/>
      <c r="K128" s="121" t="str">
        <f t="shared" si="12"/>
        <v>BOURNE</v>
      </c>
      <c r="L128" s="121" t="str">
        <f t="shared" si="13"/>
        <v/>
      </c>
      <c r="M128" s="121">
        <f t="shared" si="23"/>
        <v>22626</v>
      </c>
      <c r="N128" s="121" t="str">
        <f t="shared" si="14"/>
        <v/>
      </c>
      <c r="O128" s="121" t="str">
        <f t="shared" si="15"/>
        <v>242599915</v>
      </c>
      <c r="P128" s="121" t="str">
        <f t="shared" si="16"/>
        <v/>
      </c>
      <c r="Q128" s="120" t="s">
        <v>1030</v>
      </c>
      <c r="R128" s="120" t="s">
        <v>1031</v>
      </c>
      <c r="S128" s="120" t="s">
        <v>1017</v>
      </c>
      <c r="T128" s="120" t="s">
        <v>1018</v>
      </c>
      <c r="U128" s="120" t="s">
        <v>1019</v>
      </c>
      <c r="V128" s="120" t="s">
        <v>1020</v>
      </c>
      <c r="W128" s="122" t="str">
        <f t="shared" si="17"/>
        <v>PPAddIban16@mailinator.com</v>
      </c>
      <c r="X128" s="120" t="str">
        <f t="shared" si="18"/>
        <v/>
      </c>
      <c r="Y128" s="121" t="str">
        <f t="shared" si="19"/>
        <v>Dummy!2022</v>
      </c>
      <c r="Z128" s="121" t="str">
        <f t="shared" si="20"/>
        <v>020-8055516</v>
      </c>
      <c r="AA128" s="120"/>
      <c r="AB128" s="120" t="s">
        <v>986</v>
      </c>
      <c r="AQ128" s="119" t="str">
        <f t="shared" si="21"/>
        <v>PPAddIban16@mailinator.com</v>
      </c>
      <c r="AR128" s="119" t="str">
        <f t="shared" si="22"/>
        <v/>
      </c>
    </row>
    <row r="129" spans="1:44" ht="27.6" x14ac:dyDescent="0.3">
      <c r="A129" s="120" t="s">
        <v>771</v>
      </c>
      <c r="B129" s="120" t="s">
        <v>980</v>
      </c>
      <c r="C129" s="120" t="s">
        <v>981</v>
      </c>
      <c r="D129" s="120" t="s">
        <v>982</v>
      </c>
      <c r="E129" s="120" t="s">
        <v>987</v>
      </c>
      <c r="F129" s="120"/>
      <c r="G129" s="120" t="s">
        <v>993</v>
      </c>
      <c r="H129" s="120" t="s">
        <v>985</v>
      </c>
      <c r="I129" s="120"/>
      <c r="J129" s="120"/>
      <c r="K129" s="121" t="str">
        <f t="shared" si="12"/>
        <v>RIGNALL</v>
      </c>
      <c r="L129" s="121" t="str">
        <f t="shared" si="13"/>
        <v/>
      </c>
      <c r="M129" s="121">
        <f t="shared" si="23"/>
        <v>19209</v>
      </c>
      <c r="N129" s="121" t="str">
        <f t="shared" si="14"/>
        <v/>
      </c>
      <c r="O129" s="121" t="str">
        <f t="shared" si="15"/>
        <v>242600948</v>
      </c>
      <c r="P129" s="121" t="str">
        <f t="shared" si="16"/>
        <v/>
      </c>
      <c r="Q129" s="120"/>
      <c r="R129" s="120"/>
      <c r="S129" s="120"/>
      <c r="T129" s="120"/>
      <c r="U129" s="120"/>
      <c r="V129" s="120"/>
      <c r="W129" s="122" t="str">
        <f t="shared" si="17"/>
        <v>PPAddIban6@mailinator.com</v>
      </c>
      <c r="X129" s="120" t="str">
        <f t="shared" si="18"/>
        <v/>
      </c>
      <c r="Y129" s="121" t="str">
        <f t="shared" si="19"/>
        <v>Dummy!2022</v>
      </c>
      <c r="Z129" s="121" t="str">
        <f t="shared" si="20"/>
        <v>020-8055556</v>
      </c>
      <c r="AA129" s="126" t="s">
        <v>1185</v>
      </c>
      <c r="AB129" s="120" t="s">
        <v>986</v>
      </c>
      <c r="AQ129" s="119" t="str">
        <f t="shared" si="21"/>
        <v>PPAddIban6@mailinator.com</v>
      </c>
      <c r="AR129" s="119" t="str">
        <f t="shared" si="22"/>
        <v/>
      </c>
    </row>
    <row r="130" spans="1:44" ht="27.6" x14ac:dyDescent="0.3">
      <c r="A130" s="120" t="s">
        <v>772</v>
      </c>
      <c r="B130" s="120" t="s">
        <v>992</v>
      </c>
      <c r="C130" s="120" t="s">
        <v>22</v>
      </c>
      <c r="D130" s="120" t="s">
        <v>982</v>
      </c>
      <c r="E130" s="120" t="s">
        <v>987</v>
      </c>
      <c r="F130" s="120"/>
      <c r="G130" s="120" t="s">
        <v>998</v>
      </c>
      <c r="H130" s="120"/>
      <c r="I130" s="120"/>
      <c r="J130" s="120"/>
      <c r="K130" s="121" t="str">
        <f t="shared" si="12"/>
        <v>RIGNALL</v>
      </c>
      <c r="L130" s="121" t="str">
        <f t="shared" si="13"/>
        <v/>
      </c>
      <c r="M130" s="121">
        <f t="shared" si="23"/>
        <v>19209</v>
      </c>
      <c r="N130" s="121" t="str">
        <f t="shared" si="14"/>
        <v/>
      </c>
      <c r="O130" s="121" t="str">
        <f t="shared" si="15"/>
        <v>242600948</v>
      </c>
      <c r="P130" s="121" t="str">
        <f t="shared" si="16"/>
        <v/>
      </c>
      <c r="Q130" s="120"/>
      <c r="R130" s="120"/>
      <c r="S130" s="120"/>
      <c r="T130" s="120"/>
      <c r="U130" s="120"/>
      <c r="V130" s="120"/>
      <c r="W130" s="122" t="str">
        <f t="shared" si="17"/>
        <v>PPAddIban6@mailinator.com</v>
      </c>
      <c r="X130" s="120" t="str">
        <f t="shared" si="18"/>
        <v/>
      </c>
      <c r="Y130" s="121" t="str">
        <f t="shared" si="19"/>
        <v>Dummy!2022</v>
      </c>
      <c r="Z130" s="121" t="str">
        <f t="shared" si="20"/>
        <v>020-8055556</v>
      </c>
      <c r="AA130" s="126" t="s">
        <v>1186</v>
      </c>
      <c r="AB130" s="120" t="s">
        <v>986</v>
      </c>
      <c r="AQ130" s="119" t="str">
        <f t="shared" si="21"/>
        <v>PPAddIban6@mailinator.com</v>
      </c>
      <c r="AR130" s="119" t="str">
        <f t="shared" si="22"/>
        <v/>
      </c>
    </row>
    <row r="131" spans="1:44" ht="27.6" x14ac:dyDescent="0.3">
      <c r="A131" s="120" t="s">
        <v>1187</v>
      </c>
      <c r="B131" s="120" t="s">
        <v>615</v>
      </c>
      <c r="C131" s="120" t="s">
        <v>997</v>
      </c>
      <c r="D131" s="120" t="s">
        <v>982</v>
      </c>
      <c r="E131" s="120" t="s">
        <v>987</v>
      </c>
      <c r="F131" s="120"/>
      <c r="G131" s="120" t="s">
        <v>1006</v>
      </c>
      <c r="H131" s="120" t="s">
        <v>999</v>
      </c>
      <c r="I131" s="120"/>
      <c r="J131" s="120"/>
      <c r="K131" s="121" t="str">
        <f t="shared" ref="K131:K194" si="24">IF(W131=$AU$4, $AX$4,
IF(W131=$AU$2,$AX$2, ""))</f>
        <v>RIGNALL</v>
      </c>
      <c r="L131" s="121" t="str">
        <f t="shared" ref="L131:L194" si="25">IF(X131=$AU$5, $AX$5,
IF(X131=$AU$3,$AX$3, ""))</f>
        <v/>
      </c>
      <c r="M131" s="121">
        <f t="shared" si="23"/>
        <v>19209</v>
      </c>
      <c r="N131" s="121" t="str">
        <f t="shared" ref="N131:N194" si="26">IF(X131=$AU$5, $AW$5,
IF(X131=$AU$3,$AW$3, ""))</f>
        <v/>
      </c>
      <c r="O131" s="121" t="str">
        <f t="shared" ref="O131:O194" si="27">IF(W131=$AU$4, $AV$4,
IF(W131=$AU$2,$AV$2, ""))</f>
        <v>242600948</v>
      </c>
      <c r="P131" s="121" t="str">
        <f t="shared" ref="P131:P194" si="28">IF(X131=$AU$5, $AV$5,
IF(X131=$AU$3,$AV$3, ""))</f>
        <v/>
      </c>
      <c r="Q131" s="120"/>
      <c r="R131" s="120"/>
      <c r="S131" s="120"/>
      <c r="T131" s="120"/>
      <c r="U131" s="120"/>
      <c r="V131" s="120"/>
      <c r="W131" s="122" t="str">
        <f t="shared" ref="W131:W194" si="29">IF(E131="Y", $AU$4,
IF(E131="N",$AU$2,
IF(E131="Y,Y",  $AU$4,
IF(E131="N,N",$AU$2,
IF(E131="Y,N", $AU$4,
IF(E131="N,Y", $AU$2, ""))))))</f>
        <v>PPAddIban6@mailinator.com</v>
      </c>
      <c r="X131" s="120" t="str">
        <f t="shared" ref="X131:X194" si="30">IF(E131="Y,Y", $AU$5,
IF(E131="N,N", $AU$3,
IF(E131="Y,N", $AU$3,
IF(E131="N,Y",$AU$5, ""))))</f>
        <v/>
      </c>
      <c r="Y131" s="121" t="str">
        <f t="shared" ref="Y131:Y194" si="31">IF(W131=$AU$2, $AZ$2,
IF(W131=$AU$4,$AZ$4, ""))</f>
        <v>Dummy!2022</v>
      </c>
      <c r="Z131" s="121" t="str">
        <f t="shared" ref="Z131:Z194" si="32">IF(W131=$AU$4, $AY$4,
IF(W131=$AU$2,$AY$2, ""))</f>
        <v>020-8055556</v>
      </c>
      <c r="AA131" s="126" t="s">
        <v>1188</v>
      </c>
      <c r="AB131" s="120" t="s">
        <v>986</v>
      </c>
      <c r="AQ131" s="119" t="str">
        <f t="shared" ref="AQ131:AQ194" si="33">IF(E131="Y", $AU$4,
IF(E131="N",$AU$2,
IF(E131="Y,Y",  $AU$4,
IF(E131="N,N",$AU$2,
IF(E131="Y,N", $AU$4,
IF(E131="N,Y", $AU$2, ""))))))</f>
        <v>PPAddIban6@mailinator.com</v>
      </c>
      <c r="AR131" s="119" t="str">
        <f t="shared" ref="AR131:AR194" si="34">IF(E131="Y,Y", $AU$5,
IF(E131="N,N", $AU$3,
IF(E131="Y,N", $AU$3,
IF(E131="N,Y",$AU$5, ""))))</f>
        <v/>
      </c>
    </row>
    <row r="132" spans="1:44" ht="27.6" x14ac:dyDescent="0.3">
      <c r="A132" s="120" t="s">
        <v>1189</v>
      </c>
      <c r="B132" s="120" t="s">
        <v>615</v>
      </c>
      <c r="C132" s="120" t="s">
        <v>1005</v>
      </c>
      <c r="D132" s="120" t="s">
        <v>982</v>
      </c>
      <c r="E132" s="120" t="s">
        <v>987</v>
      </c>
      <c r="F132" s="120"/>
      <c r="G132" s="120" t="s">
        <v>1012</v>
      </c>
      <c r="H132" s="120" t="s">
        <v>1007</v>
      </c>
      <c r="I132" s="120"/>
      <c r="J132" s="120"/>
      <c r="K132" s="121" t="str">
        <f t="shared" si="24"/>
        <v>RIGNALL</v>
      </c>
      <c r="L132" s="121" t="str">
        <f t="shared" si="25"/>
        <v/>
      </c>
      <c r="M132" s="121">
        <f t="shared" ref="M132:M195" si="35">IF(W132=$AU$4, $AW$4,
IF(W132=$AU$2,$AW$2, ""))</f>
        <v>19209</v>
      </c>
      <c r="N132" s="121" t="str">
        <f t="shared" si="26"/>
        <v/>
      </c>
      <c r="O132" s="121" t="str">
        <f t="shared" si="27"/>
        <v>242600948</v>
      </c>
      <c r="P132" s="121" t="str">
        <f t="shared" si="28"/>
        <v/>
      </c>
      <c r="Q132" s="120"/>
      <c r="R132" s="120"/>
      <c r="S132" s="120"/>
      <c r="T132" s="120"/>
      <c r="U132" s="120"/>
      <c r="V132" s="120"/>
      <c r="W132" s="122" t="str">
        <f t="shared" si="29"/>
        <v>PPAddIban6@mailinator.com</v>
      </c>
      <c r="X132" s="120" t="str">
        <f t="shared" si="30"/>
        <v/>
      </c>
      <c r="Y132" s="121" t="str">
        <f t="shared" si="31"/>
        <v>Dummy!2022</v>
      </c>
      <c r="Z132" s="121" t="str">
        <f t="shared" si="32"/>
        <v>020-8055556</v>
      </c>
      <c r="AA132" s="126" t="s">
        <v>1190</v>
      </c>
      <c r="AB132" s="120" t="s">
        <v>986</v>
      </c>
      <c r="AQ132" s="119" t="str">
        <f t="shared" si="33"/>
        <v>PPAddIban6@mailinator.com</v>
      </c>
      <c r="AR132" s="119" t="str">
        <f t="shared" si="34"/>
        <v/>
      </c>
    </row>
    <row r="133" spans="1:44" ht="41.4" x14ac:dyDescent="0.3">
      <c r="A133" s="120" t="s">
        <v>1191</v>
      </c>
      <c r="B133" s="120" t="s">
        <v>615</v>
      </c>
      <c r="C133" s="120" t="s">
        <v>1011</v>
      </c>
      <c r="D133" s="120" t="s">
        <v>982</v>
      </c>
      <c r="E133" s="120" t="s">
        <v>987</v>
      </c>
      <c r="F133" s="120" t="s">
        <v>72</v>
      </c>
      <c r="G133" s="120" t="s">
        <v>1022</v>
      </c>
      <c r="H133" s="120"/>
      <c r="I133" s="120"/>
      <c r="J133" s="120" t="s">
        <v>1013</v>
      </c>
      <c r="K133" s="120" t="s">
        <v>1014</v>
      </c>
      <c r="L133" s="121" t="str">
        <f t="shared" si="25"/>
        <v/>
      </c>
      <c r="M133" s="121">
        <f t="shared" si="35"/>
        <v>19209</v>
      </c>
      <c r="N133" s="121" t="str">
        <f t="shared" si="26"/>
        <v/>
      </c>
      <c r="O133" s="121" t="str">
        <f t="shared" si="27"/>
        <v>242600948</v>
      </c>
      <c r="P133" s="121" t="str">
        <f t="shared" si="28"/>
        <v/>
      </c>
      <c r="Q133" s="120" t="s">
        <v>1015</v>
      </c>
      <c r="R133" s="120" t="s">
        <v>1016</v>
      </c>
      <c r="S133" s="120" t="s">
        <v>1017</v>
      </c>
      <c r="T133" s="120" t="s">
        <v>1018</v>
      </c>
      <c r="U133" s="120" t="s">
        <v>1019</v>
      </c>
      <c r="V133" s="120" t="s">
        <v>1020</v>
      </c>
      <c r="W133" s="122" t="str">
        <f t="shared" si="29"/>
        <v>PPAddIban6@mailinator.com</v>
      </c>
      <c r="X133" s="120" t="str">
        <f t="shared" si="30"/>
        <v/>
      </c>
      <c r="Y133" s="121" t="str">
        <f t="shared" si="31"/>
        <v>Dummy!2022</v>
      </c>
      <c r="Z133" s="121" t="str">
        <f t="shared" si="32"/>
        <v>020-8055556</v>
      </c>
      <c r="AA133" s="126" t="s">
        <v>1192</v>
      </c>
      <c r="AB133" s="120" t="s">
        <v>986</v>
      </c>
      <c r="AQ133" s="119" t="str">
        <f t="shared" si="33"/>
        <v>PPAddIban6@mailinator.com</v>
      </c>
      <c r="AR133" s="119" t="str">
        <f t="shared" si="34"/>
        <v/>
      </c>
    </row>
    <row r="134" spans="1:44" ht="41.4" x14ac:dyDescent="0.3">
      <c r="A134" s="120" t="s">
        <v>1193</v>
      </c>
      <c r="B134" s="120" t="s">
        <v>615</v>
      </c>
      <c r="C134" s="120" t="s">
        <v>1021</v>
      </c>
      <c r="D134" s="120" t="s">
        <v>982</v>
      </c>
      <c r="E134" s="120" t="s">
        <v>987</v>
      </c>
      <c r="F134" s="120" t="s">
        <v>72</v>
      </c>
      <c r="G134" s="120" t="s">
        <v>1029</v>
      </c>
      <c r="H134" s="120" t="s">
        <v>985</v>
      </c>
      <c r="I134" s="120"/>
      <c r="J134" s="120"/>
      <c r="K134" s="121" t="str">
        <f t="shared" si="24"/>
        <v>RIGNALL</v>
      </c>
      <c r="L134" s="121" t="str">
        <f t="shared" si="25"/>
        <v/>
      </c>
      <c r="M134" s="121">
        <f t="shared" si="35"/>
        <v>19209</v>
      </c>
      <c r="N134" s="121" t="str">
        <f t="shared" si="26"/>
        <v/>
      </c>
      <c r="O134" s="121" t="str">
        <f t="shared" si="27"/>
        <v>242600948</v>
      </c>
      <c r="P134" s="121" t="str">
        <f t="shared" si="28"/>
        <v/>
      </c>
      <c r="Q134" s="120" t="s">
        <v>1015</v>
      </c>
      <c r="R134" s="120" t="s">
        <v>1016</v>
      </c>
      <c r="S134" s="120" t="s">
        <v>1017</v>
      </c>
      <c r="T134" s="120" t="s">
        <v>1018</v>
      </c>
      <c r="U134" s="120" t="s">
        <v>1019</v>
      </c>
      <c r="V134" s="120"/>
      <c r="W134" s="122" t="str">
        <f t="shared" si="29"/>
        <v>PPAddIban6@mailinator.com</v>
      </c>
      <c r="X134" s="120" t="str">
        <f t="shared" si="30"/>
        <v/>
      </c>
      <c r="Y134" s="121" t="str">
        <f t="shared" si="31"/>
        <v>Dummy!2022</v>
      </c>
      <c r="Z134" s="121" t="str">
        <f t="shared" si="32"/>
        <v>020-8055556</v>
      </c>
      <c r="AA134" s="126" t="s">
        <v>1194</v>
      </c>
      <c r="AB134" s="120" t="s">
        <v>986</v>
      </c>
      <c r="AQ134" s="119" t="str">
        <f t="shared" si="33"/>
        <v>PPAddIban6@mailinator.com</v>
      </c>
      <c r="AR134" s="119" t="str">
        <f t="shared" si="34"/>
        <v/>
      </c>
    </row>
    <row r="135" spans="1:44" ht="27.6" x14ac:dyDescent="0.3">
      <c r="A135" s="120" t="s">
        <v>1195</v>
      </c>
      <c r="B135" s="120" t="s">
        <v>615</v>
      </c>
      <c r="C135" s="120" t="s">
        <v>1028</v>
      </c>
      <c r="D135" s="120" t="s">
        <v>982</v>
      </c>
      <c r="E135" s="120" t="s">
        <v>987</v>
      </c>
      <c r="F135" s="120" t="s">
        <v>31</v>
      </c>
      <c r="G135" s="120" t="s">
        <v>1033</v>
      </c>
      <c r="H135" s="120"/>
      <c r="I135" s="120"/>
      <c r="J135" s="120"/>
      <c r="K135" s="121" t="str">
        <f t="shared" si="24"/>
        <v>RIGNALL</v>
      </c>
      <c r="L135" s="121" t="str">
        <f t="shared" si="25"/>
        <v/>
      </c>
      <c r="M135" s="121">
        <f t="shared" si="35"/>
        <v>19209</v>
      </c>
      <c r="N135" s="121" t="str">
        <f t="shared" si="26"/>
        <v/>
      </c>
      <c r="O135" s="121" t="str">
        <f t="shared" si="27"/>
        <v>242600948</v>
      </c>
      <c r="P135" s="121" t="str">
        <f t="shared" si="28"/>
        <v/>
      </c>
      <c r="Q135" s="120" t="s">
        <v>1015</v>
      </c>
      <c r="R135" s="120" t="s">
        <v>1016</v>
      </c>
      <c r="S135" s="120" t="s">
        <v>1047</v>
      </c>
      <c r="T135" s="120" t="s">
        <v>1018</v>
      </c>
      <c r="U135" s="120" t="s">
        <v>1019</v>
      </c>
      <c r="V135" s="120"/>
      <c r="W135" s="122" t="str">
        <f t="shared" si="29"/>
        <v>PPAddIban6@mailinator.com</v>
      </c>
      <c r="X135" s="120" t="str">
        <f t="shared" si="30"/>
        <v/>
      </c>
      <c r="Y135" s="121" t="str">
        <f t="shared" si="31"/>
        <v>Dummy!2022</v>
      </c>
      <c r="Z135" s="121" t="str">
        <f t="shared" si="32"/>
        <v>020-8055556</v>
      </c>
      <c r="AA135" s="126" t="s">
        <v>1196</v>
      </c>
      <c r="AB135" s="120" t="s">
        <v>986</v>
      </c>
      <c r="AQ135" s="119" t="str">
        <f t="shared" si="33"/>
        <v>PPAddIban6@mailinator.com</v>
      </c>
      <c r="AR135" s="119" t="str">
        <f t="shared" si="34"/>
        <v/>
      </c>
    </row>
    <row r="136" spans="1:44" ht="27.6" x14ac:dyDescent="0.3">
      <c r="A136" s="120" t="s">
        <v>1197</v>
      </c>
      <c r="B136" s="120" t="s">
        <v>615</v>
      </c>
      <c r="C136" s="120" t="s">
        <v>1032</v>
      </c>
      <c r="D136" s="120" t="s">
        <v>982</v>
      </c>
      <c r="E136" s="120" t="s">
        <v>987</v>
      </c>
      <c r="F136" s="120" t="s">
        <v>31</v>
      </c>
      <c r="G136" s="120" t="s">
        <v>985</v>
      </c>
      <c r="H136" s="120" t="s">
        <v>1007</v>
      </c>
      <c r="I136" s="120"/>
      <c r="J136" s="120"/>
      <c r="K136" s="121" t="str">
        <f t="shared" si="24"/>
        <v>RIGNALL</v>
      </c>
      <c r="L136" s="121" t="str">
        <f t="shared" si="25"/>
        <v/>
      </c>
      <c r="M136" s="121">
        <f t="shared" si="35"/>
        <v>19209</v>
      </c>
      <c r="N136" s="121" t="str">
        <f t="shared" si="26"/>
        <v/>
      </c>
      <c r="O136" s="121" t="str">
        <f t="shared" si="27"/>
        <v>242600948</v>
      </c>
      <c r="P136" s="121" t="str">
        <f t="shared" si="28"/>
        <v/>
      </c>
      <c r="Q136" s="120" t="s">
        <v>1015</v>
      </c>
      <c r="R136" s="120" t="s">
        <v>1016</v>
      </c>
      <c r="S136" s="120" t="s">
        <v>1050</v>
      </c>
      <c r="T136" s="120" t="s">
        <v>1018</v>
      </c>
      <c r="U136" s="120" t="s">
        <v>1019</v>
      </c>
      <c r="V136" s="120"/>
      <c r="W136" s="122" t="str">
        <f t="shared" si="29"/>
        <v>PPAddIban6@mailinator.com</v>
      </c>
      <c r="X136" s="120" t="str">
        <f t="shared" si="30"/>
        <v/>
      </c>
      <c r="Y136" s="121" t="str">
        <f t="shared" si="31"/>
        <v>Dummy!2022</v>
      </c>
      <c r="Z136" s="121" t="str">
        <f t="shared" si="32"/>
        <v>020-8055556</v>
      </c>
      <c r="AA136" s="126" t="s">
        <v>1198</v>
      </c>
      <c r="AB136" s="120" t="s">
        <v>986</v>
      </c>
      <c r="AQ136" s="119" t="str">
        <f t="shared" si="33"/>
        <v>PPAddIban6@mailinator.com</v>
      </c>
      <c r="AR136" s="119" t="str">
        <f t="shared" si="34"/>
        <v/>
      </c>
    </row>
    <row r="137" spans="1:44" ht="41.4" x14ac:dyDescent="0.3">
      <c r="A137" s="120" t="s">
        <v>1199</v>
      </c>
      <c r="B137" s="120" t="s">
        <v>615</v>
      </c>
      <c r="C137" s="120" t="s">
        <v>1011</v>
      </c>
      <c r="D137" s="120" t="s">
        <v>982</v>
      </c>
      <c r="E137" s="120" t="s">
        <v>987</v>
      </c>
      <c r="F137" s="120" t="s">
        <v>31</v>
      </c>
      <c r="G137" s="120" t="s">
        <v>984</v>
      </c>
      <c r="H137" s="120"/>
      <c r="I137" s="120"/>
      <c r="J137" s="120" t="s">
        <v>1013</v>
      </c>
      <c r="K137" s="120" t="s">
        <v>1014</v>
      </c>
      <c r="L137" s="121" t="str">
        <f t="shared" si="25"/>
        <v/>
      </c>
      <c r="M137" s="121">
        <f t="shared" si="35"/>
        <v>19209</v>
      </c>
      <c r="N137" s="121" t="str">
        <f t="shared" si="26"/>
        <v/>
      </c>
      <c r="O137" s="121" t="str">
        <f t="shared" si="27"/>
        <v>242600948</v>
      </c>
      <c r="P137" s="121" t="str">
        <f t="shared" si="28"/>
        <v/>
      </c>
      <c r="Q137" s="120" t="s">
        <v>1015</v>
      </c>
      <c r="R137" s="120" t="s">
        <v>1016</v>
      </c>
      <c r="S137" s="120" t="s">
        <v>1017</v>
      </c>
      <c r="T137" s="120" t="s">
        <v>1018</v>
      </c>
      <c r="U137" s="120" t="s">
        <v>1019</v>
      </c>
      <c r="V137" s="120" t="s">
        <v>1020</v>
      </c>
      <c r="W137" s="122" t="str">
        <f t="shared" si="29"/>
        <v>PPAddIban6@mailinator.com</v>
      </c>
      <c r="X137" s="120" t="str">
        <f t="shared" si="30"/>
        <v/>
      </c>
      <c r="Y137" s="121" t="str">
        <f t="shared" si="31"/>
        <v>Dummy!2022</v>
      </c>
      <c r="Z137" s="121" t="str">
        <f t="shared" si="32"/>
        <v>020-8055556</v>
      </c>
      <c r="AA137" s="126" t="s">
        <v>1200</v>
      </c>
      <c r="AB137" s="120" t="s">
        <v>986</v>
      </c>
      <c r="AQ137" s="119" t="str">
        <f t="shared" si="33"/>
        <v>PPAddIban6@mailinator.com</v>
      </c>
      <c r="AR137" s="119" t="str">
        <f t="shared" si="34"/>
        <v/>
      </c>
    </row>
    <row r="138" spans="1:44" ht="41.4" x14ac:dyDescent="0.3">
      <c r="A138" s="120" t="s">
        <v>1201</v>
      </c>
      <c r="B138" s="120" t="s">
        <v>615</v>
      </c>
      <c r="C138" s="120" t="s">
        <v>1021</v>
      </c>
      <c r="D138" s="120" t="s">
        <v>982</v>
      </c>
      <c r="E138" s="120" t="s">
        <v>987</v>
      </c>
      <c r="F138" s="120" t="s">
        <v>31</v>
      </c>
      <c r="G138" s="120" t="s">
        <v>993</v>
      </c>
      <c r="H138" s="120" t="s">
        <v>999</v>
      </c>
      <c r="I138" s="120"/>
      <c r="J138" s="120"/>
      <c r="K138" s="121" t="str">
        <f t="shared" si="24"/>
        <v>RIGNALL</v>
      </c>
      <c r="L138" s="121" t="str">
        <f t="shared" si="25"/>
        <v/>
      </c>
      <c r="M138" s="121">
        <f t="shared" si="35"/>
        <v>19209</v>
      </c>
      <c r="N138" s="121" t="str">
        <f t="shared" si="26"/>
        <v/>
      </c>
      <c r="O138" s="121" t="str">
        <f t="shared" si="27"/>
        <v>242600948</v>
      </c>
      <c r="P138" s="121" t="str">
        <f t="shared" si="28"/>
        <v/>
      </c>
      <c r="Q138" s="120" t="s">
        <v>1015</v>
      </c>
      <c r="R138" s="120" t="s">
        <v>1016</v>
      </c>
      <c r="S138" s="120" t="s">
        <v>1054</v>
      </c>
      <c r="T138" s="120" t="s">
        <v>1018</v>
      </c>
      <c r="U138" s="120" t="s">
        <v>1019</v>
      </c>
      <c r="V138" s="120"/>
      <c r="W138" s="122" t="str">
        <f t="shared" si="29"/>
        <v>PPAddIban6@mailinator.com</v>
      </c>
      <c r="X138" s="120" t="str">
        <f t="shared" si="30"/>
        <v/>
      </c>
      <c r="Y138" s="121" t="str">
        <f t="shared" si="31"/>
        <v>Dummy!2022</v>
      </c>
      <c r="Z138" s="121" t="str">
        <f t="shared" si="32"/>
        <v>020-8055556</v>
      </c>
      <c r="AA138" s="126" t="s">
        <v>1202</v>
      </c>
      <c r="AB138" s="120" t="s">
        <v>986</v>
      </c>
      <c r="AQ138" s="119" t="str">
        <f t="shared" si="33"/>
        <v>PPAddIban6@mailinator.com</v>
      </c>
      <c r="AR138" s="119" t="str">
        <f t="shared" si="34"/>
        <v/>
      </c>
    </row>
    <row r="139" spans="1:44" ht="27.6" x14ac:dyDescent="0.3">
      <c r="A139" s="120" t="s">
        <v>1203</v>
      </c>
      <c r="B139" s="120" t="s">
        <v>615</v>
      </c>
      <c r="C139" s="120" t="s">
        <v>1028</v>
      </c>
      <c r="D139" s="120" t="s">
        <v>982</v>
      </c>
      <c r="E139" s="120" t="s">
        <v>987</v>
      </c>
      <c r="F139" s="120" t="s">
        <v>31</v>
      </c>
      <c r="G139" s="120" t="s">
        <v>998</v>
      </c>
      <c r="H139" s="120"/>
      <c r="I139" s="120"/>
      <c r="J139" s="120"/>
      <c r="K139" s="121" t="str">
        <f t="shared" si="24"/>
        <v>RIGNALL</v>
      </c>
      <c r="L139" s="121" t="str">
        <f t="shared" si="25"/>
        <v/>
      </c>
      <c r="M139" s="121">
        <f t="shared" si="35"/>
        <v>19209</v>
      </c>
      <c r="N139" s="121" t="str">
        <f t="shared" si="26"/>
        <v/>
      </c>
      <c r="O139" s="121" t="str">
        <f t="shared" si="27"/>
        <v>242600948</v>
      </c>
      <c r="P139" s="121" t="str">
        <f t="shared" si="28"/>
        <v/>
      </c>
      <c r="Q139" s="120" t="s">
        <v>1015</v>
      </c>
      <c r="R139" s="120" t="s">
        <v>1016</v>
      </c>
      <c r="S139" s="120" t="s">
        <v>1056</v>
      </c>
      <c r="T139" s="120" t="s">
        <v>1018</v>
      </c>
      <c r="U139" s="120" t="s">
        <v>1019</v>
      </c>
      <c r="V139" s="120"/>
      <c r="W139" s="122" t="str">
        <f t="shared" si="29"/>
        <v>PPAddIban6@mailinator.com</v>
      </c>
      <c r="X139" s="120" t="str">
        <f t="shared" si="30"/>
        <v/>
      </c>
      <c r="Y139" s="121" t="str">
        <f t="shared" si="31"/>
        <v>Dummy!2022</v>
      </c>
      <c r="Z139" s="121" t="str">
        <f t="shared" si="32"/>
        <v>020-8055556</v>
      </c>
      <c r="AA139" s="126" t="s">
        <v>1204</v>
      </c>
      <c r="AB139" s="120" t="s">
        <v>986</v>
      </c>
      <c r="AQ139" s="119" t="str">
        <f t="shared" si="33"/>
        <v>PPAddIban6@mailinator.com</v>
      </c>
      <c r="AR139" s="119" t="str">
        <f t="shared" si="34"/>
        <v/>
      </c>
    </row>
    <row r="140" spans="1:44" ht="27.6" x14ac:dyDescent="0.3">
      <c r="A140" s="120" t="s">
        <v>1205</v>
      </c>
      <c r="B140" s="120" t="s">
        <v>980</v>
      </c>
      <c r="C140" s="120" t="s">
        <v>981</v>
      </c>
      <c r="D140" s="120" t="s">
        <v>1123</v>
      </c>
      <c r="E140" s="120" t="s">
        <v>1073</v>
      </c>
      <c r="F140" s="120"/>
      <c r="G140" s="120" t="s">
        <v>1006</v>
      </c>
      <c r="H140" s="120" t="s">
        <v>985</v>
      </c>
      <c r="I140" s="120"/>
      <c r="J140" s="120"/>
      <c r="K140" s="121" t="str">
        <f t="shared" si="24"/>
        <v>BOURNE</v>
      </c>
      <c r="L140" s="121" t="str">
        <f t="shared" si="25"/>
        <v>DE GLANVILLE</v>
      </c>
      <c r="M140" s="121">
        <f t="shared" si="35"/>
        <v>22626</v>
      </c>
      <c r="N140" s="121">
        <f t="shared" si="26"/>
        <v>27439</v>
      </c>
      <c r="O140" s="121" t="str">
        <f t="shared" si="27"/>
        <v>242599915</v>
      </c>
      <c r="P140" s="121" t="str">
        <f t="shared" si="28"/>
        <v>242596037</v>
      </c>
      <c r="Q140" s="120"/>
      <c r="R140" s="120"/>
      <c r="S140" s="120"/>
      <c r="T140" s="120"/>
      <c r="U140" s="120"/>
      <c r="V140" s="120"/>
      <c r="W140" s="122" t="str">
        <f t="shared" si="29"/>
        <v>PPAddIban16@mailinator.com</v>
      </c>
      <c r="X140" s="120" t="str">
        <f t="shared" si="30"/>
        <v>RebrandAutomationUser7@mailinator.com</v>
      </c>
      <c r="Y140" s="121" t="str">
        <f t="shared" si="31"/>
        <v>Dummy!2022</v>
      </c>
      <c r="Z140" s="121" t="str">
        <f t="shared" si="32"/>
        <v>020-8055516</v>
      </c>
      <c r="AA140" s="120"/>
      <c r="AB140" s="120" t="s">
        <v>986</v>
      </c>
      <c r="AQ140" s="119" t="str">
        <f t="shared" si="33"/>
        <v>PPAddIban16@mailinator.com</v>
      </c>
      <c r="AR140" s="119" t="str">
        <f t="shared" si="34"/>
        <v>RebrandAutomationUser7@mailinator.com</v>
      </c>
    </row>
    <row r="141" spans="1:44" ht="27.6" x14ac:dyDescent="0.3">
      <c r="A141" s="120" t="s">
        <v>1206</v>
      </c>
      <c r="B141" s="120" t="s">
        <v>992</v>
      </c>
      <c r="C141" s="120" t="s">
        <v>22</v>
      </c>
      <c r="D141" s="120" t="s">
        <v>1123</v>
      </c>
      <c r="E141" s="120" t="s">
        <v>1073</v>
      </c>
      <c r="F141" s="120"/>
      <c r="G141" s="120" t="s">
        <v>1012</v>
      </c>
      <c r="H141" s="120"/>
      <c r="I141" s="120"/>
      <c r="J141" s="120"/>
      <c r="K141" s="121" t="str">
        <f t="shared" si="24"/>
        <v>BOURNE</v>
      </c>
      <c r="L141" s="121" t="str">
        <f t="shared" si="25"/>
        <v>DE GLANVILLE</v>
      </c>
      <c r="M141" s="121">
        <f t="shared" si="35"/>
        <v>22626</v>
      </c>
      <c r="N141" s="121">
        <f t="shared" si="26"/>
        <v>27439</v>
      </c>
      <c r="O141" s="121" t="str">
        <f t="shared" si="27"/>
        <v>242599915</v>
      </c>
      <c r="P141" s="121" t="str">
        <f t="shared" si="28"/>
        <v>242596037</v>
      </c>
      <c r="Q141" s="120"/>
      <c r="R141" s="120"/>
      <c r="S141" s="120"/>
      <c r="T141" s="120"/>
      <c r="U141" s="120"/>
      <c r="V141" s="120"/>
      <c r="W141" s="122" t="str">
        <f t="shared" si="29"/>
        <v>PPAddIban16@mailinator.com</v>
      </c>
      <c r="X141" s="120" t="str">
        <f t="shared" si="30"/>
        <v>RebrandAutomationUser7@mailinator.com</v>
      </c>
      <c r="Y141" s="121" t="str">
        <f t="shared" si="31"/>
        <v>Dummy!2022</v>
      </c>
      <c r="Z141" s="121" t="str">
        <f t="shared" si="32"/>
        <v>020-8055516</v>
      </c>
      <c r="AA141" s="120"/>
      <c r="AB141" s="120" t="s">
        <v>986</v>
      </c>
      <c r="AQ141" s="119" t="str">
        <f t="shared" si="33"/>
        <v>PPAddIban16@mailinator.com</v>
      </c>
      <c r="AR141" s="119" t="str">
        <f t="shared" si="34"/>
        <v>RebrandAutomationUser7@mailinator.com</v>
      </c>
    </row>
    <row r="142" spans="1:44" ht="27.6" x14ac:dyDescent="0.3">
      <c r="A142" s="120" t="s">
        <v>1207</v>
      </c>
      <c r="B142" s="120" t="s">
        <v>615</v>
      </c>
      <c r="C142" s="120" t="s">
        <v>997</v>
      </c>
      <c r="D142" s="120" t="s">
        <v>1123</v>
      </c>
      <c r="E142" s="120" t="s">
        <v>1073</v>
      </c>
      <c r="F142" s="120"/>
      <c r="G142" s="120" t="s">
        <v>1022</v>
      </c>
      <c r="H142" s="120" t="s">
        <v>999</v>
      </c>
      <c r="I142" s="120"/>
      <c r="J142" s="120"/>
      <c r="K142" s="121" t="str">
        <f t="shared" si="24"/>
        <v>BOURNE</v>
      </c>
      <c r="L142" s="121" t="str">
        <f t="shared" si="25"/>
        <v>DE GLANVILLE</v>
      </c>
      <c r="M142" s="121">
        <f t="shared" si="35"/>
        <v>22626</v>
      </c>
      <c r="N142" s="121">
        <f t="shared" si="26"/>
        <v>27439</v>
      </c>
      <c r="O142" s="121" t="str">
        <f t="shared" si="27"/>
        <v>242599915</v>
      </c>
      <c r="P142" s="121" t="str">
        <f t="shared" si="28"/>
        <v>242596037</v>
      </c>
      <c r="Q142" s="120"/>
      <c r="R142" s="120"/>
      <c r="S142" s="120"/>
      <c r="T142" s="120"/>
      <c r="U142" s="120"/>
      <c r="V142" s="120"/>
      <c r="W142" s="122" t="str">
        <f t="shared" si="29"/>
        <v>PPAddIban16@mailinator.com</v>
      </c>
      <c r="X142" s="120" t="str">
        <f t="shared" si="30"/>
        <v>RebrandAutomationUser7@mailinator.com</v>
      </c>
      <c r="Y142" s="121" t="str">
        <f t="shared" si="31"/>
        <v>Dummy!2022</v>
      </c>
      <c r="Z142" s="121" t="str">
        <f t="shared" si="32"/>
        <v>020-8055516</v>
      </c>
      <c r="AA142" s="120"/>
      <c r="AB142" s="120" t="s">
        <v>986</v>
      </c>
      <c r="AQ142" s="119" t="str">
        <f t="shared" si="33"/>
        <v>PPAddIban16@mailinator.com</v>
      </c>
      <c r="AR142" s="119" t="str">
        <f t="shared" si="34"/>
        <v>RebrandAutomationUser7@mailinator.com</v>
      </c>
    </row>
    <row r="143" spans="1:44" ht="27.6" x14ac:dyDescent="0.3">
      <c r="A143" s="120" t="s">
        <v>1208</v>
      </c>
      <c r="B143" s="120" t="s">
        <v>615</v>
      </c>
      <c r="C143" s="120" t="s">
        <v>1005</v>
      </c>
      <c r="D143" s="120" t="s">
        <v>1123</v>
      </c>
      <c r="E143" s="120" t="s">
        <v>1073</v>
      </c>
      <c r="F143" s="120"/>
      <c r="G143" s="120" t="s">
        <v>1029</v>
      </c>
      <c r="H143" s="120" t="s">
        <v>1007</v>
      </c>
      <c r="I143" s="120"/>
      <c r="J143" s="120"/>
      <c r="K143" s="121" t="str">
        <f t="shared" si="24"/>
        <v>BOURNE</v>
      </c>
      <c r="L143" s="121" t="str">
        <f t="shared" si="25"/>
        <v>DE GLANVILLE</v>
      </c>
      <c r="M143" s="121">
        <f t="shared" si="35"/>
        <v>22626</v>
      </c>
      <c r="N143" s="121">
        <f t="shared" si="26"/>
        <v>27439</v>
      </c>
      <c r="O143" s="121" t="str">
        <f t="shared" si="27"/>
        <v>242599915</v>
      </c>
      <c r="P143" s="121" t="str">
        <f t="shared" si="28"/>
        <v>242596037</v>
      </c>
      <c r="Q143" s="120"/>
      <c r="R143" s="120"/>
      <c r="S143" s="120"/>
      <c r="T143" s="120"/>
      <c r="U143" s="120"/>
      <c r="V143" s="120"/>
      <c r="W143" s="122" t="str">
        <f t="shared" si="29"/>
        <v>PPAddIban16@mailinator.com</v>
      </c>
      <c r="X143" s="120" t="str">
        <f t="shared" si="30"/>
        <v>RebrandAutomationUser7@mailinator.com</v>
      </c>
      <c r="Y143" s="121" t="str">
        <f t="shared" si="31"/>
        <v>Dummy!2022</v>
      </c>
      <c r="Z143" s="121" t="str">
        <f t="shared" si="32"/>
        <v>020-8055516</v>
      </c>
      <c r="AA143" s="120"/>
      <c r="AB143" s="120" t="s">
        <v>986</v>
      </c>
      <c r="AQ143" s="119" t="str">
        <f t="shared" si="33"/>
        <v>PPAddIban16@mailinator.com</v>
      </c>
      <c r="AR143" s="119" t="str">
        <f t="shared" si="34"/>
        <v>RebrandAutomationUser7@mailinator.com</v>
      </c>
    </row>
    <row r="144" spans="1:44" ht="41.4" x14ac:dyDescent="0.3">
      <c r="A144" s="120" t="s">
        <v>1209</v>
      </c>
      <c r="B144" s="120" t="s">
        <v>615</v>
      </c>
      <c r="C144" s="120" t="s">
        <v>1021</v>
      </c>
      <c r="D144" s="120" t="s">
        <v>1123</v>
      </c>
      <c r="E144" s="120" t="s">
        <v>1073</v>
      </c>
      <c r="F144" s="120" t="s">
        <v>72</v>
      </c>
      <c r="G144" s="120" t="s">
        <v>1033</v>
      </c>
      <c r="H144" s="120" t="s">
        <v>985</v>
      </c>
      <c r="I144" s="120"/>
      <c r="J144" s="120"/>
      <c r="K144" s="121" t="str">
        <f t="shared" si="24"/>
        <v>BOURNE</v>
      </c>
      <c r="L144" s="121" t="str">
        <f t="shared" si="25"/>
        <v>DE GLANVILLE</v>
      </c>
      <c r="M144" s="121">
        <f t="shared" si="35"/>
        <v>22626</v>
      </c>
      <c r="N144" s="121">
        <f t="shared" si="26"/>
        <v>27439</v>
      </c>
      <c r="O144" s="121" t="str">
        <f t="shared" si="27"/>
        <v>242599915</v>
      </c>
      <c r="P144" s="121" t="str">
        <f t="shared" si="28"/>
        <v>242596037</v>
      </c>
      <c r="Q144" s="120" t="s">
        <v>1015</v>
      </c>
      <c r="R144" s="120" t="s">
        <v>1016</v>
      </c>
      <c r="S144" s="120" t="s">
        <v>1017</v>
      </c>
      <c r="T144" s="120" t="s">
        <v>1018</v>
      </c>
      <c r="U144" s="120" t="s">
        <v>1019</v>
      </c>
      <c r="V144" s="120"/>
      <c r="W144" s="122" t="str">
        <f t="shared" si="29"/>
        <v>PPAddIban16@mailinator.com</v>
      </c>
      <c r="X144" s="120" t="str">
        <f t="shared" si="30"/>
        <v>RebrandAutomationUser7@mailinator.com</v>
      </c>
      <c r="Y144" s="121" t="str">
        <f t="shared" si="31"/>
        <v>Dummy!2022</v>
      </c>
      <c r="Z144" s="121" t="str">
        <f t="shared" si="32"/>
        <v>020-8055516</v>
      </c>
      <c r="AA144" s="120"/>
      <c r="AB144" s="120" t="s">
        <v>986</v>
      </c>
      <c r="AQ144" s="119" t="str">
        <f t="shared" si="33"/>
        <v>PPAddIban16@mailinator.com</v>
      </c>
      <c r="AR144" s="119" t="str">
        <f t="shared" si="34"/>
        <v>RebrandAutomationUser7@mailinator.com</v>
      </c>
    </row>
    <row r="145" spans="1:44" ht="27.6" x14ac:dyDescent="0.3">
      <c r="A145" s="120" t="s">
        <v>1210</v>
      </c>
      <c r="B145" s="120" t="s">
        <v>615</v>
      </c>
      <c r="C145" s="120" t="s">
        <v>1028</v>
      </c>
      <c r="D145" s="120" t="s">
        <v>1123</v>
      </c>
      <c r="E145" s="120" t="s">
        <v>1073</v>
      </c>
      <c r="F145" s="120" t="s">
        <v>72</v>
      </c>
      <c r="G145" s="120" t="s">
        <v>985</v>
      </c>
      <c r="H145" s="120"/>
      <c r="I145" s="120"/>
      <c r="J145" s="120"/>
      <c r="K145" s="121" t="str">
        <f t="shared" si="24"/>
        <v>BOURNE</v>
      </c>
      <c r="L145" s="121" t="str">
        <f t="shared" si="25"/>
        <v>DE GLANVILLE</v>
      </c>
      <c r="M145" s="121">
        <f t="shared" si="35"/>
        <v>22626</v>
      </c>
      <c r="N145" s="121">
        <f t="shared" si="26"/>
        <v>27439</v>
      </c>
      <c r="O145" s="121" t="str">
        <f t="shared" si="27"/>
        <v>242599915</v>
      </c>
      <c r="P145" s="121" t="str">
        <f t="shared" si="28"/>
        <v>242596037</v>
      </c>
      <c r="Q145" s="120" t="s">
        <v>1015</v>
      </c>
      <c r="R145" s="120" t="s">
        <v>1016</v>
      </c>
      <c r="S145" s="120" t="s">
        <v>1017</v>
      </c>
      <c r="T145" s="120" t="s">
        <v>1018</v>
      </c>
      <c r="U145" s="120" t="s">
        <v>1019</v>
      </c>
      <c r="V145" s="120"/>
      <c r="W145" s="122" t="str">
        <f t="shared" si="29"/>
        <v>PPAddIban16@mailinator.com</v>
      </c>
      <c r="X145" s="120" t="str">
        <f t="shared" si="30"/>
        <v>RebrandAutomationUser7@mailinator.com</v>
      </c>
      <c r="Y145" s="121" t="str">
        <f t="shared" si="31"/>
        <v>Dummy!2022</v>
      </c>
      <c r="Z145" s="121" t="str">
        <f t="shared" si="32"/>
        <v>020-8055516</v>
      </c>
      <c r="AA145" s="120"/>
      <c r="AB145" s="120" t="s">
        <v>986</v>
      </c>
      <c r="AQ145" s="119" t="str">
        <f t="shared" si="33"/>
        <v>PPAddIban16@mailinator.com</v>
      </c>
      <c r="AR145" s="119" t="str">
        <f t="shared" si="34"/>
        <v>RebrandAutomationUser7@mailinator.com</v>
      </c>
    </row>
    <row r="146" spans="1:44" ht="27.6" x14ac:dyDescent="0.3">
      <c r="A146" s="120" t="s">
        <v>1211</v>
      </c>
      <c r="B146" s="120" t="s">
        <v>615</v>
      </c>
      <c r="C146" s="120" t="s">
        <v>1028</v>
      </c>
      <c r="D146" s="120" t="s">
        <v>1123</v>
      </c>
      <c r="E146" s="120" t="s">
        <v>1073</v>
      </c>
      <c r="F146" s="120" t="s">
        <v>31</v>
      </c>
      <c r="G146" s="120" t="s">
        <v>984</v>
      </c>
      <c r="H146" s="120"/>
      <c r="I146" s="120"/>
      <c r="J146" s="120"/>
      <c r="K146" s="121" t="str">
        <f t="shared" si="24"/>
        <v>BOURNE</v>
      </c>
      <c r="L146" s="121" t="str">
        <f t="shared" si="25"/>
        <v>DE GLANVILLE</v>
      </c>
      <c r="M146" s="121">
        <f t="shared" si="35"/>
        <v>22626</v>
      </c>
      <c r="N146" s="121">
        <f t="shared" si="26"/>
        <v>27439</v>
      </c>
      <c r="O146" s="121" t="str">
        <f t="shared" si="27"/>
        <v>242599915</v>
      </c>
      <c r="P146" s="121" t="str">
        <f t="shared" si="28"/>
        <v>242596037</v>
      </c>
      <c r="Q146" s="120" t="s">
        <v>1015</v>
      </c>
      <c r="R146" s="120" t="s">
        <v>1016</v>
      </c>
      <c r="S146" s="120" t="s">
        <v>1017</v>
      </c>
      <c r="T146" s="120" t="s">
        <v>1018</v>
      </c>
      <c r="U146" s="120" t="s">
        <v>1019</v>
      </c>
      <c r="V146" s="120"/>
      <c r="W146" s="122" t="str">
        <f t="shared" si="29"/>
        <v>PPAddIban16@mailinator.com</v>
      </c>
      <c r="X146" s="120" t="str">
        <f t="shared" si="30"/>
        <v>RebrandAutomationUser7@mailinator.com</v>
      </c>
      <c r="Y146" s="121" t="str">
        <f t="shared" si="31"/>
        <v>Dummy!2022</v>
      </c>
      <c r="Z146" s="121" t="str">
        <f t="shared" si="32"/>
        <v>020-8055516</v>
      </c>
      <c r="AA146" s="120"/>
      <c r="AB146" s="120" t="s">
        <v>986</v>
      </c>
      <c r="AQ146" s="119" t="str">
        <f t="shared" si="33"/>
        <v>PPAddIban16@mailinator.com</v>
      </c>
      <c r="AR146" s="119" t="str">
        <f t="shared" si="34"/>
        <v>RebrandAutomationUser7@mailinator.com</v>
      </c>
    </row>
    <row r="147" spans="1:44" ht="27.6" x14ac:dyDescent="0.3">
      <c r="A147" s="120" t="s">
        <v>1212</v>
      </c>
      <c r="B147" s="120" t="s">
        <v>615</v>
      </c>
      <c r="C147" s="120" t="s">
        <v>1032</v>
      </c>
      <c r="D147" s="120" t="s">
        <v>1123</v>
      </c>
      <c r="E147" s="120" t="s">
        <v>1073</v>
      </c>
      <c r="F147" s="120" t="s">
        <v>31</v>
      </c>
      <c r="G147" s="120" t="s">
        <v>993</v>
      </c>
      <c r="H147" s="120" t="s">
        <v>985</v>
      </c>
      <c r="I147" s="120"/>
      <c r="J147" s="120"/>
      <c r="K147" s="121" t="str">
        <f t="shared" si="24"/>
        <v>BOURNE</v>
      </c>
      <c r="L147" s="121" t="str">
        <f t="shared" si="25"/>
        <v>DE GLANVILLE</v>
      </c>
      <c r="M147" s="121">
        <f t="shared" si="35"/>
        <v>22626</v>
      </c>
      <c r="N147" s="121">
        <f t="shared" si="26"/>
        <v>27439</v>
      </c>
      <c r="O147" s="121" t="str">
        <f t="shared" si="27"/>
        <v>242599915</v>
      </c>
      <c r="P147" s="121" t="str">
        <f t="shared" si="28"/>
        <v>242596037</v>
      </c>
      <c r="Q147" s="120" t="s">
        <v>1015</v>
      </c>
      <c r="R147" s="120" t="s">
        <v>1016</v>
      </c>
      <c r="S147" s="120" t="s">
        <v>1054</v>
      </c>
      <c r="T147" s="120" t="s">
        <v>1018</v>
      </c>
      <c r="U147" s="120" t="s">
        <v>1019</v>
      </c>
      <c r="V147" s="120"/>
      <c r="W147" s="122" t="str">
        <f t="shared" si="29"/>
        <v>PPAddIban16@mailinator.com</v>
      </c>
      <c r="X147" s="120" t="str">
        <f t="shared" si="30"/>
        <v>RebrandAutomationUser7@mailinator.com</v>
      </c>
      <c r="Y147" s="121" t="str">
        <f t="shared" si="31"/>
        <v>Dummy!2022</v>
      </c>
      <c r="Z147" s="121" t="str">
        <f t="shared" si="32"/>
        <v>020-8055516</v>
      </c>
      <c r="AA147" s="120"/>
      <c r="AB147" s="120" t="s">
        <v>986</v>
      </c>
      <c r="AQ147" s="119" t="str">
        <f t="shared" si="33"/>
        <v>PPAddIban16@mailinator.com</v>
      </c>
      <c r="AR147" s="119" t="str">
        <f t="shared" si="34"/>
        <v>RebrandAutomationUser7@mailinator.com</v>
      </c>
    </row>
    <row r="148" spans="1:44" ht="41.4" x14ac:dyDescent="0.3">
      <c r="A148" s="120" t="s">
        <v>1213</v>
      </c>
      <c r="B148" s="120" t="s">
        <v>615</v>
      </c>
      <c r="C148" s="120" t="s">
        <v>1021</v>
      </c>
      <c r="D148" s="120" t="s">
        <v>1123</v>
      </c>
      <c r="E148" s="120" t="s">
        <v>1073</v>
      </c>
      <c r="F148" s="120" t="s">
        <v>31</v>
      </c>
      <c r="G148" s="120" t="s">
        <v>998</v>
      </c>
      <c r="H148" s="120" t="s">
        <v>999</v>
      </c>
      <c r="I148" s="120"/>
      <c r="J148" s="120"/>
      <c r="K148" s="121" t="str">
        <f t="shared" si="24"/>
        <v>BOURNE</v>
      </c>
      <c r="L148" s="121" t="str">
        <f t="shared" si="25"/>
        <v>DE GLANVILLE</v>
      </c>
      <c r="M148" s="121">
        <f t="shared" si="35"/>
        <v>22626</v>
      </c>
      <c r="N148" s="121">
        <f t="shared" si="26"/>
        <v>27439</v>
      </c>
      <c r="O148" s="121" t="str">
        <f t="shared" si="27"/>
        <v>242599915</v>
      </c>
      <c r="P148" s="121" t="str">
        <f t="shared" si="28"/>
        <v>242596037</v>
      </c>
      <c r="Q148" s="120" t="s">
        <v>1015</v>
      </c>
      <c r="R148" s="120" t="s">
        <v>1016</v>
      </c>
      <c r="S148" s="120" t="s">
        <v>1056</v>
      </c>
      <c r="T148" s="120" t="s">
        <v>1018</v>
      </c>
      <c r="U148" s="120" t="s">
        <v>1019</v>
      </c>
      <c r="V148" s="120"/>
      <c r="W148" s="122" t="str">
        <f t="shared" si="29"/>
        <v>PPAddIban16@mailinator.com</v>
      </c>
      <c r="X148" s="120" t="str">
        <f t="shared" si="30"/>
        <v>RebrandAutomationUser7@mailinator.com</v>
      </c>
      <c r="Y148" s="121" t="str">
        <f t="shared" si="31"/>
        <v>Dummy!2022</v>
      </c>
      <c r="Z148" s="121" t="str">
        <f t="shared" si="32"/>
        <v>020-8055516</v>
      </c>
      <c r="AA148" s="120"/>
      <c r="AB148" s="120" t="s">
        <v>986</v>
      </c>
      <c r="AQ148" s="119" t="str">
        <f t="shared" si="33"/>
        <v>PPAddIban16@mailinator.com</v>
      </c>
      <c r="AR148" s="119" t="str">
        <f t="shared" si="34"/>
        <v>RebrandAutomationUser7@mailinator.com</v>
      </c>
    </row>
    <row r="149" spans="1:44" ht="27.6" x14ac:dyDescent="0.3">
      <c r="A149" s="120" t="s">
        <v>1214</v>
      </c>
      <c r="B149" s="120" t="s">
        <v>980</v>
      </c>
      <c r="C149" s="120" t="s">
        <v>981</v>
      </c>
      <c r="D149" s="120" t="s">
        <v>1123</v>
      </c>
      <c r="E149" s="120" t="s">
        <v>1076</v>
      </c>
      <c r="F149" s="120"/>
      <c r="G149" s="120" t="s">
        <v>1006</v>
      </c>
      <c r="H149" s="120" t="s">
        <v>985</v>
      </c>
      <c r="I149" s="120"/>
      <c r="J149" s="120"/>
      <c r="K149" s="121" t="str">
        <f t="shared" si="24"/>
        <v>RIGNALL</v>
      </c>
      <c r="L149" s="121" t="str">
        <f t="shared" si="25"/>
        <v>CICCHETTO</v>
      </c>
      <c r="M149" s="121">
        <f t="shared" si="35"/>
        <v>19209</v>
      </c>
      <c r="N149" s="121">
        <f t="shared" si="26"/>
        <v>22469</v>
      </c>
      <c r="O149" s="121" t="str">
        <f t="shared" si="27"/>
        <v>242600948</v>
      </c>
      <c r="P149" s="121" t="str">
        <f t="shared" si="28"/>
        <v>242600999</v>
      </c>
      <c r="Q149" s="120"/>
      <c r="R149" s="120"/>
      <c r="S149" s="120"/>
      <c r="T149" s="120"/>
      <c r="U149" s="120"/>
      <c r="V149" s="120"/>
      <c r="W149" s="122" t="str">
        <f t="shared" si="29"/>
        <v>PPAddIban6@mailinator.com</v>
      </c>
      <c r="X149" s="120" t="str">
        <f t="shared" si="30"/>
        <v>PPAddIban7@mailinator.com</v>
      </c>
      <c r="Y149" s="121" t="str">
        <f t="shared" si="31"/>
        <v>Dummy!2022</v>
      </c>
      <c r="Z149" s="121" t="str">
        <f t="shared" si="32"/>
        <v>020-8055556</v>
      </c>
      <c r="AA149" s="120" t="s">
        <v>1215</v>
      </c>
      <c r="AB149" s="120" t="s">
        <v>986</v>
      </c>
      <c r="AQ149" s="119" t="str">
        <f t="shared" si="33"/>
        <v>PPAddIban6@mailinator.com</v>
      </c>
      <c r="AR149" s="119" t="str">
        <f t="shared" si="34"/>
        <v>PPAddIban7@mailinator.com</v>
      </c>
    </row>
    <row r="150" spans="1:44" ht="27.6" x14ac:dyDescent="0.3">
      <c r="A150" s="120" t="s">
        <v>1216</v>
      </c>
      <c r="B150" s="120" t="s">
        <v>992</v>
      </c>
      <c r="C150" s="120" t="s">
        <v>22</v>
      </c>
      <c r="D150" s="120" t="s">
        <v>1123</v>
      </c>
      <c r="E150" s="120" t="s">
        <v>1076</v>
      </c>
      <c r="F150" s="120"/>
      <c r="G150" s="120" t="s">
        <v>1012</v>
      </c>
      <c r="H150" s="120"/>
      <c r="I150" s="120"/>
      <c r="J150" s="120"/>
      <c r="K150" s="121" t="str">
        <f t="shared" si="24"/>
        <v>RIGNALL</v>
      </c>
      <c r="L150" s="121" t="str">
        <f t="shared" si="25"/>
        <v>CICCHETTO</v>
      </c>
      <c r="M150" s="121">
        <f t="shared" si="35"/>
        <v>19209</v>
      </c>
      <c r="N150" s="121">
        <f t="shared" si="26"/>
        <v>22469</v>
      </c>
      <c r="O150" s="121" t="str">
        <f t="shared" si="27"/>
        <v>242600948</v>
      </c>
      <c r="P150" s="121" t="str">
        <f t="shared" si="28"/>
        <v>242600999</v>
      </c>
      <c r="Q150" s="120"/>
      <c r="R150" s="120"/>
      <c r="S150" s="120"/>
      <c r="T150" s="120"/>
      <c r="U150" s="120"/>
      <c r="V150" s="120"/>
      <c r="W150" s="122" t="str">
        <f t="shared" si="29"/>
        <v>PPAddIban6@mailinator.com</v>
      </c>
      <c r="X150" s="120" t="str">
        <f t="shared" si="30"/>
        <v>PPAddIban7@mailinator.com</v>
      </c>
      <c r="Y150" s="121" t="str">
        <f t="shared" si="31"/>
        <v>Dummy!2022</v>
      </c>
      <c r="Z150" s="121" t="str">
        <f t="shared" si="32"/>
        <v>020-8055556</v>
      </c>
      <c r="AA150" s="120" t="s">
        <v>1217</v>
      </c>
      <c r="AB150" s="120" t="s">
        <v>986</v>
      </c>
      <c r="AQ150" s="119" t="str">
        <f t="shared" si="33"/>
        <v>PPAddIban6@mailinator.com</v>
      </c>
      <c r="AR150" s="119" t="str">
        <f t="shared" si="34"/>
        <v>PPAddIban7@mailinator.com</v>
      </c>
    </row>
    <row r="151" spans="1:44" ht="27.6" x14ac:dyDescent="0.3">
      <c r="A151" s="120" t="s">
        <v>1218</v>
      </c>
      <c r="B151" s="120" t="s">
        <v>615</v>
      </c>
      <c r="C151" s="120" t="s">
        <v>997</v>
      </c>
      <c r="D151" s="120" t="s">
        <v>1123</v>
      </c>
      <c r="E151" s="120" t="s">
        <v>1076</v>
      </c>
      <c r="F151" s="120"/>
      <c r="G151" s="120" t="s">
        <v>1022</v>
      </c>
      <c r="H151" s="120" t="s">
        <v>999</v>
      </c>
      <c r="I151" s="120"/>
      <c r="J151" s="120"/>
      <c r="K151" s="121" t="str">
        <f t="shared" si="24"/>
        <v>RIGNALL</v>
      </c>
      <c r="L151" s="121" t="str">
        <f t="shared" si="25"/>
        <v>CICCHETTO</v>
      </c>
      <c r="M151" s="121">
        <f t="shared" si="35"/>
        <v>19209</v>
      </c>
      <c r="N151" s="121">
        <f t="shared" si="26"/>
        <v>22469</v>
      </c>
      <c r="O151" s="121" t="str">
        <f t="shared" si="27"/>
        <v>242600948</v>
      </c>
      <c r="P151" s="121" t="str">
        <f t="shared" si="28"/>
        <v>242600999</v>
      </c>
      <c r="Q151" s="120"/>
      <c r="R151" s="120"/>
      <c r="S151" s="120"/>
      <c r="T151" s="120"/>
      <c r="U151" s="120"/>
      <c r="V151" s="120"/>
      <c r="W151" s="122" t="str">
        <f t="shared" si="29"/>
        <v>PPAddIban6@mailinator.com</v>
      </c>
      <c r="X151" s="120" t="str">
        <f t="shared" si="30"/>
        <v>PPAddIban7@mailinator.com</v>
      </c>
      <c r="Y151" s="121" t="str">
        <f t="shared" si="31"/>
        <v>Dummy!2022</v>
      </c>
      <c r="Z151" s="121" t="str">
        <f t="shared" si="32"/>
        <v>020-8055556</v>
      </c>
      <c r="AA151" s="120" t="s">
        <v>1219</v>
      </c>
      <c r="AB151" s="120" t="s">
        <v>986</v>
      </c>
      <c r="AQ151" s="119" t="str">
        <f t="shared" si="33"/>
        <v>PPAddIban6@mailinator.com</v>
      </c>
      <c r="AR151" s="119" t="str">
        <f t="shared" si="34"/>
        <v>PPAddIban7@mailinator.com</v>
      </c>
    </row>
    <row r="152" spans="1:44" ht="27.6" x14ac:dyDescent="0.3">
      <c r="A152" s="120" t="s">
        <v>1220</v>
      </c>
      <c r="B152" s="120" t="s">
        <v>615</v>
      </c>
      <c r="C152" s="120" t="s">
        <v>1005</v>
      </c>
      <c r="D152" s="120" t="s">
        <v>1123</v>
      </c>
      <c r="E152" s="120" t="s">
        <v>1076</v>
      </c>
      <c r="F152" s="120"/>
      <c r="G152" s="120" t="s">
        <v>1029</v>
      </c>
      <c r="H152" s="120" t="s">
        <v>1007</v>
      </c>
      <c r="I152" s="120"/>
      <c r="J152" s="120"/>
      <c r="K152" s="121" t="str">
        <f t="shared" si="24"/>
        <v>RIGNALL</v>
      </c>
      <c r="L152" s="121" t="str">
        <f t="shared" si="25"/>
        <v>CICCHETTO</v>
      </c>
      <c r="M152" s="121">
        <f t="shared" si="35"/>
        <v>19209</v>
      </c>
      <c r="N152" s="121">
        <f t="shared" si="26"/>
        <v>22469</v>
      </c>
      <c r="O152" s="121" t="str">
        <f t="shared" si="27"/>
        <v>242600948</v>
      </c>
      <c r="P152" s="121" t="str">
        <f t="shared" si="28"/>
        <v>242600999</v>
      </c>
      <c r="Q152" s="120"/>
      <c r="R152" s="120"/>
      <c r="S152" s="120"/>
      <c r="T152" s="120"/>
      <c r="U152" s="120"/>
      <c r="V152" s="120"/>
      <c r="W152" s="122" t="str">
        <f t="shared" si="29"/>
        <v>PPAddIban6@mailinator.com</v>
      </c>
      <c r="X152" s="120" t="str">
        <f t="shared" si="30"/>
        <v>PPAddIban7@mailinator.com</v>
      </c>
      <c r="Y152" s="121" t="str">
        <f t="shared" si="31"/>
        <v>Dummy!2022</v>
      </c>
      <c r="Z152" s="121" t="str">
        <f t="shared" si="32"/>
        <v>020-8055556</v>
      </c>
      <c r="AA152" s="120" t="s">
        <v>1221</v>
      </c>
      <c r="AB152" s="120" t="s">
        <v>986</v>
      </c>
      <c r="AQ152" s="119" t="str">
        <f t="shared" si="33"/>
        <v>PPAddIban6@mailinator.com</v>
      </c>
      <c r="AR152" s="119" t="str">
        <f t="shared" si="34"/>
        <v>PPAddIban7@mailinator.com</v>
      </c>
    </row>
    <row r="153" spans="1:44" ht="41.4" x14ac:dyDescent="0.3">
      <c r="A153" s="120" t="s">
        <v>1222</v>
      </c>
      <c r="B153" s="120" t="s">
        <v>615</v>
      </c>
      <c r="C153" s="120" t="s">
        <v>1021</v>
      </c>
      <c r="D153" s="120" t="s">
        <v>1123</v>
      </c>
      <c r="E153" s="120" t="s">
        <v>1076</v>
      </c>
      <c r="F153" s="120" t="s">
        <v>72</v>
      </c>
      <c r="G153" s="120" t="s">
        <v>1033</v>
      </c>
      <c r="H153" s="120" t="s">
        <v>985</v>
      </c>
      <c r="I153" s="120"/>
      <c r="J153" s="120"/>
      <c r="K153" s="121" t="str">
        <f t="shared" si="24"/>
        <v>RIGNALL</v>
      </c>
      <c r="L153" s="121" t="str">
        <f t="shared" si="25"/>
        <v>CICCHETTO</v>
      </c>
      <c r="M153" s="121">
        <f t="shared" si="35"/>
        <v>19209</v>
      </c>
      <c r="N153" s="121">
        <f t="shared" si="26"/>
        <v>22469</v>
      </c>
      <c r="O153" s="121" t="str">
        <f t="shared" si="27"/>
        <v>242600948</v>
      </c>
      <c r="P153" s="121" t="str">
        <f t="shared" si="28"/>
        <v>242600999</v>
      </c>
      <c r="Q153" s="120" t="s">
        <v>1015</v>
      </c>
      <c r="R153" s="120" t="s">
        <v>1016</v>
      </c>
      <c r="S153" s="120" t="s">
        <v>1017</v>
      </c>
      <c r="T153" s="120" t="s">
        <v>1018</v>
      </c>
      <c r="U153" s="120" t="s">
        <v>1019</v>
      </c>
      <c r="V153" s="120"/>
      <c r="W153" s="122" t="str">
        <f t="shared" si="29"/>
        <v>PPAddIban6@mailinator.com</v>
      </c>
      <c r="X153" s="120" t="str">
        <f t="shared" si="30"/>
        <v>PPAddIban7@mailinator.com</v>
      </c>
      <c r="Y153" s="121" t="str">
        <f t="shared" si="31"/>
        <v>Dummy!2022</v>
      </c>
      <c r="Z153" s="121" t="str">
        <f t="shared" si="32"/>
        <v>020-8055556</v>
      </c>
      <c r="AA153" s="120" t="s">
        <v>1223</v>
      </c>
      <c r="AB153" s="120" t="s">
        <v>986</v>
      </c>
      <c r="AQ153" s="119" t="str">
        <f t="shared" si="33"/>
        <v>PPAddIban6@mailinator.com</v>
      </c>
      <c r="AR153" s="119" t="str">
        <f t="shared" si="34"/>
        <v>PPAddIban7@mailinator.com</v>
      </c>
    </row>
    <row r="154" spans="1:44" ht="27.6" x14ac:dyDescent="0.3">
      <c r="A154" s="120" t="s">
        <v>1224</v>
      </c>
      <c r="B154" s="120" t="s">
        <v>615</v>
      </c>
      <c r="C154" s="120" t="s">
        <v>1028</v>
      </c>
      <c r="D154" s="120" t="s">
        <v>1123</v>
      </c>
      <c r="E154" s="120" t="s">
        <v>1076</v>
      </c>
      <c r="F154" s="120" t="s">
        <v>72</v>
      </c>
      <c r="G154" s="120" t="s">
        <v>985</v>
      </c>
      <c r="H154" s="120"/>
      <c r="I154" s="120"/>
      <c r="J154" s="120"/>
      <c r="K154" s="121" t="str">
        <f t="shared" si="24"/>
        <v>RIGNALL</v>
      </c>
      <c r="L154" s="121" t="str">
        <f t="shared" si="25"/>
        <v>CICCHETTO</v>
      </c>
      <c r="M154" s="121">
        <f t="shared" si="35"/>
        <v>19209</v>
      </c>
      <c r="N154" s="121">
        <f t="shared" si="26"/>
        <v>22469</v>
      </c>
      <c r="O154" s="121" t="str">
        <f t="shared" si="27"/>
        <v>242600948</v>
      </c>
      <c r="P154" s="121" t="str">
        <f t="shared" si="28"/>
        <v>242600999</v>
      </c>
      <c r="Q154" s="120" t="s">
        <v>1015</v>
      </c>
      <c r="R154" s="120" t="s">
        <v>1016</v>
      </c>
      <c r="S154" s="120" t="s">
        <v>1017</v>
      </c>
      <c r="T154" s="120" t="s">
        <v>1018</v>
      </c>
      <c r="U154" s="120" t="s">
        <v>1019</v>
      </c>
      <c r="V154" s="120"/>
      <c r="W154" s="122" t="str">
        <f t="shared" si="29"/>
        <v>PPAddIban6@mailinator.com</v>
      </c>
      <c r="X154" s="120" t="str">
        <f t="shared" si="30"/>
        <v>PPAddIban7@mailinator.com</v>
      </c>
      <c r="Y154" s="121" t="str">
        <f t="shared" si="31"/>
        <v>Dummy!2022</v>
      </c>
      <c r="Z154" s="121" t="str">
        <f t="shared" si="32"/>
        <v>020-8055556</v>
      </c>
      <c r="AA154" s="120" t="s">
        <v>1225</v>
      </c>
      <c r="AB154" s="120" t="s">
        <v>986</v>
      </c>
      <c r="AQ154" s="119" t="str">
        <f t="shared" si="33"/>
        <v>PPAddIban6@mailinator.com</v>
      </c>
      <c r="AR154" s="119" t="str">
        <f t="shared" si="34"/>
        <v>PPAddIban7@mailinator.com</v>
      </c>
    </row>
    <row r="155" spans="1:44" ht="27.6" x14ac:dyDescent="0.3">
      <c r="A155" s="120" t="s">
        <v>1226</v>
      </c>
      <c r="B155" s="120" t="s">
        <v>615</v>
      </c>
      <c r="C155" s="120" t="s">
        <v>1028</v>
      </c>
      <c r="D155" s="120" t="s">
        <v>1123</v>
      </c>
      <c r="E155" s="120" t="s">
        <v>1076</v>
      </c>
      <c r="F155" s="120" t="s">
        <v>31</v>
      </c>
      <c r="G155" s="120" t="s">
        <v>984</v>
      </c>
      <c r="H155" s="120"/>
      <c r="I155" s="120"/>
      <c r="J155" s="120"/>
      <c r="K155" s="121" t="str">
        <f t="shared" si="24"/>
        <v>RIGNALL</v>
      </c>
      <c r="L155" s="121" t="str">
        <f t="shared" si="25"/>
        <v>CICCHETTO</v>
      </c>
      <c r="M155" s="121">
        <f t="shared" si="35"/>
        <v>19209</v>
      </c>
      <c r="N155" s="121">
        <f t="shared" si="26"/>
        <v>22469</v>
      </c>
      <c r="O155" s="121" t="str">
        <f t="shared" si="27"/>
        <v>242600948</v>
      </c>
      <c r="P155" s="121" t="str">
        <f t="shared" si="28"/>
        <v>242600999</v>
      </c>
      <c r="Q155" s="120" t="s">
        <v>1015</v>
      </c>
      <c r="R155" s="120" t="s">
        <v>1016</v>
      </c>
      <c r="S155" s="120" t="s">
        <v>1017</v>
      </c>
      <c r="T155" s="120" t="s">
        <v>1018</v>
      </c>
      <c r="U155" s="120" t="s">
        <v>1019</v>
      </c>
      <c r="V155" s="120"/>
      <c r="W155" s="122" t="str">
        <f t="shared" si="29"/>
        <v>PPAddIban6@mailinator.com</v>
      </c>
      <c r="X155" s="120" t="str">
        <f t="shared" si="30"/>
        <v>PPAddIban7@mailinator.com</v>
      </c>
      <c r="Y155" s="121" t="str">
        <f t="shared" si="31"/>
        <v>Dummy!2022</v>
      </c>
      <c r="Z155" s="121" t="str">
        <f t="shared" si="32"/>
        <v>020-8055556</v>
      </c>
      <c r="AA155" s="120" t="s">
        <v>1227</v>
      </c>
      <c r="AB155" s="120" t="s">
        <v>986</v>
      </c>
      <c r="AQ155" s="119" t="str">
        <f t="shared" si="33"/>
        <v>PPAddIban6@mailinator.com</v>
      </c>
      <c r="AR155" s="119" t="str">
        <f t="shared" si="34"/>
        <v>PPAddIban7@mailinator.com</v>
      </c>
    </row>
    <row r="156" spans="1:44" ht="27.6" x14ac:dyDescent="0.3">
      <c r="A156" s="120" t="s">
        <v>1228</v>
      </c>
      <c r="B156" s="120" t="s">
        <v>615</v>
      </c>
      <c r="C156" s="120" t="s">
        <v>1032</v>
      </c>
      <c r="D156" s="120" t="s">
        <v>1123</v>
      </c>
      <c r="E156" s="120" t="s">
        <v>1076</v>
      </c>
      <c r="F156" s="120" t="s">
        <v>31</v>
      </c>
      <c r="G156" s="120" t="s">
        <v>993</v>
      </c>
      <c r="H156" s="120" t="s">
        <v>985</v>
      </c>
      <c r="I156" s="120"/>
      <c r="J156" s="120"/>
      <c r="K156" s="121" t="str">
        <f t="shared" si="24"/>
        <v>RIGNALL</v>
      </c>
      <c r="L156" s="121" t="str">
        <f t="shared" si="25"/>
        <v>CICCHETTO</v>
      </c>
      <c r="M156" s="121">
        <f t="shared" si="35"/>
        <v>19209</v>
      </c>
      <c r="N156" s="121">
        <f t="shared" si="26"/>
        <v>22469</v>
      </c>
      <c r="O156" s="121" t="str">
        <f t="shared" si="27"/>
        <v>242600948</v>
      </c>
      <c r="P156" s="121" t="str">
        <f t="shared" si="28"/>
        <v>242600999</v>
      </c>
      <c r="Q156" s="120" t="s">
        <v>1015</v>
      </c>
      <c r="R156" s="120" t="s">
        <v>1016</v>
      </c>
      <c r="S156" s="120" t="s">
        <v>1054</v>
      </c>
      <c r="T156" s="120" t="s">
        <v>1018</v>
      </c>
      <c r="U156" s="120" t="s">
        <v>1019</v>
      </c>
      <c r="V156" s="120"/>
      <c r="W156" s="122" t="str">
        <f t="shared" si="29"/>
        <v>PPAddIban6@mailinator.com</v>
      </c>
      <c r="X156" s="120" t="str">
        <f t="shared" si="30"/>
        <v>PPAddIban7@mailinator.com</v>
      </c>
      <c r="Y156" s="121" t="str">
        <f t="shared" si="31"/>
        <v>Dummy!2022</v>
      </c>
      <c r="Z156" s="121" t="str">
        <f t="shared" si="32"/>
        <v>020-8055556</v>
      </c>
      <c r="AA156" s="120" t="s">
        <v>1229</v>
      </c>
      <c r="AB156" s="120" t="s">
        <v>986</v>
      </c>
      <c r="AQ156" s="119" t="str">
        <f t="shared" si="33"/>
        <v>PPAddIban6@mailinator.com</v>
      </c>
      <c r="AR156" s="119" t="str">
        <f t="shared" si="34"/>
        <v>PPAddIban7@mailinator.com</v>
      </c>
    </row>
    <row r="157" spans="1:44" ht="41.4" x14ac:dyDescent="0.3">
      <c r="A157" s="120" t="s">
        <v>1230</v>
      </c>
      <c r="B157" s="120" t="s">
        <v>615</v>
      </c>
      <c r="C157" s="120" t="s">
        <v>1021</v>
      </c>
      <c r="D157" s="120" t="s">
        <v>1123</v>
      </c>
      <c r="E157" s="120" t="s">
        <v>1076</v>
      </c>
      <c r="F157" s="120" t="s">
        <v>31</v>
      </c>
      <c r="G157" s="120" t="s">
        <v>998</v>
      </c>
      <c r="H157" s="120" t="s">
        <v>999</v>
      </c>
      <c r="I157" s="120"/>
      <c r="J157" s="120"/>
      <c r="K157" s="121" t="str">
        <f t="shared" si="24"/>
        <v>RIGNALL</v>
      </c>
      <c r="L157" s="121" t="str">
        <f t="shared" si="25"/>
        <v>CICCHETTO</v>
      </c>
      <c r="M157" s="121">
        <f t="shared" si="35"/>
        <v>19209</v>
      </c>
      <c r="N157" s="121">
        <f t="shared" si="26"/>
        <v>22469</v>
      </c>
      <c r="O157" s="121" t="str">
        <f t="shared" si="27"/>
        <v>242600948</v>
      </c>
      <c r="P157" s="121" t="str">
        <f t="shared" si="28"/>
        <v>242600999</v>
      </c>
      <c r="Q157" s="120" t="s">
        <v>1015</v>
      </c>
      <c r="R157" s="120" t="s">
        <v>1016</v>
      </c>
      <c r="S157" s="120" t="s">
        <v>1056</v>
      </c>
      <c r="T157" s="120" t="s">
        <v>1018</v>
      </c>
      <c r="U157" s="120" t="s">
        <v>1019</v>
      </c>
      <c r="V157" s="120"/>
      <c r="W157" s="122" t="str">
        <f t="shared" si="29"/>
        <v>PPAddIban6@mailinator.com</v>
      </c>
      <c r="X157" s="120" t="str">
        <f t="shared" si="30"/>
        <v>PPAddIban7@mailinator.com</v>
      </c>
      <c r="Y157" s="121" t="str">
        <f t="shared" si="31"/>
        <v>Dummy!2022</v>
      </c>
      <c r="Z157" s="121" t="str">
        <f t="shared" si="32"/>
        <v>020-8055556</v>
      </c>
      <c r="AA157" s="120" t="s">
        <v>1231</v>
      </c>
      <c r="AB157" s="120" t="s">
        <v>986</v>
      </c>
      <c r="AQ157" s="119" t="str">
        <f t="shared" si="33"/>
        <v>PPAddIban6@mailinator.com</v>
      </c>
      <c r="AR157" s="119" t="str">
        <f t="shared" si="34"/>
        <v>PPAddIban7@mailinator.com</v>
      </c>
    </row>
    <row r="158" spans="1:44" ht="27.6" x14ac:dyDescent="0.3">
      <c r="A158" s="120" t="s">
        <v>1232</v>
      </c>
      <c r="B158" s="120" t="s">
        <v>980</v>
      </c>
      <c r="C158" s="120" t="s">
        <v>981</v>
      </c>
      <c r="D158" s="120" t="s">
        <v>1123</v>
      </c>
      <c r="E158" s="120" t="s">
        <v>1093</v>
      </c>
      <c r="F158" s="120"/>
      <c r="G158" s="120" t="s">
        <v>1006</v>
      </c>
      <c r="H158" s="120" t="s">
        <v>985</v>
      </c>
      <c r="I158" s="120"/>
      <c r="J158" s="120"/>
      <c r="K158" s="121" t="str">
        <f t="shared" si="24"/>
        <v>BOURNE</v>
      </c>
      <c r="L158" s="121" t="str">
        <f t="shared" si="25"/>
        <v>CICCHETTO</v>
      </c>
      <c r="M158" s="121">
        <f t="shared" si="35"/>
        <v>22626</v>
      </c>
      <c r="N158" s="121">
        <f t="shared" si="26"/>
        <v>22469</v>
      </c>
      <c r="O158" s="121" t="str">
        <f t="shared" si="27"/>
        <v>242599915</v>
      </c>
      <c r="P158" s="121" t="str">
        <f t="shared" si="28"/>
        <v>242600999</v>
      </c>
      <c r="Q158" s="120"/>
      <c r="R158" s="120"/>
      <c r="S158" s="120"/>
      <c r="T158" s="120"/>
      <c r="U158" s="120"/>
      <c r="V158" s="120"/>
      <c r="W158" s="122" t="str">
        <f t="shared" si="29"/>
        <v>PPAddIban16@mailinator.com</v>
      </c>
      <c r="X158" s="120" t="str">
        <f t="shared" si="30"/>
        <v>PPAddIban7@mailinator.com</v>
      </c>
      <c r="Y158" s="121" t="str">
        <f t="shared" si="31"/>
        <v>Dummy!2022</v>
      </c>
      <c r="Z158" s="121" t="str">
        <f t="shared" si="32"/>
        <v>020-8055516</v>
      </c>
      <c r="AA158" s="120" t="s">
        <v>1233</v>
      </c>
      <c r="AB158" s="120" t="s">
        <v>986</v>
      </c>
      <c r="AQ158" s="119" t="str">
        <f t="shared" si="33"/>
        <v>PPAddIban16@mailinator.com</v>
      </c>
      <c r="AR158" s="119" t="str">
        <f t="shared" si="34"/>
        <v>PPAddIban7@mailinator.com</v>
      </c>
    </row>
    <row r="159" spans="1:44" ht="27.6" x14ac:dyDescent="0.3">
      <c r="A159" s="120" t="s">
        <v>1234</v>
      </c>
      <c r="B159" s="120" t="s">
        <v>992</v>
      </c>
      <c r="C159" s="120" t="s">
        <v>22</v>
      </c>
      <c r="D159" s="120" t="s">
        <v>1123</v>
      </c>
      <c r="E159" s="120" t="s">
        <v>1093</v>
      </c>
      <c r="F159" s="120"/>
      <c r="G159" s="120" t="s">
        <v>1012</v>
      </c>
      <c r="H159" s="120"/>
      <c r="I159" s="120"/>
      <c r="J159" s="120"/>
      <c r="K159" s="121" t="str">
        <f t="shared" si="24"/>
        <v>BOURNE</v>
      </c>
      <c r="L159" s="121" t="str">
        <f t="shared" si="25"/>
        <v>CICCHETTO</v>
      </c>
      <c r="M159" s="121">
        <f t="shared" si="35"/>
        <v>22626</v>
      </c>
      <c r="N159" s="121">
        <f t="shared" si="26"/>
        <v>22469</v>
      </c>
      <c r="O159" s="121" t="str">
        <f t="shared" si="27"/>
        <v>242599915</v>
      </c>
      <c r="P159" s="121" t="str">
        <f t="shared" si="28"/>
        <v>242600999</v>
      </c>
      <c r="Q159" s="120"/>
      <c r="R159" s="120"/>
      <c r="S159" s="120"/>
      <c r="T159" s="120"/>
      <c r="U159" s="120"/>
      <c r="V159" s="120"/>
      <c r="W159" s="122" t="str">
        <f t="shared" si="29"/>
        <v>PPAddIban16@mailinator.com</v>
      </c>
      <c r="X159" s="120" t="str">
        <f t="shared" si="30"/>
        <v>PPAddIban7@mailinator.com</v>
      </c>
      <c r="Y159" s="121" t="str">
        <f t="shared" si="31"/>
        <v>Dummy!2022</v>
      </c>
      <c r="Z159" s="121" t="str">
        <f t="shared" si="32"/>
        <v>020-8055516</v>
      </c>
      <c r="AA159" s="120" t="s">
        <v>1235</v>
      </c>
      <c r="AB159" s="120" t="s">
        <v>986</v>
      </c>
      <c r="AQ159" s="119" t="str">
        <f t="shared" si="33"/>
        <v>PPAddIban16@mailinator.com</v>
      </c>
      <c r="AR159" s="119" t="str">
        <f t="shared" si="34"/>
        <v>PPAddIban7@mailinator.com</v>
      </c>
    </row>
    <row r="160" spans="1:44" ht="27.6" x14ac:dyDescent="0.3">
      <c r="A160" s="120" t="s">
        <v>1236</v>
      </c>
      <c r="B160" s="120" t="s">
        <v>615</v>
      </c>
      <c r="C160" s="120" t="s">
        <v>997</v>
      </c>
      <c r="D160" s="120" t="s">
        <v>1123</v>
      </c>
      <c r="E160" s="120" t="s">
        <v>1093</v>
      </c>
      <c r="F160" s="120"/>
      <c r="G160" s="120" t="s">
        <v>1022</v>
      </c>
      <c r="H160" s="120" t="s">
        <v>999</v>
      </c>
      <c r="I160" s="120"/>
      <c r="J160" s="120"/>
      <c r="K160" s="121" t="str">
        <f t="shared" si="24"/>
        <v>BOURNE</v>
      </c>
      <c r="L160" s="121" t="str">
        <f t="shared" si="25"/>
        <v>CICCHETTO</v>
      </c>
      <c r="M160" s="121">
        <f t="shared" si="35"/>
        <v>22626</v>
      </c>
      <c r="N160" s="121">
        <f t="shared" si="26"/>
        <v>22469</v>
      </c>
      <c r="O160" s="121" t="str">
        <f t="shared" si="27"/>
        <v>242599915</v>
      </c>
      <c r="P160" s="121" t="str">
        <f t="shared" si="28"/>
        <v>242600999</v>
      </c>
      <c r="Q160" s="120"/>
      <c r="R160" s="120"/>
      <c r="S160" s="120"/>
      <c r="T160" s="120"/>
      <c r="U160" s="120"/>
      <c r="V160" s="120"/>
      <c r="W160" s="122" t="str">
        <f t="shared" si="29"/>
        <v>PPAddIban16@mailinator.com</v>
      </c>
      <c r="X160" s="120" t="str">
        <f t="shared" si="30"/>
        <v>PPAddIban7@mailinator.com</v>
      </c>
      <c r="Y160" s="121" t="str">
        <f t="shared" si="31"/>
        <v>Dummy!2022</v>
      </c>
      <c r="Z160" s="121" t="str">
        <f t="shared" si="32"/>
        <v>020-8055516</v>
      </c>
      <c r="AA160" s="120" t="s">
        <v>1237</v>
      </c>
      <c r="AB160" s="120" t="s">
        <v>986</v>
      </c>
      <c r="AQ160" s="119" t="str">
        <f t="shared" si="33"/>
        <v>PPAddIban16@mailinator.com</v>
      </c>
      <c r="AR160" s="119" t="str">
        <f t="shared" si="34"/>
        <v>PPAddIban7@mailinator.com</v>
      </c>
    </row>
    <row r="161" spans="1:44" ht="27.6" x14ac:dyDescent="0.3">
      <c r="A161" s="120" t="s">
        <v>1238</v>
      </c>
      <c r="B161" s="120" t="s">
        <v>615</v>
      </c>
      <c r="C161" s="120" t="s">
        <v>1005</v>
      </c>
      <c r="D161" s="120" t="s">
        <v>1123</v>
      </c>
      <c r="E161" s="120" t="s">
        <v>1093</v>
      </c>
      <c r="F161" s="120"/>
      <c r="G161" s="120" t="s">
        <v>1029</v>
      </c>
      <c r="H161" s="120" t="s">
        <v>1007</v>
      </c>
      <c r="I161" s="120"/>
      <c r="J161" s="120"/>
      <c r="K161" s="121" t="str">
        <f t="shared" si="24"/>
        <v>BOURNE</v>
      </c>
      <c r="L161" s="121" t="str">
        <f t="shared" si="25"/>
        <v>CICCHETTO</v>
      </c>
      <c r="M161" s="121">
        <f t="shared" si="35"/>
        <v>22626</v>
      </c>
      <c r="N161" s="121">
        <f t="shared" si="26"/>
        <v>22469</v>
      </c>
      <c r="O161" s="121" t="str">
        <f t="shared" si="27"/>
        <v>242599915</v>
      </c>
      <c r="P161" s="121" t="str">
        <f t="shared" si="28"/>
        <v>242600999</v>
      </c>
      <c r="Q161" s="120"/>
      <c r="R161" s="120"/>
      <c r="S161" s="120"/>
      <c r="T161" s="120"/>
      <c r="U161" s="120"/>
      <c r="V161" s="120"/>
      <c r="W161" s="122" t="str">
        <f t="shared" si="29"/>
        <v>PPAddIban16@mailinator.com</v>
      </c>
      <c r="X161" s="120" t="str">
        <f t="shared" si="30"/>
        <v>PPAddIban7@mailinator.com</v>
      </c>
      <c r="Y161" s="121" t="str">
        <f t="shared" si="31"/>
        <v>Dummy!2022</v>
      </c>
      <c r="Z161" s="121" t="str">
        <f t="shared" si="32"/>
        <v>020-8055516</v>
      </c>
      <c r="AA161" s="120" t="s">
        <v>1239</v>
      </c>
      <c r="AB161" s="120" t="s">
        <v>986</v>
      </c>
      <c r="AQ161" s="119" t="str">
        <f t="shared" si="33"/>
        <v>PPAddIban16@mailinator.com</v>
      </c>
      <c r="AR161" s="119" t="str">
        <f t="shared" si="34"/>
        <v>PPAddIban7@mailinator.com</v>
      </c>
    </row>
    <row r="162" spans="1:44" ht="41.4" x14ac:dyDescent="0.3">
      <c r="A162" s="120" t="s">
        <v>1240</v>
      </c>
      <c r="B162" s="120" t="s">
        <v>615</v>
      </c>
      <c r="C162" s="120" t="s">
        <v>1021</v>
      </c>
      <c r="D162" s="120" t="s">
        <v>1123</v>
      </c>
      <c r="E162" s="120" t="s">
        <v>1093</v>
      </c>
      <c r="F162" s="120" t="s">
        <v>72</v>
      </c>
      <c r="G162" s="120" t="s">
        <v>1033</v>
      </c>
      <c r="H162" s="120" t="s">
        <v>985</v>
      </c>
      <c r="I162" s="120"/>
      <c r="J162" s="120"/>
      <c r="K162" s="121" t="str">
        <f t="shared" si="24"/>
        <v>BOURNE</v>
      </c>
      <c r="L162" s="121" t="str">
        <f t="shared" si="25"/>
        <v>CICCHETTO</v>
      </c>
      <c r="M162" s="121">
        <f t="shared" si="35"/>
        <v>22626</v>
      </c>
      <c r="N162" s="121">
        <f t="shared" si="26"/>
        <v>22469</v>
      </c>
      <c r="O162" s="121" t="str">
        <f t="shared" si="27"/>
        <v>242599915</v>
      </c>
      <c r="P162" s="121" t="str">
        <f t="shared" si="28"/>
        <v>242600999</v>
      </c>
      <c r="Q162" s="120" t="s">
        <v>1015</v>
      </c>
      <c r="R162" s="120" t="s">
        <v>1016</v>
      </c>
      <c r="S162" s="120" t="s">
        <v>1017</v>
      </c>
      <c r="T162" s="120" t="s">
        <v>1018</v>
      </c>
      <c r="U162" s="120" t="s">
        <v>1019</v>
      </c>
      <c r="V162" s="120"/>
      <c r="W162" s="122" t="str">
        <f t="shared" si="29"/>
        <v>PPAddIban16@mailinator.com</v>
      </c>
      <c r="X162" s="120" t="str">
        <f t="shared" si="30"/>
        <v>PPAddIban7@mailinator.com</v>
      </c>
      <c r="Y162" s="121" t="str">
        <f t="shared" si="31"/>
        <v>Dummy!2022</v>
      </c>
      <c r="Z162" s="121" t="str">
        <f t="shared" si="32"/>
        <v>020-8055516</v>
      </c>
      <c r="AA162" s="120" t="s">
        <v>1241</v>
      </c>
      <c r="AB162" s="120" t="s">
        <v>986</v>
      </c>
      <c r="AQ162" s="119" t="str">
        <f t="shared" si="33"/>
        <v>PPAddIban16@mailinator.com</v>
      </c>
      <c r="AR162" s="119" t="str">
        <f t="shared" si="34"/>
        <v>PPAddIban7@mailinator.com</v>
      </c>
    </row>
    <row r="163" spans="1:44" ht="27.6" x14ac:dyDescent="0.3">
      <c r="A163" s="120" t="s">
        <v>1242</v>
      </c>
      <c r="B163" s="120" t="s">
        <v>615</v>
      </c>
      <c r="C163" s="120" t="s">
        <v>1028</v>
      </c>
      <c r="D163" s="120" t="s">
        <v>1123</v>
      </c>
      <c r="E163" s="120" t="s">
        <v>1093</v>
      </c>
      <c r="F163" s="120" t="s">
        <v>72</v>
      </c>
      <c r="G163" s="120" t="s">
        <v>985</v>
      </c>
      <c r="H163" s="120"/>
      <c r="I163" s="120"/>
      <c r="J163" s="120"/>
      <c r="K163" s="121" t="str">
        <f t="shared" si="24"/>
        <v>BOURNE</v>
      </c>
      <c r="L163" s="121" t="str">
        <f t="shared" si="25"/>
        <v>CICCHETTO</v>
      </c>
      <c r="M163" s="121">
        <f t="shared" si="35"/>
        <v>22626</v>
      </c>
      <c r="N163" s="121">
        <f t="shared" si="26"/>
        <v>22469</v>
      </c>
      <c r="O163" s="121" t="str">
        <f t="shared" si="27"/>
        <v>242599915</v>
      </c>
      <c r="P163" s="121" t="str">
        <f t="shared" si="28"/>
        <v>242600999</v>
      </c>
      <c r="Q163" s="120" t="s">
        <v>1015</v>
      </c>
      <c r="R163" s="120" t="s">
        <v>1016</v>
      </c>
      <c r="S163" s="120" t="s">
        <v>1017</v>
      </c>
      <c r="T163" s="120" t="s">
        <v>1018</v>
      </c>
      <c r="U163" s="120" t="s">
        <v>1019</v>
      </c>
      <c r="V163" s="120"/>
      <c r="W163" s="122" t="str">
        <f t="shared" si="29"/>
        <v>PPAddIban16@mailinator.com</v>
      </c>
      <c r="X163" s="120" t="str">
        <f t="shared" si="30"/>
        <v>PPAddIban7@mailinator.com</v>
      </c>
      <c r="Y163" s="121" t="str">
        <f t="shared" si="31"/>
        <v>Dummy!2022</v>
      </c>
      <c r="Z163" s="121" t="str">
        <f t="shared" si="32"/>
        <v>020-8055516</v>
      </c>
      <c r="AA163" s="120" t="s">
        <v>1243</v>
      </c>
      <c r="AB163" s="120" t="s">
        <v>986</v>
      </c>
      <c r="AQ163" s="119" t="str">
        <f t="shared" si="33"/>
        <v>PPAddIban16@mailinator.com</v>
      </c>
      <c r="AR163" s="119" t="str">
        <f t="shared" si="34"/>
        <v>PPAddIban7@mailinator.com</v>
      </c>
    </row>
    <row r="164" spans="1:44" ht="27.6" x14ac:dyDescent="0.3">
      <c r="A164" s="120" t="s">
        <v>1244</v>
      </c>
      <c r="B164" s="120" t="s">
        <v>615</v>
      </c>
      <c r="C164" s="120" t="s">
        <v>1028</v>
      </c>
      <c r="D164" s="120" t="s">
        <v>1123</v>
      </c>
      <c r="E164" s="120" t="s">
        <v>1093</v>
      </c>
      <c r="F164" s="120" t="s">
        <v>31</v>
      </c>
      <c r="G164" s="120" t="s">
        <v>984</v>
      </c>
      <c r="H164" s="120"/>
      <c r="I164" s="120"/>
      <c r="J164" s="120"/>
      <c r="K164" s="121" t="str">
        <f t="shared" si="24"/>
        <v>BOURNE</v>
      </c>
      <c r="L164" s="121" t="str">
        <f t="shared" si="25"/>
        <v>CICCHETTO</v>
      </c>
      <c r="M164" s="121">
        <f t="shared" si="35"/>
        <v>22626</v>
      </c>
      <c r="N164" s="121">
        <f t="shared" si="26"/>
        <v>22469</v>
      </c>
      <c r="O164" s="121" t="str">
        <f t="shared" si="27"/>
        <v>242599915</v>
      </c>
      <c r="P164" s="121" t="str">
        <f t="shared" si="28"/>
        <v>242600999</v>
      </c>
      <c r="Q164" s="120" t="s">
        <v>1015</v>
      </c>
      <c r="R164" s="120" t="s">
        <v>1016</v>
      </c>
      <c r="S164" s="120" t="s">
        <v>1017</v>
      </c>
      <c r="T164" s="120" t="s">
        <v>1018</v>
      </c>
      <c r="U164" s="120" t="s">
        <v>1019</v>
      </c>
      <c r="V164" s="120"/>
      <c r="W164" s="122" t="str">
        <f t="shared" si="29"/>
        <v>PPAddIban16@mailinator.com</v>
      </c>
      <c r="X164" s="120" t="str">
        <f t="shared" si="30"/>
        <v>PPAddIban7@mailinator.com</v>
      </c>
      <c r="Y164" s="121" t="str">
        <f t="shared" si="31"/>
        <v>Dummy!2022</v>
      </c>
      <c r="Z164" s="121" t="str">
        <f t="shared" si="32"/>
        <v>020-8055516</v>
      </c>
      <c r="AA164" s="120" t="s">
        <v>1245</v>
      </c>
      <c r="AB164" s="120" t="s">
        <v>986</v>
      </c>
      <c r="AQ164" s="119" t="str">
        <f t="shared" si="33"/>
        <v>PPAddIban16@mailinator.com</v>
      </c>
      <c r="AR164" s="119" t="str">
        <f t="shared" si="34"/>
        <v>PPAddIban7@mailinator.com</v>
      </c>
    </row>
    <row r="165" spans="1:44" ht="27.6" x14ac:dyDescent="0.3">
      <c r="A165" s="120" t="s">
        <v>1246</v>
      </c>
      <c r="B165" s="120" t="s">
        <v>615</v>
      </c>
      <c r="C165" s="120" t="s">
        <v>1032</v>
      </c>
      <c r="D165" s="120" t="s">
        <v>1123</v>
      </c>
      <c r="E165" s="120" t="s">
        <v>1093</v>
      </c>
      <c r="F165" s="120" t="s">
        <v>31</v>
      </c>
      <c r="G165" s="120" t="s">
        <v>993</v>
      </c>
      <c r="H165" s="120" t="s">
        <v>985</v>
      </c>
      <c r="I165" s="120"/>
      <c r="J165" s="120"/>
      <c r="K165" s="121" t="str">
        <f t="shared" si="24"/>
        <v>BOURNE</v>
      </c>
      <c r="L165" s="121" t="str">
        <f t="shared" si="25"/>
        <v>CICCHETTO</v>
      </c>
      <c r="M165" s="121">
        <f t="shared" si="35"/>
        <v>22626</v>
      </c>
      <c r="N165" s="121">
        <f t="shared" si="26"/>
        <v>22469</v>
      </c>
      <c r="O165" s="121" t="str">
        <f t="shared" si="27"/>
        <v>242599915</v>
      </c>
      <c r="P165" s="121" t="str">
        <f t="shared" si="28"/>
        <v>242600999</v>
      </c>
      <c r="Q165" s="120" t="s">
        <v>1015</v>
      </c>
      <c r="R165" s="120" t="s">
        <v>1016</v>
      </c>
      <c r="S165" s="120" t="s">
        <v>1054</v>
      </c>
      <c r="T165" s="120" t="s">
        <v>1018</v>
      </c>
      <c r="U165" s="120" t="s">
        <v>1019</v>
      </c>
      <c r="V165" s="120"/>
      <c r="W165" s="122" t="str">
        <f t="shared" si="29"/>
        <v>PPAddIban16@mailinator.com</v>
      </c>
      <c r="X165" s="120" t="str">
        <f t="shared" si="30"/>
        <v>PPAddIban7@mailinator.com</v>
      </c>
      <c r="Y165" s="121" t="str">
        <f t="shared" si="31"/>
        <v>Dummy!2022</v>
      </c>
      <c r="Z165" s="121" t="str">
        <f t="shared" si="32"/>
        <v>020-8055516</v>
      </c>
      <c r="AA165" s="126" t="s">
        <v>1247</v>
      </c>
      <c r="AB165" s="120" t="s">
        <v>986</v>
      </c>
      <c r="AQ165" s="119" t="str">
        <f t="shared" si="33"/>
        <v>PPAddIban16@mailinator.com</v>
      </c>
      <c r="AR165" s="119" t="str">
        <f t="shared" si="34"/>
        <v>PPAddIban7@mailinator.com</v>
      </c>
    </row>
    <row r="166" spans="1:44" ht="41.4" x14ac:dyDescent="0.3">
      <c r="A166" s="120" t="s">
        <v>1248</v>
      </c>
      <c r="B166" s="120" t="s">
        <v>615</v>
      </c>
      <c r="C166" s="120" t="s">
        <v>1021</v>
      </c>
      <c r="D166" s="120" t="s">
        <v>1123</v>
      </c>
      <c r="E166" s="120" t="s">
        <v>1093</v>
      </c>
      <c r="F166" s="120" t="s">
        <v>31</v>
      </c>
      <c r="G166" s="120" t="s">
        <v>998</v>
      </c>
      <c r="H166" s="120" t="s">
        <v>999</v>
      </c>
      <c r="I166" s="120"/>
      <c r="J166" s="120"/>
      <c r="K166" s="121" t="str">
        <f t="shared" si="24"/>
        <v>BOURNE</v>
      </c>
      <c r="L166" s="121" t="str">
        <f t="shared" si="25"/>
        <v>CICCHETTO</v>
      </c>
      <c r="M166" s="121">
        <f t="shared" si="35"/>
        <v>22626</v>
      </c>
      <c r="N166" s="121">
        <f t="shared" si="26"/>
        <v>22469</v>
      </c>
      <c r="O166" s="121" t="str">
        <f t="shared" si="27"/>
        <v>242599915</v>
      </c>
      <c r="P166" s="121" t="str">
        <f t="shared" si="28"/>
        <v>242600999</v>
      </c>
      <c r="Q166" s="120" t="s">
        <v>1015</v>
      </c>
      <c r="R166" s="120" t="s">
        <v>1016</v>
      </c>
      <c r="S166" s="120" t="s">
        <v>1056</v>
      </c>
      <c r="T166" s="120" t="s">
        <v>1018</v>
      </c>
      <c r="U166" s="120" t="s">
        <v>1019</v>
      </c>
      <c r="V166" s="120"/>
      <c r="W166" s="122" t="str">
        <f t="shared" si="29"/>
        <v>PPAddIban16@mailinator.com</v>
      </c>
      <c r="X166" s="120" t="str">
        <f t="shared" si="30"/>
        <v>PPAddIban7@mailinator.com</v>
      </c>
      <c r="Y166" s="121" t="str">
        <f t="shared" si="31"/>
        <v>Dummy!2022</v>
      </c>
      <c r="Z166" s="121" t="str">
        <f t="shared" si="32"/>
        <v>020-8055516</v>
      </c>
      <c r="AA166" s="126" t="s">
        <v>1249</v>
      </c>
      <c r="AB166" s="120" t="s">
        <v>986</v>
      </c>
      <c r="AQ166" s="119" t="str">
        <f t="shared" si="33"/>
        <v>PPAddIban16@mailinator.com</v>
      </c>
      <c r="AR166" s="119" t="str">
        <f t="shared" si="34"/>
        <v>PPAddIban7@mailinator.com</v>
      </c>
    </row>
    <row r="167" spans="1:44" ht="27.6" x14ac:dyDescent="0.3">
      <c r="A167" s="120" t="s">
        <v>1250</v>
      </c>
      <c r="B167" s="120" t="s">
        <v>980</v>
      </c>
      <c r="C167" s="120" t="s">
        <v>981</v>
      </c>
      <c r="D167" s="120" t="s">
        <v>1123</v>
      </c>
      <c r="E167" s="120" t="s">
        <v>1105</v>
      </c>
      <c r="F167" s="120"/>
      <c r="G167" s="120" t="s">
        <v>1006</v>
      </c>
      <c r="H167" s="120" t="s">
        <v>985</v>
      </c>
      <c r="I167" s="120"/>
      <c r="J167" s="120"/>
      <c r="K167" s="121" t="str">
        <f t="shared" si="24"/>
        <v>RIGNALL</v>
      </c>
      <c r="L167" s="121" t="str">
        <f t="shared" si="25"/>
        <v>DE GLANVILLE</v>
      </c>
      <c r="M167" s="121">
        <f t="shared" si="35"/>
        <v>19209</v>
      </c>
      <c r="N167" s="121">
        <f t="shared" si="26"/>
        <v>27439</v>
      </c>
      <c r="O167" s="121" t="str">
        <f t="shared" si="27"/>
        <v>242600948</v>
      </c>
      <c r="P167" s="121" t="str">
        <f t="shared" si="28"/>
        <v>242596037</v>
      </c>
      <c r="Q167" s="120"/>
      <c r="R167" s="120"/>
      <c r="S167" s="120"/>
      <c r="T167" s="120"/>
      <c r="U167" s="120"/>
      <c r="V167" s="120"/>
      <c r="W167" s="122" t="str">
        <f t="shared" si="29"/>
        <v>PPAddIban6@mailinator.com</v>
      </c>
      <c r="X167" s="120" t="str">
        <f t="shared" si="30"/>
        <v>RebrandAutomationUser7@mailinator.com</v>
      </c>
      <c r="Y167" s="121" t="str">
        <f t="shared" si="31"/>
        <v>Dummy!2022</v>
      </c>
      <c r="Z167" s="121" t="str">
        <f t="shared" si="32"/>
        <v>020-8055556</v>
      </c>
      <c r="AA167" s="126" t="s">
        <v>1251</v>
      </c>
      <c r="AB167" s="120" t="s">
        <v>986</v>
      </c>
      <c r="AQ167" s="119" t="str">
        <f t="shared" si="33"/>
        <v>PPAddIban6@mailinator.com</v>
      </c>
      <c r="AR167" s="119" t="str">
        <f t="shared" si="34"/>
        <v>RebrandAutomationUser7@mailinator.com</v>
      </c>
    </row>
    <row r="168" spans="1:44" ht="27.6" x14ac:dyDescent="0.3">
      <c r="A168" s="120" t="s">
        <v>1252</v>
      </c>
      <c r="B168" s="120" t="s">
        <v>992</v>
      </c>
      <c r="C168" s="120" t="s">
        <v>22</v>
      </c>
      <c r="D168" s="120" t="s">
        <v>1123</v>
      </c>
      <c r="E168" s="120" t="s">
        <v>1105</v>
      </c>
      <c r="F168" s="120"/>
      <c r="G168" s="120" t="s">
        <v>1012</v>
      </c>
      <c r="H168" s="120"/>
      <c r="I168" s="120"/>
      <c r="J168" s="120"/>
      <c r="K168" s="121" t="str">
        <f t="shared" si="24"/>
        <v>RIGNALL</v>
      </c>
      <c r="L168" s="121" t="str">
        <f t="shared" si="25"/>
        <v>DE GLANVILLE</v>
      </c>
      <c r="M168" s="121">
        <f t="shared" si="35"/>
        <v>19209</v>
      </c>
      <c r="N168" s="121">
        <f t="shared" si="26"/>
        <v>27439</v>
      </c>
      <c r="O168" s="121" t="str">
        <f t="shared" si="27"/>
        <v>242600948</v>
      </c>
      <c r="P168" s="121" t="str">
        <f t="shared" si="28"/>
        <v>242596037</v>
      </c>
      <c r="Q168" s="120"/>
      <c r="R168" s="120"/>
      <c r="S168" s="120"/>
      <c r="T168" s="120"/>
      <c r="U168" s="120"/>
      <c r="V168" s="120"/>
      <c r="W168" s="122" t="str">
        <f t="shared" si="29"/>
        <v>PPAddIban6@mailinator.com</v>
      </c>
      <c r="X168" s="120" t="str">
        <f t="shared" si="30"/>
        <v>RebrandAutomationUser7@mailinator.com</v>
      </c>
      <c r="Y168" s="121" t="str">
        <f t="shared" si="31"/>
        <v>Dummy!2022</v>
      </c>
      <c r="Z168" s="121" t="str">
        <f t="shared" si="32"/>
        <v>020-8055556</v>
      </c>
      <c r="AA168" s="126" t="s">
        <v>1253</v>
      </c>
      <c r="AB168" s="120" t="s">
        <v>986</v>
      </c>
      <c r="AQ168" s="119" t="str">
        <f t="shared" si="33"/>
        <v>PPAddIban6@mailinator.com</v>
      </c>
      <c r="AR168" s="119" t="str">
        <f t="shared" si="34"/>
        <v>RebrandAutomationUser7@mailinator.com</v>
      </c>
    </row>
    <row r="169" spans="1:44" ht="27.6" x14ac:dyDescent="0.3">
      <c r="A169" s="120" t="s">
        <v>1254</v>
      </c>
      <c r="B169" s="120" t="s">
        <v>615</v>
      </c>
      <c r="C169" s="120" t="s">
        <v>997</v>
      </c>
      <c r="D169" s="120" t="s">
        <v>1123</v>
      </c>
      <c r="E169" s="120" t="s">
        <v>1105</v>
      </c>
      <c r="F169" s="120"/>
      <c r="G169" s="120" t="s">
        <v>1022</v>
      </c>
      <c r="H169" s="120" t="s">
        <v>999</v>
      </c>
      <c r="I169" s="120"/>
      <c r="J169" s="120"/>
      <c r="K169" s="121" t="str">
        <f t="shared" si="24"/>
        <v>RIGNALL</v>
      </c>
      <c r="L169" s="121" t="str">
        <f t="shared" si="25"/>
        <v>DE GLANVILLE</v>
      </c>
      <c r="M169" s="121">
        <f t="shared" si="35"/>
        <v>19209</v>
      </c>
      <c r="N169" s="121">
        <f t="shared" si="26"/>
        <v>27439</v>
      </c>
      <c r="O169" s="121" t="str">
        <f t="shared" si="27"/>
        <v>242600948</v>
      </c>
      <c r="P169" s="121" t="str">
        <f t="shared" si="28"/>
        <v>242596037</v>
      </c>
      <c r="Q169" s="120"/>
      <c r="R169" s="120"/>
      <c r="S169" s="120"/>
      <c r="T169" s="120"/>
      <c r="U169" s="120"/>
      <c r="V169" s="120"/>
      <c r="W169" s="122" t="str">
        <f t="shared" si="29"/>
        <v>PPAddIban6@mailinator.com</v>
      </c>
      <c r="X169" s="120" t="str">
        <f t="shared" si="30"/>
        <v>RebrandAutomationUser7@mailinator.com</v>
      </c>
      <c r="Y169" s="121" t="str">
        <f t="shared" si="31"/>
        <v>Dummy!2022</v>
      </c>
      <c r="Z169" s="121" t="str">
        <f t="shared" si="32"/>
        <v>020-8055556</v>
      </c>
      <c r="AA169" s="126" t="s">
        <v>1255</v>
      </c>
      <c r="AB169" s="120" t="s">
        <v>986</v>
      </c>
      <c r="AQ169" s="119" t="str">
        <f t="shared" si="33"/>
        <v>PPAddIban6@mailinator.com</v>
      </c>
      <c r="AR169" s="119" t="str">
        <f t="shared" si="34"/>
        <v>RebrandAutomationUser7@mailinator.com</v>
      </c>
    </row>
    <row r="170" spans="1:44" ht="27.6" x14ac:dyDescent="0.3">
      <c r="A170" s="120" t="s">
        <v>1256</v>
      </c>
      <c r="B170" s="120" t="s">
        <v>615</v>
      </c>
      <c r="C170" s="120" t="s">
        <v>1005</v>
      </c>
      <c r="D170" s="120" t="s">
        <v>1123</v>
      </c>
      <c r="E170" s="120" t="s">
        <v>1105</v>
      </c>
      <c r="F170" s="120"/>
      <c r="G170" s="120" t="s">
        <v>1029</v>
      </c>
      <c r="H170" s="120" t="s">
        <v>1007</v>
      </c>
      <c r="I170" s="120"/>
      <c r="J170" s="120"/>
      <c r="K170" s="121" t="str">
        <f t="shared" si="24"/>
        <v>RIGNALL</v>
      </c>
      <c r="L170" s="121" t="str">
        <f t="shared" si="25"/>
        <v>DE GLANVILLE</v>
      </c>
      <c r="M170" s="121">
        <f t="shared" si="35"/>
        <v>19209</v>
      </c>
      <c r="N170" s="121">
        <f t="shared" si="26"/>
        <v>27439</v>
      </c>
      <c r="O170" s="121" t="str">
        <f t="shared" si="27"/>
        <v>242600948</v>
      </c>
      <c r="P170" s="121" t="str">
        <f t="shared" si="28"/>
        <v>242596037</v>
      </c>
      <c r="Q170" s="120"/>
      <c r="R170" s="120"/>
      <c r="S170" s="120"/>
      <c r="T170" s="120"/>
      <c r="U170" s="120"/>
      <c r="V170" s="120"/>
      <c r="W170" s="122" t="str">
        <f t="shared" si="29"/>
        <v>PPAddIban6@mailinator.com</v>
      </c>
      <c r="X170" s="120" t="str">
        <f t="shared" si="30"/>
        <v>RebrandAutomationUser7@mailinator.com</v>
      </c>
      <c r="Y170" s="121" t="str">
        <f t="shared" si="31"/>
        <v>Dummy!2022</v>
      </c>
      <c r="Z170" s="121" t="str">
        <f t="shared" si="32"/>
        <v>020-8055556</v>
      </c>
      <c r="AA170" s="126" t="s">
        <v>1257</v>
      </c>
      <c r="AB170" s="120" t="s">
        <v>986</v>
      </c>
      <c r="AQ170" s="119" t="str">
        <f t="shared" si="33"/>
        <v>PPAddIban6@mailinator.com</v>
      </c>
      <c r="AR170" s="119" t="str">
        <f t="shared" si="34"/>
        <v>RebrandAutomationUser7@mailinator.com</v>
      </c>
    </row>
    <row r="171" spans="1:44" ht="41.4" x14ac:dyDescent="0.3">
      <c r="A171" s="120" t="s">
        <v>1258</v>
      </c>
      <c r="B171" s="120" t="s">
        <v>615</v>
      </c>
      <c r="C171" s="120" t="s">
        <v>1021</v>
      </c>
      <c r="D171" s="120" t="s">
        <v>1123</v>
      </c>
      <c r="E171" s="120" t="s">
        <v>1105</v>
      </c>
      <c r="F171" s="120" t="s">
        <v>72</v>
      </c>
      <c r="G171" s="120" t="s">
        <v>1033</v>
      </c>
      <c r="H171" s="120" t="s">
        <v>985</v>
      </c>
      <c r="I171" s="120"/>
      <c r="J171" s="120"/>
      <c r="K171" s="121" t="str">
        <f t="shared" si="24"/>
        <v>RIGNALL</v>
      </c>
      <c r="L171" s="121" t="str">
        <f t="shared" si="25"/>
        <v>DE GLANVILLE</v>
      </c>
      <c r="M171" s="121">
        <f t="shared" si="35"/>
        <v>19209</v>
      </c>
      <c r="N171" s="121">
        <f t="shared" si="26"/>
        <v>27439</v>
      </c>
      <c r="O171" s="121" t="str">
        <f t="shared" si="27"/>
        <v>242600948</v>
      </c>
      <c r="P171" s="121" t="str">
        <f t="shared" si="28"/>
        <v>242596037</v>
      </c>
      <c r="Q171" s="120" t="s">
        <v>1015</v>
      </c>
      <c r="R171" s="120" t="s">
        <v>1016</v>
      </c>
      <c r="S171" s="120" t="s">
        <v>1017</v>
      </c>
      <c r="T171" s="120" t="s">
        <v>1018</v>
      </c>
      <c r="U171" s="120" t="s">
        <v>1019</v>
      </c>
      <c r="V171" s="120"/>
      <c r="W171" s="122" t="str">
        <f t="shared" si="29"/>
        <v>PPAddIban6@mailinator.com</v>
      </c>
      <c r="X171" s="120" t="str">
        <f t="shared" si="30"/>
        <v>RebrandAutomationUser7@mailinator.com</v>
      </c>
      <c r="Y171" s="121" t="str">
        <f t="shared" si="31"/>
        <v>Dummy!2022</v>
      </c>
      <c r="Z171" s="121" t="str">
        <f t="shared" si="32"/>
        <v>020-8055556</v>
      </c>
      <c r="AA171" s="126" t="s">
        <v>1259</v>
      </c>
      <c r="AB171" s="120" t="s">
        <v>986</v>
      </c>
      <c r="AQ171" s="119" t="str">
        <f t="shared" si="33"/>
        <v>PPAddIban6@mailinator.com</v>
      </c>
      <c r="AR171" s="119" t="str">
        <f t="shared" si="34"/>
        <v>RebrandAutomationUser7@mailinator.com</v>
      </c>
    </row>
    <row r="172" spans="1:44" ht="27.6" x14ac:dyDescent="0.3">
      <c r="A172" s="120" t="s">
        <v>1260</v>
      </c>
      <c r="B172" s="120" t="s">
        <v>615</v>
      </c>
      <c r="C172" s="120" t="s">
        <v>1028</v>
      </c>
      <c r="D172" s="120" t="s">
        <v>1123</v>
      </c>
      <c r="E172" s="120" t="s">
        <v>1105</v>
      </c>
      <c r="F172" s="120" t="s">
        <v>72</v>
      </c>
      <c r="G172" s="120" t="s">
        <v>985</v>
      </c>
      <c r="H172" s="120"/>
      <c r="I172" s="120"/>
      <c r="J172" s="120"/>
      <c r="K172" s="121" t="str">
        <f t="shared" si="24"/>
        <v>RIGNALL</v>
      </c>
      <c r="L172" s="121" t="str">
        <f t="shared" si="25"/>
        <v>DE GLANVILLE</v>
      </c>
      <c r="M172" s="121">
        <f t="shared" si="35"/>
        <v>19209</v>
      </c>
      <c r="N172" s="121">
        <f t="shared" si="26"/>
        <v>27439</v>
      </c>
      <c r="O172" s="121" t="str">
        <f t="shared" si="27"/>
        <v>242600948</v>
      </c>
      <c r="P172" s="121" t="str">
        <f t="shared" si="28"/>
        <v>242596037</v>
      </c>
      <c r="Q172" s="120" t="s">
        <v>1015</v>
      </c>
      <c r="R172" s="120" t="s">
        <v>1016</v>
      </c>
      <c r="S172" s="120" t="s">
        <v>1017</v>
      </c>
      <c r="T172" s="120" t="s">
        <v>1018</v>
      </c>
      <c r="U172" s="120" t="s">
        <v>1019</v>
      </c>
      <c r="V172" s="120"/>
      <c r="W172" s="122" t="str">
        <f t="shared" si="29"/>
        <v>PPAddIban6@mailinator.com</v>
      </c>
      <c r="X172" s="120" t="str">
        <f t="shared" si="30"/>
        <v>RebrandAutomationUser7@mailinator.com</v>
      </c>
      <c r="Y172" s="121" t="str">
        <f t="shared" si="31"/>
        <v>Dummy!2022</v>
      </c>
      <c r="Z172" s="121" t="str">
        <f t="shared" si="32"/>
        <v>020-8055556</v>
      </c>
      <c r="AA172" s="126" t="s">
        <v>1261</v>
      </c>
      <c r="AB172" s="120" t="s">
        <v>986</v>
      </c>
      <c r="AQ172" s="119" t="str">
        <f t="shared" si="33"/>
        <v>PPAddIban6@mailinator.com</v>
      </c>
      <c r="AR172" s="119" t="str">
        <f t="shared" si="34"/>
        <v>RebrandAutomationUser7@mailinator.com</v>
      </c>
    </row>
    <row r="173" spans="1:44" ht="27.6" x14ac:dyDescent="0.3">
      <c r="A173" s="120" t="s">
        <v>1262</v>
      </c>
      <c r="B173" s="120" t="s">
        <v>615</v>
      </c>
      <c r="C173" s="120" t="s">
        <v>1028</v>
      </c>
      <c r="D173" s="120" t="s">
        <v>1123</v>
      </c>
      <c r="E173" s="120" t="s">
        <v>1105</v>
      </c>
      <c r="F173" s="120" t="s">
        <v>31</v>
      </c>
      <c r="G173" s="120" t="s">
        <v>984</v>
      </c>
      <c r="H173" s="120"/>
      <c r="I173" s="120"/>
      <c r="J173" s="120"/>
      <c r="K173" s="121" t="str">
        <f t="shared" si="24"/>
        <v>RIGNALL</v>
      </c>
      <c r="L173" s="121" t="str">
        <f t="shared" si="25"/>
        <v>DE GLANVILLE</v>
      </c>
      <c r="M173" s="121">
        <f t="shared" si="35"/>
        <v>19209</v>
      </c>
      <c r="N173" s="121">
        <f t="shared" si="26"/>
        <v>27439</v>
      </c>
      <c r="O173" s="121" t="str">
        <f t="shared" si="27"/>
        <v>242600948</v>
      </c>
      <c r="P173" s="121" t="str">
        <f t="shared" si="28"/>
        <v>242596037</v>
      </c>
      <c r="Q173" s="120" t="s">
        <v>1015</v>
      </c>
      <c r="R173" s="120" t="s">
        <v>1016</v>
      </c>
      <c r="S173" s="120" t="s">
        <v>1017</v>
      </c>
      <c r="T173" s="120" t="s">
        <v>1018</v>
      </c>
      <c r="U173" s="120" t="s">
        <v>1019</v>
      </c>
      <c r="V173" s="120"/>
      <c r="W173" s="122" t="str">
        <f t="shared" si="29"/>
        <v>PPAddIban6@mailinator.com</v>
      </c>
      <c r="X173" s="120" t="str">
        <f t="shared" si="30"/>
        <v>RebrandAutomationUser7@mailinator.com</v>
      </c>
      <c r="Y173" s="121" t="str">
        <f t="shared" si="31"/>
        <v>Dummy!2022</v>
      </c>
      <c r="Z173" s="121" t="str">
        <f t="shared" si="32"/>
        <v>020-8055556</v>
      </c>
      <c r="AA173" s="126" t="s">
        <v>1263</v>
      </c>
      <c r="AB173" s="120" t="s">
        <v>986</v>
      </c>
      <c r="AQ173" s="119" t="str">
        <f t="shared" si="33"/>
        <v>PPAddIban6@mailinator.com</v>
      </c>
      <c r="AR173" s="119" t="str">
        <f t="shared" si="34"/>
        <v>RebrandAutomationUser7@mailinator.com</v>
      </c>
    </row>
    <row r="174" spans="1:44" ht="27.6" x14ac:dyDescent="0.3">
      <c r="A174" s="120" t="s">
        <v>1264</v>
      </c>
      <c r="B174" s="120" t="s">
        <v>615</v>
      </c>
      <c r="C174" s="120" t="s">
        <v>1032</v>
      </c>
      <c r="D174" s="120" t="s">
        <v>1123</v>
      </c>
      <c r="E174" s="120" t="s">
        <v>1105</v>
      </c>
      <c r="F174" s="120" t="s">
        <v>31</v>
      </c>
      <c r="G174" s="120" t="s">
        <v>993</v>
      </c>
      <c r="H174" s="120" t="s">
        <v>985</v>
      </c>
      <c r="I174" s="120"/>
      <c r="J174" s="120"/>
      <c r="K174" s="121" t="str">
        <f t="shared" si="24"/>
        <v>RIGNALL</v>
      </c>
      <c r="L174" s="121" t="str">
        <f t="shared" si="25"/>
        <v>DE GLANVILLE</v>
      </c>
      <c r="M174" s="121">
        <f t="shared" si="35"/>
        <v>19209</v>
      </c>
      <c r="N174" s="121">
        <f t="shared" si="26"/>
        <v>27439</v>
      </c>
      <c r="O174" s="121" t="str">
        <f t="shared" si="27"/>
        <v>242600948</v>
      </c>
      <c r="P174" s="121" t="str">
        <f t="shared" si="28"/>
        <v>242596037</v>
      </c>
      <c r="Q174" s="120" t="s">
        <v>1015</v>
      </c>
      <c r="R174" s="120" t="s">
        <v>1016</v>
      </c>
      <c r="S174" s="120" t="s">
        <v>1054</v>
      </c>
      <c r="T174" s="120" t="s">
        <v>1018</v>
      </c>
      <c r="U174" s="120" t="s">
        <v>1019</v>
      </c>
      <c r="V174" s="120"/>
      <c r="W174" s="122" t="str">
        <f t="shared" si="29"/>
        <v>PPAddIban6@mailinator.com</v>
      </c>
      <c r="X174" s="120" t="str">
        <f t="shared" si="30"/>
        <v>RebrandAutomationUser7@mailinator.com</v>
      </c>
      <c r="Y174" s="121" t="str">
        <f t="shared" si="31"/>
        <v>Dummy!2022</v>
      </c>
      <c r="Z174" s="121" t="str">
        <f t="shared" si="32"/>
        <v>020-8055556</v>
      </c>
      <c r="AA174" s="126" t="s">
        <v>1265</v>
      </c>
      <c r="AB174" s="120" t="s">
        <v>986</v>
      </c>
      <c r="AQ174" s="119" t="str">
        <f t="shared" si="33"/>
        <v>PPAddIban6@mailinator.com</v>
      </c>
      <c r="AR174" s="119" t="str">
        <f t="shared" si="34"/>
        <v>RebrandAutomationUser7@mailinator.com</v>
      </c>
    </row>
    <row r="175" spans="1:44" ht="41.4" x14ac:dyDescent="0.3">
      <c r="A175" s="120" t="s">
        <v>1266</v>
      </c>
      <c r="B175" s="120" t="s">
        <v>615</v>
      </c>
      <c r="C175" s="120" t="s">
        <v>1021</v>
      </c>
      <c r="D175" s="120" t="s">
        <v>1123</v>
      </c>
      <c r="E175" s="120" t="s">
        <v>1105</v>
      </c>
      <c r="F175" s="120" t="s">
        <v>31</v>
      </c>
      <c r="G175" s="120" t="s">
        <v>998</v>
      </c>
      <c r="H175" s="120" t="s">
        <v>999</v>
      </c>
      <c r="I175" s="120"/>
      <c r="J175" s="120"/>
      <c r="K175" s="121" t="str">
        <f t="shared" si="24"/>
        <v>RIGNALL</v>
      </c>
      <c r="L175" s="121" t="str">
        <f t="shared" si="25"/>
        <v>DE GLANVILLE</v>
      </c>
      <c r="M175" s="121">
        <f t="shared" si="35"/>
        <v>19209</v>
      </c>
      <c r="N175" s="121">
        <f t="shared" si="26"/>
        <v>27439</v>
      </c>
      <c r="O175" s="121" t="str">
        <f t="shared" si="27"/>
        <v>242600948</v>
      </c>
      <c r="P175" s="121" t="str">
        <f t="shared" si="28"/>
        <v>242596037</v>
      </c>
      <c r="Q175" s="120" t="s">
        <v>1015</v>
      </c>
      <c r="R175" s="120" t="s">
        <v>1016</v>
      </c>
      <c r="S175" s="120" t="s">
        <v>1056</v>
      </c>
      <c r="T175" s="120" t="s">
        <v>1018</v>
      </c>
      <c r="U175" s="120" t="s">
        <v>1019</v>
      </c>
      <c r="V175" s="120"/>
      <c r="W175" s="122" t="str">
        <f t="shared" si="29"/>
        <v>PPAddIban6@mailinator.com</v>
      </c>
      <c r="X175" s="120" t="str">
        <f t="shared" si="30"/>
        <v>RebrandAutomationUser7@mailinator.com</v>
      </c>
      <c r="Y175" s="121" t="str">
        <f t="shared" si="31"/>
        <v>Dummy!2022</v>
      </c>
      <c r="Z175" s="121" t="str">
        <f t="shared" si="32"/>
        <v>020-8055556</v>
      </c>
      <c r="AA175" s="126" t="s">
        <v>1267</v>
      </c>
      <c r="AB175" s="120" t="s">
        <v>986</v>
      </c>
      <c r="AQ175" s="119" t="str">
        <f t="shared" si="33"/>
        <v>PPAddIban6@mailinator.com</v>
      </c>
      <c r="AR175" s="119" t="str">
        <f t="shared" si="34"/>
        <v>RebrandAutomationUser7@mailinator.com</v>
      </c>
    </row>
    <row r="176" spans="1:44" ht="27.6" x14ac:dyDescent="0.3">
      <c r="A176" s="120" t="s">
        <v>1268</v>
      </c>
      <c r="B176" s="120" t="s">
        <v>615</v>
      </c>
      <c r="C176" s="120" t="s">
        <v>1269</v>
      </c>
      <c r="D176" s="120" t="s">
        <v>1058</v>
      </c>
      <c r="E176" s="120" t="s">
        <v>983</v>
      </c>
      <c r="F176" s="120" t="s">
        <v>31</v>
      </c>
      <c r="G176" s="120" t="s">
        <v>1012</v>
      </c>
      <c r="H176" s="120" t="s">
        <v>1007</v>
      </c>
      <c r="I176" s="127" t="s">
        <v>1270</v>
      </c>
      <c r="J176" s="120" t="s">
        <v>1271</v>
      </c>
      <c r="K176" s="121" t="str">
        <f t="shared" si="24"/>
        <v>BOURNE</v>
      </c>
      <c r="L176" s="121" t="str">
        <f t="shared" si="25"/>
        <v/>
      </c>
      <c r="M176" s="121">
        <f t="shared" si="35"/>
        <v>22626</v>
      </c>
      <c r="N176" s="121" t="str">
        <f t="shared" si="26"/>
        <v/>
      </c>
      <c r="O176" s="121" t="str">
        <f t="shared" si="27"/>
        <v>242599915</v>
      </c>
      <c r="P176" s="121" t="str">
        <f t="shared" si="28"/>
        <v/>
      </c>
      <c r="Q176" s="120" t="s">
        <v>1015</v>
      </c>
      <c r="R176" s="120" t="s">
        <v>1016</v>
      </c>
      <c r="S176" s="120" t="s">
        <v>1050</v>
      </c>
      <c r="T176" s="120" t="s">
        <v>1018</v>
      </c>
      <c r="U176" s="120" t="s">
        <v>1019</v>
      </c>
      <c r="V176" s="120"/>
      <c r="W176" s="122" t="str">
        <f t="shared" si="29"/>
        <v>PPAddIban16@mailinator.com</v>
      </c>
      <c r="X176" s="120" t="str">
        <f t="shared" si="30"/>
        <v/>
      </c>
      <c r="Y176" s="121" t="str">
        <f t="shared" si="31"/>
        <v>Dummy!2022</v>
      </c>
      <c r="Z176" s="121" t="str">
        <f t="shared" si="32"/>
        <v>020-8055516</v>
      </c>
      <c r="AA176" s="120"/>
      <c r="AB176" s="120" t="s">
        <v>986</v>
      </c>
      <c r="AQ176" s="119" t="str">
        <f t="shared" si="33"/>
        <v>PPAddIban16@mailinator.com</v>
      </c>
      <c r="AR176" s="119" t="str">
        <f t="shared" si="34"/>
        <v/>
      </c>
    </row>
    <row r="177" spans="1:44" ht="41.4" x14ac:dyDescent="0.3">
      <c r="A177" s="120" t="s">
        <v>1272</v>
      </c>
      <c r="B177" s="120" t="s">
        <v>615</v>
      </c>
      <c r="C177" s="120" t="s">
        <v>1273</v>
      </c>
      <c r="D177" s="120" t="s">
        <v>1058</v>
      </c>
      <c r="E177" s="120" t="s">
        <v>983</v>
      </c>
      <c r="F177" s="120" t="s">
        <v>72</v>
      </c>
      <c r="G177" s="120" t="s">
        <v>1033</v>
      </c>
      <c r="H177" s="120" t="s">
        <v>1007</v>
      </c>
      <c r="I177" s="127" t="s">
        <v>1270</v>
      </c>
      <c r="J177" s="120" t="s">
        <v>1271</v>
      </c>
      <c r="K177" s="121" t="str">
        <f t="shared" si="24"/>
        <v>BOURNE</v>
      </c>
      <c r="L177" s="121" t="str">
        <f t="shared" si="25"/>
        <v/>
      </c>
      <c r="M177" s="121">
        <f t="shared" si="35"/>
        <v>22626</v>
      </c>
      <c r="N177" s="121" t="str">
        <f t="shared" si="26"/>
        <v/>
      </c>
      <c r="O177" s="121" t="str">
        <f t="shared" si="27"/>
        <v>242599915</v>
      </c>
      <c r="P177" s="121" t="str">
        <f t="shared" si="28"/>
        <v/>
      </c>
      <c r="Q177" s="120" t="s">
        <v>1023</v>
      </c>
      <c r="R177" s="120" t="s">
        <v>1024</v>
      </c>
      <c r="S177" s="120" t="s">
        <v>1025</v>
      </c>
      <c r="T177" s="120"/>
      <c r="U177" s="120"/>
      <c r="V177" s="120" t="s">
        <v>615</v>
      </c>
      <c r="W177" s="122" t="str">
        <f t="shared" si="29"/>
        <v>PPAddIban16@mailinator.com</v>
      </c>
      <c r="X177" s="120" t="str">
        <f t="shared" si="30"/>
        <v/>
      </c>
      <c r="Y177" s="121" t="str">
        <f t="shared" si="31"/>
        <v>Dummy!2022</v>
      </c>
      <c r="Z177" s="121" t="str">
        <f t="shared" si="32"/>
        <v>020-8055516</v>
      </c>
      <c r="AA177" s="120"/>
      <c r="AB177" s="120" t="s">
        <v>986</v>
      </c>
      <c r="AQ177" s="119" t="str">
        <f t="shared" si="33"/>
        <v>PPAddIban16@mailinator.com</v>
      </c>
      <c r="AR177" s="119" t="str">
        <f t="shared" si="34"/>
        <v/>
      </c>
    </row>
    <row r="178" spans="1:44" ht="27.6" x14ac:dyDescent="0.3">
      <c r="A178" s="120" t="s">
        <v>1274</v>
      </c>
      <c r="B178" s="120" t="s">
        <v>615</v>
      </c>
      <c r="C178" s="120" t="s">
        <v>1275</v>
      </c>
      <c r="D178" s="120" t="s">
        <v>1058</v>
      </c>
      <c r="E178" s="120" t="s">
        <v>983</v>
      </c>
      <c r="F178" s="120" t="s">
        <v>72</v>
      </c>
      <c r="G178" s="120" t="s">
        <v>984</v>
      </c>
      <c r="H178" s="120"/>
      <c r="I178" s="127" t="s">
        <v>1276</v>
      </c>
      <c r="J178" s="120" t="s">
        <v>1271</v>
      </c>
      <c r="K178" s="121" t="str">
        <f t="shared" si="24"/>
        <v>BOURNE</v>
      </c>
      <c r="L178" s="121" t="str">
        <f t="shared" si="25"/>
        <v/>
      </c>
      <c r="M178" s="121">
        <f t="shared" si="35"/>
        <v>22626</v>
      </c>
      <c r="N178" s="121" t="str">
        <f t="shared" si="26"/>
        <v/>
      </c>
      <c r="O178" s="121" t="str">
        <f t="shared" si="27"/>
        <v>242599915</v>
      </c>
      <c r="P178" s="121" t="str">
        <f t="shared" si="28"/>
        <v/>
      </c>
      <c r="Q178" s="120" t="s">
        <v>1015</v>
      </c>
      <c r="R178" s="120" t="s">
        <v>1016</v>
      </c>
      <c r="S178" s="120" t="s">
        <v>1017</v>
      </c>
      <c r="T178" s="120"/>
      <c r="U178" s="120"/>
      <c r="V178" s="120"/>
      <c r="W178" s="122" t="str">
        <f t="shared" si="29"/>
        <v>PPAddIban16@mailinator.com</v>
      </c>
      <c r="X178" s="120" t="str">
        <f t="shared" si="30"/>
        <v/>
      </c>
      <c r="Y178" s="121" t="str">
        <f t="shared" si="31"/>
        <v>Dummy!2022</v>
      </c>
      <c r="Z178" s="121" t="str">
        <f t="shared" si="32"/>
        <v>020-8055516</v>
      </c>
      <c r="AA178" s="126"/>
      <c r="AB178" s="120" t="s">
        <v>986</v>
      </c>
      <c r="AQ178" s="119" t="str">
        <f t="shared" si="33"/>
        <v>PPAddIban16@mailinator.com</v>
      </c>
      <c r="AR178" s="119" t="str">
        <f t="shared" si="34"/>
        <v/>
      </c>
    </row>
    <row r="179" spans="1:44" ht="27.6" x14ac:dyDescent="0.3">
      <c r="A179" s="120" t="s">
        <v>1277</v>
      </c>
      <c r="B179" s="120" t="s">
        <v>615</v>
      </c>
      <c r="C179" s="120" t="s">
        <v>1269</v>
      </c>
      <c r="D179" s="120" t="s">
        <v>1058</v>
      </c>
      <c r="E179" s="120" t="s">
        <v>987</v>
      </c>
      <c r="F179" s="120" t="s">
        <v>31</v>
      </c>
      <c r="G179" s="120" t="s">
        <v>1012</v>
      </c>
      <c r="H179" s="120" t="s">
        <v>1007</v>
      </c>
      <c r="I179" s="127" t="s">
        <v>1278</v>
      </c>
      <c r="J179" s="120" t="s">
        <v>1279</v>
      </c>
      <c r="K179" s="121" t="str">
        <f t="shared" si="24"/>
        <v>RIGNALL</v>
      </c>
      <c r="L179" s="121" t="str">
        <f t="shared" si="25"/>
        <v/>
      </c>
      <c r="M179" s="121">
        <f t="shared" si="35"/>
        <v>19209</v>
      </c>
      <c r="N179" s="121" t="str">
        <f t="shared" si="26"/>
        <v/>
      </c>
      <c r="O179" s="121" t="str">
        <f t="shared" si="27"/>
        <v>242600948</v>
      </c>
      <c r="P179" s="121" t="str">
        <f t="shared" si="28"/>
        <v/>
      </c>
      <c r="Q179" s="120" t="s">
        <v>1015</v>
      </c>
      <c r="R179" s="120" t="s">
        <v>1016</v>
      </c>
      <c r="S179" s="120" t="s">
        <v>1050</v>
      </c>
      <c r="T179" s="120" t="s">
        <v>1018</v>
      </c>
      <c r="U179" s="120" t="s">
        <v>1019</v>
      </c>
      <c r="V179" s="120"/>
      <c r="W179" s="122" t="str">
        <f t="shared" si="29"/>
        <v>PPAddIban6@mailinator.com</v>
      </c>
      <c r="X179" s="120" t="str">
        <f t="shared" si="30"/>
        <v/>
      </c>
      <c r="Y179" s="121" t="str">
        <f t="shared" si="31"/>
        <v>Dummy!2022</v>
      </c>
      <c r="Z179" s="121" t="str">
        <f t="shared" si="32"/>
        <v>020-8055556</v>
      </c>
      <c r="AA179" s="120" t="s">
        <v>1068</v>
      </c>
      <c r="AB179" s="120" t="s">
        <v>986</v>
      </c>
      <c r="AQ179" s="119" t="str">
        <f t="shared" si="33"/>
        <v>PPAddIban6@mailinator.com</v>
      </c>
      <c r="AR179" s="119" t="str">
        <f t="shared" si="34"/>
        <v/>
      </c>
    </row>
    <row r="180" spans="1:44" ht="41.4" x14ac:dyDescent="0.3">
      <c r="A180" s="120" t="s">
        <v>1280</v>
      </c>
      <c r="B180" s="120" t="s">
        <v>615</v>
      </c>
      <c r="C180" s="120" t="s">
        <v>1273</v>
      </c>
      <c r="D180" s="120" t="s">
        <v>1058</v>
      </c>
      <c r="E180" s="120" t="s">
        <v>987</v>
      </c>
      <c r="F180" s="120" t="s">
        <v>72</v>
      </c>
      <c r="G180" s="120" t="s">
        <v>1033</v>
      </c>
      <c r="H180" s="120" t="s">
        <v>1007</v>
      </c>
      <c r="I180" s="127" t="s">
        <v>1270</v>
      </c>
      <c r="J180" s="120" t="s">
        <v>1271</v>
      </c>
      <c r="K180" s="121" t="str">
        <f t="shared" si="24"/>
        <v>RIGNALL</v>
      </c>
      <c r="L180" s="121" t="str">
        <f t="shared" si="25"/>
        <v/>
      </c>
      <c r="M180" s="121">
        <f t="shared" si="35"/>
        <v>19209</v>
      </c>
      <c r="N180" s="121" t="str">
        <f t="shared" si="26"/>
        <v/>
      </c>
      <c r="O180" s="121" t="str">
        <f t="shared" si="27"/>
        <v>242600948</v>
      </c>
      <c r="P180" s="121" t="str">
        <f t="shared" si="28"/>
        <v/>
      </c>
      <c r="Q180" s="120" t="s">
        <v>1023</v>
      </c>
      <c r="R180" s="120" t="s">
        <v>1024</v>
      </c>
      <c r="S180" s="120" t="s">
        <v>1025</v>
      </c>
      <c r="T180" s="120"/>
      <c r="U180" s="120"/>
      <c r="V180" s="120" t="s">
        <v>615</v>
      </c>
      <c r="W180" s="122" t="str">
        <f t="shared" si="29"/>
        <v>PPAddIban6@mailinator.com</v>
      </c>
      <c r="X180" s="120" t="str">
        <f t="shared" si="30"/>
        <v/>
      </c>
      <c r="Y180" s="121" t="str">
        <f t="shared" si="31"/>
        <v>Dummy!2022</v>
      </c>
      <c r="Z180" s="121" t="str">
        <f t="shared" si="32"/>
        <v>020-8055556</v>
      </c>
      <c r="AA180" s="120" t="s">
        <v>1281</v>
      </c>
      <c r="AB180" s="120" t="s">
        <v>986</v>
      </c>
      <c r="AQ180" s="119" t="str">
        <f t="shared" si="33"/>
        <v>PPAddIban6@mailinator.com</v>
      </c>
      <c r="AR180" s="119" t="str">
        <f t="shared" si="34"/>
        <v/>
      </c>
    </row>
    <row r="181" spans="1:44" ht="27.6" x14ac:dyDescent="0.3">
      <c r="A181" s="120" t="s">
        <v>1282</v>
      </c>
      <c r="B181" s="120" t="s">
        <v>615</v>
      </c>
      <c r="C181" s="120" t="s">
        <v>1275</v>
      </c>
      <c r="D181" s="120" t="s">
        <v>1058</v>
      </c>
      <c r="E181" s="120" t="s">
        <v>987</v>
      </c>
      <c r="F181" s="120" t="s">
        <v>72</v>
      </c>
      <c r="G181" s="120" t="s">
        <v>984</v>
      </c>
      <c r="H181" s="120"/>
      <c r="I181" s="127" t="s">
        <v>1276</v>
      </c>
      <c r="J181" s="120" t="s">
        <v>1271</v>
      </c>
      <c r="K181" s="121" t="str">
        <f t="shared" si="24"/>
        <v>RIGNALL</v>
      </c>
      <c r="L181" s="121" t="str">
        <f t="shared" si="25"/>
        <v/>
      </c>
      <c r="M181" s="121">
        <f t="shared" si="35"/>
        <v>19209</v>
      </c>
      <c r="N181" s="121" t="str">
        <f t="shared" si="26"/>
        <v/>
      </c>
      <c r="O181" s="121" t="str">
        <f t="shared" si="27"/>
        <v>242600948</v>
      </c>
      <c r="P181" s="121" t="str">
        <f t="shared" si="28"/>
        <v/>
      </c>
      <c r="Q181" s="120" t="s">
        <v>1015</v>
      </c>
      <c r="R181" s="120" t="s">
        <v>1016</v>
      </c>
      <c r="S181" s="120" t="s">
        <v>1017</v>
      </c>
      <c r="T181" s="120"/>
      <c r="U181" s="120"/>
      <c r="V181" s="120"/>
      <c r="W181" s="122" t="str">
        <f t="shared" si="29"/>
        <v>PPAddIban6@mailinator.com</v>
      </c>
      <c r="X181" s="120" t="str">
        <f t="shared" si="30"/>
        <v/>
      </c>
      <c r="Y181" s="121" t="str">
        <f t="shared" si="31"/>
        <v>Dummy!2022</v>
      </c>
      <c r="Z181" s="121" t="str">
        <f t="shared" si="32"/>
        <v>020-8055556</v>
      </c>
      <c r="AA181" s="126"/>
      <c r="AB181" s="120" t="s">
        <v>986</v>
      </c>
      <c r="AQ181" s="119" t="str">
        <f t="shared" si="33"/>
        <v>PPAddIban6@mailinator.com</v>
      </c>
      <c r="AR181" s="119" t="str">
        <f t="shared" si="34"/>
        <v/>
      </c>
    </row>
    <row r="182" spans="1:44" ht="41.4" x14ac:dyDescent="0.3">
      <c r="A182" s="120" t="s">
        <v>1283</v>
      </c>
      <c r="B182" s="120" t="s">
        <v>615</v>
      </c>
      <c r="C182" s="120" t="s">
        <v>1273</v>
      </c>
      <c r="D182" s="120" t="s">
        <v>1072</v>
      </c>
      <c r="E182" s="120" t="s">
        <v>1073</v>
      </c>
      <c r="F182" s="120" t="s">
        <v>31</v>
      </c>
      <c r="G182" s="120" t="s">
        <v>1033</v>
      </c>
      <c r="H182" s="120" t="s">
        <v>1007</v>
      </c>
      <c r="I182" s="127" t="s">
        <v>1270</v>
      </c>
      <c r="J182" s="120" t="s">
        <v>1271</v>
      </c>
      <c r="K182" s="121" t="str">
        <f t="shared" si="24"/>
        <v>BOURNE</v>
      </c>
      <c r="L182" s="121" t="str">
        <f t="shared" si="25"/>
        <v>DE GLANVILLE</v>
      </c>
      <c r="M182" s="121">
        <f t="shared" si="35"/>
        <v>22626</v>
      </c>
      <c r="N182" s="121">
        <f t="shared" si="26"/>
        <v>27439</v>
      </c>
      <c r="O182" s="121" t="str">
        <f t="shared" si="27"/>
        <v>242599915</v>
      </c>
      <c r="P182" s="121" t="str">
        <f t="shared" si="28"/>
        <v>242596037</v>
      </c>
      <c r="Q182" s="120" t="s">
        <v>1023</v>
      </c>
      <c r="R182" s="120" t="s">
        <v>1024</v>
      </c>
      <c r="S182" s="120" t="s">
        <v>1025</v>
      </c>
      <c r="T182" s="120" t="s">
        <v>1018</v>
      </c>
      <c r="U182" s="120" t="s">
        <v>1019</v>
      </c>
      <c r="V182" s="120" t="s">
        <v>615</v>
      </c>
      <c r="W182" s="122" t="str">
        <f t="shared" si="29"/>
        <v>PPAddIban16@mailinator.com</v>
      </c>
      <c r="X182" s="120" t="str">
        <f t="shared" si="30"/>
        <v>RebrandAutomationUser7@mailinator.com</v>
      </c>
      <c r="Y182" s="121" t="str">
        <f t="shared" si="31"/>
        <v>Dummy!2022</v>
      </c>
      <c r="Z182" s="121" t="str">
        <f t="shared" si="32"/>
        <v>020-8055516</v>
      </c>
      <c r="AA182" s="120"/>
      <c r="AB182" s="120" t="s">
        <v>986</v>
      </c>
      <c r="AQ182" s="119" t="str">
        <f t="shared" si="33"/>
        <v>PPAddIban16@mailinator.com</v>
      </c>
      <c r="AR182" s="119" t="str">
        <f t="shared" si="34"/>
        <v>RebrandAutomationUser7@mailinator.com</v>
      </c>
    </row>
    <row r="183" spans="1:44" ht="41.4" x14ac:dyDescent="0.3">
      <c r="A183" s="120" t="s">
        <v>1284</v>
      </c>
      <c r="B183" s="120" t="s">
        <v>615</v>
      </c>
      <c r="C183" s="120" t="s">
        <v>1273</v>
      </c>
      <c r="D183" s="120" t="s">
        <v>1072</v>
      </c>
      <c r="E183" s="120" t="s">
        <v>1073</v>
      </c>
      <c r="F183" s="120" t="s">
        <v>72</v>
      </c>
      <c r="G183" s="120" t="s">
        <v>1033</v>
      </c>
      <c r="H183" s="120" t="s">
        <v>1007</v>
      </c>
      <c r="I183" s="127" t="s">
        <v>1285</v>
      </c>
      <c r="J183" s="120" t="s">
        <v>1271</v>
      </c>
      <c r="K183" s="121" t="str">
        <f t="shared" si="24"/>
        <v>BOURNE</v>
      </c>
      <c r="L183" s="121" t="str">
        <f t="shared" si="25"/>
        <v>DE GLANVILLE</v>
      </c>
      <c r="M183" s="121">
        <f t="shared" si="35"/>
        <v>22626</v>
      </c>
      <c r="N183" s="121">
        <f t="shared" si="26"/>
        <v>27439</v>
      </c>
      <c r="O183" s="121" t="str">
        <f t="shared" si="27"/>
        <v>242599915</v>
      </c>
      <c r="P183" s="121" t="str">
        <f t="shared" si="28"/>
        <v>242596037</v>
      </c>
      <c r="Q183" s="120" t="s">
        <v>1023</v>
      </c>
      <c r="R183" s="120" t="s">
        <v>1024</v>
      </c>
      <c r="S183" s="120" t="s">
        <v>1025</v>
      </c>
      <c r="T183" s="120"/>
      <c r="U183" s="120"/>
      <c r="V183" s="120" t="s">
        <v>615</v>
      </c>
      <c r="W183" s="122" t="str">
        <f t="shared" si="29"/>
        <v>PPAddIban16@mailinator.com</v>
      </c>
      <c r="X183" s="120" t="str">
        <f t="shared" si="30"/>
        <v>RebrandAutomationUser7@mailinator.com</v>
      </c>
      <c r="Y183" s="121" t="str">
        <f t="shared" si="31"/>
        <v>Dummy!2022</v>
      </c>
      <c r="Z183" s="121" t="str">
        <f t="shared" si="32"/>
        <v>020-8055516</v>
      </c>
      <c r="AA183" s="120"/>
      <c r="AB183" s="120" t="s">
        <v>986</v>
      </c>
      <c r="AQ183" s="119" t="str">
        <f t="shared" si="33"/>
        <v>PPAddIban16@mailinator.com</v>
      </c>
      <c r="AR183" s="119" t="str">
        <f t="shared" si="34"/>
        <v>RebrandAutomationUser7@mailinator.com</v>
      </c>
    </row>
    <row r="184" spans="1:44" ht="27.6" x14ac:dyDescent="0.3">
      <c r="A184" s="120" t="s">
        <v>1286</v>
      </c>
      <c r="B184" s="120" t="s">
        <v>615</v>
      </c>
      <c r="C184" s="120" t="s">
        <v>1275</v>
      </c>
      <c r="D184" s="120" t="s">
        <v>1072</v>
      </c>
      <c r="E184" s="120" t="s">
        <v>1073</v>
      </c>
      <c r="F184" s="120" t="s">
        <v>72</v>
      </c>
      <c r="G184" s="120" t="s">
        <v>984</v>
      </c>
      <c r="H184" s="120"/>
      <c r="I184" s="127" t="s">
        <v>1276</v>
      </c>
      <c r="J184" s="120" t="s">
        <v>1271</v>
      </c>
      <c r="K184" s="121" t="str">
        <f t="shared" si="24"/>
        <v>BOURNE</v>
      </c>
      <c r="L184" s="121" t="str">
        <f t="shared" si="25"/>
        <v>DE GLANVILLE</v>
      </c>
      <c r="M184" s="121">
        <f t="shared" si="35"/>
        <v>22626</v>
      </c>
      <c r="N184" s="121">
        <f t="shared" si="26"/>
        <v>27439</v>
      </c>
      <c r="O184" s="121" t="str">
        <f t="shared" si="27"/>
        <v>242599915</v>
      </c>
      <c r="P184" s="121" t="str">
        <f t="shared" si="28"/>
        <v>242596037</v>
      </c>
      <c r="Q184" s="120" t="s">
        <v>1015</v>
      </c>
      <c r="R184" s="120" t="s">
        <v>1016</v>
      </c>
      <c r="S184" s="120" t="s">
        <v>1017</v>
      </c>
      <c r="T184" s="120"/>
      <c r="U184" s="120"/>
      <c r="V184" s="120"/>
      <c r="W184" s="122" t="str">
        <f t="shared" si="29"/>
        <v>PPAddIban16@mailinator.com</v>
      </c>
      <c r="X184" s="120" t="str">
        <f t="shared" si="30"/>
        <v>RebrandAutomationUser7@mailinator.com</v>
      </c>
      <c r="Y184" s="121" t="str">
        <f t="shared" si="31"/>
        <v>Dummy!2022</v>
      </c>
      <c r="Z184" s="121" t="str">
        <f t="shared" si="32"/>
        <v>020-8055516</v>
      </c>
      <c r="AA184" s="126"/>
      <c r="AB184" s="120" t="s">
        <v>986</v>
      </c>
      <c r="AQ184" s="119" t="str">
        <f t="shared" si="33"/>
        <v>PPAddIban16@mailinator.com</v>
      </c>
      <c r="AR184" s="119" t="str">
        <f t="shared" si="34"/>
        <v>RebrandAutomationUser7@mailinator.com</v>
      </c>
    </row>
    <row r="185" spans="1:44" ht="41.4" x14ac:dyDescent="0.3">
      <c r="A185" s="120" t="s">
        <v>1287</v>
      </c>
      <c r="B185" s="120" t="s">
        <v>615</v>
      </c>
      <c r="C185" s="120" t="s">
        <v>1273</v>
      </c>
      <c r="D185" s="120" t="s">
        <v>1072</v>
      </c>
      <c r="E185" s="120" t="s">
        <v>1076</v>
      </c>
      <c r="F185" s="120" t="s">
        <v>31</v>
      </c>
      <c r="G185" s="120" t="s">
        <v>1033</v>
      </c>
      <c r="H185" s="120" t="s">
        <v>1007</v>
      </c>
      <c r="I185" s="127" t="s">
        <v>1270</v>
      </c>
      <c r="J185" s="120" t="s">
        <v>1271</v>
      </c>
      <c r="K185" s="121" t="str">
        <f t="shared" si="24"/>
        <v>RIGNALL</v>
      </c>
      <c r="L185" s="121" t="str">
        <f t="shared" si="25"/>
        <v>CICCHETTO</v>
      </c>
      <c r="M185" s="121">
        <f t="shared" si="35"/>
        <v>19209</v>
      </c>
      <c r="N185" s="121">
        <f t="shared" si="26"/>
        <v>22469</v>
      </c>
      <c r="O185" s="121" t="str">
        <f t="shared" si="27"/>
        <v>242600948</v>
      </c>
      <c r="P185" s="121" t="str">
        <f t="shared" si="28"/>
        <v>242600999</v>
      </c>
      <c r="Q185" s="120" t="s">
        <v>1023</v>
      </c>
      <c r="R185" s="120" t="s">
        <v>1024</v>
      </c>
      <c r="S185" s="120" t="s">
        <v>1025</v>
      </c>
      <c r="T185" s="120" t="s">
        <v>1018</v>
      </c>
      <c r="U185" s="120" t="s">
        <v>1019</v>
      </c>
      <c r="V185" s="120" t="s">
        <v>615</v>
      </c>
      <c r="W185" s="122" t="str">
        <f t="shared" si="29"/>
        <v>PPAddIban6@mailinator.com</v>
      </c>
      <c r="X185" s="120" t="str">
        <f t="shared" si="30"/>
        <v>PPAddIban7@mailinator.com</v>
      </c>
      <c r="Y185" s="121" t="str">
        <f t="shared" si="31"/>
        <v>Dummy!2022</v>
      </c>
      <c r="Z185" s="121" t="str">
        <f t="shared" si="32"/>
        <v>020-8055556</v>
      </c>
      <c r="AA185" s="120" t="s">
        <v>1223</v>
      </c>
      <c r="AB185" s="120" t="s">
        <v>986</v>
      </c>
      <c r="AQ185" s="119" t="str">
        <f t="shared" si="33"/>
        <v>PPAddIban6@mailinator.com</v>
      </c>
      <c r="AR185" s="119" t="str">
        <f t="shared" si="34"/>
        <v>PPAddIban7@mailinator.com</v>
      </c>
    </row>
    <row r="186" spans="1:44" ht="41.4" x14ac:dyDescent="0.3">
      <c r="A186" s="120" t="s">
        <v>1288</v>
      </c>
      <c r="B186" s="120" t="s">
        <v>615</v>
      </c>
      <c r="C186" s="120" t="s">
        <v>1273</v>
      </c>
      <c r="D186" s="120" t="s">
        <v>1072</v>
      </c>
      <c r="E186" s="120" t="s">
        <v>1076</v>
      </c>
      <c r="F186" s="120" t="s">
        <v>72</v>
      </c>
      <c r="G186" s="120" t="s">
        <v>1033</v>
      </c>
      <c r="H186" s="120" t="s">
        <v>1007</v>
      </c>
      <c r="I186" s="127" t="s">
        <v>1285</v>
      </c>
      <c r="J186" s="120" t="s">
        <v>1271</v>
      </c>
      <c r="K186" s="121" t="str">
        <f t="shared" si="24"/>
        <v>RIGNALL</v>
      </c>
      <c r="L186" s="121" t="str">
        <f t="shared" si="25"/>
        <v>CICCHETTO</v>
      </c>
      <c r="M186" s="121">
        <f t="shared" si="35"/>
        <v>19209</v>
      </c>
      <c r="N186" s="121">
        <f t="shared" si="26"/>
        <v>22469</v>
      </c>
      <c r="O186" s="121" t="str">
        <f t="shared" si="27"/>
        <v>242600948</v>
      </c>
      <c r="P186" s="121" t="str">
        <f t="shared" si="28"/>
        <v>242600999</v>
      </c>
      <c r="Q186" s="120" t="s">
        <v>1023</v>
      </c>
      <c r="R186" s="120" t="s">
        <v>1024</v>
      </c>
      <c r="S186" s="120" t="s">
        <v>1025</v>
      </c>
      <c r="T186" s="120"/>
      <c r="U186" s="120"/>
      <c r="V186" s="120" t="s">
        <v>615</v>
      </c>
      <c r="W186" s="122" t="str">
        <f t="shared" si="29"/>
        <v>PPAddIban6@mailinator.com</v>
      </c>
      <c r="X186" s="120" t="str">
        <f t="shared" si="30"/>
        <v>PPAddIban7@mailinator.com</v>
      </c>
      <c r="Y186" s="121" t="str">
        <f t="shared" si="31"/>
        <v>Dummy!2022</v>
      </c>
      <c r="Z186" s="121" t="str">
        <f t="shared" si="32"/>
        <v>020-8055556</v>
      </c>
      <c r="AA186" s="120" t="s">
        <v>1225</v>
      </c>
      <c r="AB186" s="120" t="s">
        <v>986</v>
      </c>
      <c r="AQ186" s="119" t="str">
        <f t="shared" si="33"/>
        <v>PPAddIban6@mailinator.com</v>
      </c>
      <c r="AR186" s="119" t="str">
        <f t="shared" si="34"/>
        <v>PPAddIban7@mailinator.com</v>
      </c>
    </row>
    <row r="187" spans="1:44" ht="27.6" x14ac:dyDescent="0.3">
      <c r="A187" s="120" t="s">
        <v>1289</v>
      </c>
      <c r="B187" s="120" t="s">
        <v>615</v>
      </c>
      <c r="C187" s="120" t="s">
        <v>1275</v>
      </c>
      <c r="D187" s="120" t="s">
        <v>1072</v>
      </c>
      <c r="E187" s="120" t="s">
        <v>1076</v>
      </c>
      <c r="F187" s="120" t="s">
        <v>72</v>
      </c>
      <c r="G187" s="120" t="s">
        <v>984</v>
      </c>
      <c r="H187" s="120"/>
      <c r="I187" s="127" t="s">
        <v>1276</v>
      </c>
      <c r="J187" s="120" t="s">
        <v>1271</v>
      </c>
      <c r="K187" s="121" t="str">
        <f t="shared" si="24"/>
        <v>RIGNALL</v>
      </c>
      <c r="L187" s="121" t="str">
        <f t="shared" si="25"/>
        <v>CICCHETTO</v>
      </c>
      <c r="M187" s="121">
        <f t="shared" si="35"/>
        <v>19209</v>
      </c>
      <c r="N187" s="121">
        <f t="shared" si="26"/>
        <v>22469</v>
      </c>
      <c r="O187" s="121" t="str">
        <f t="shared" si="27"/>
        <v>242600948</v>
      </c>
      <c r="P187" s="121" t="str">
        <f t="shared" si="28"/>
        <v>242600999</v>
      </c>
      <c r="Q187" s="120" t="s">
        <v>1015</v>
      </c>
      <c r="R187" s="120" t="s">
        <v>1016</v>
      </c>
      <c r="S187" s="120" t="s">
        <v>1017</v>
      </c>
      <c r="T187" s="120"/>
      <c r="U187" s="120"/>
      <c r="V187" s="120"/>
      <c r="W187" s="122" t="str">
        <f t="shared" si="29"/>
        <v>PPAddIban6@mailinator.com</v>
      </c>
      <c r="X187" s="120" t="str">
        <f t="shared" si="30"/>
        <v>PPAddIban7@mailinator.com</v>
      </c>
      <c r="Y187" s="121" t="str">
        <f t="shared" si="31"/>
        <v>Dummy!2022</v>
      </c>
      <c r="Z187" s="121" t="str">
        <f t="shared" si="32"/>
        <v>020-8055556</v>
      </c>
      <c r="AA187" s="120" t="s">
        <v>1227</v>
      </c>
      <c r="AB187" s="120" t="s">
        <v>986</v>
      </c>
      <c r="AQ187" s="119" t="str">
        <f t="shared" si="33"/>
        <v>PPAddIban6@mailinator.com</v>
      </c>
      <c r="AR187" s="119" t="str">
        <f t="shared" si="34"/>
        <v>PPAddIban7@mailinator.com</v>
      </c>
    </row>
    <row r="188" spans="1:44" ht="41.4" x14ac:dyDescent="0.3">
      <c r="A188" s="120" t="s">
        <v>1290</v>
      </c>
      <c r="B188" s="120" t="s">
        <v>615</v>
      </c>
      <c r="C188" s="120" t="s">
        <v>1273</v>
      </c>
      <c r="D188" s="120" t="s">
        <v>1072</v>
      </c>
      <c r="E188" s="120" t="s">
        <v>1093</v>
      </c>
      <c r="F188" s="120" t="s">
        <v>31</v>
      </c>
      <c r="G188" s="120" t="s">
        <v>1033</v>
      </c>
      <c r="H188" s="120" t="s">
        <v>1007</v>
      </c>
      <c r="I188" s="127" t="s">
        <v>1270</v>
      </c>
      <c r="J188" s="120" t="s">
        <v>1271</v>
      </c>
      <c r="K188" s="121" t="str">
        <f t="shared" si="24"/>
        <v>BOURNE</v>
      </c>
      <c r="L188" s="121" t="str">
        <f t="shared" si="25"/>
        <v>CICCHETTO</v>
      </c>
      <c r="M188" s="121">
        <f t="shared" si="35"/>
        <v>22626</v>
      </c>
      <c r="N188" s="121">
        <f t="shared" si="26"/>
        <v>22469</v>
      </c>
      <c r="O188" s="121" t="str">
        <f t="shared" si="27"/>
        <v>242599915</v>
      </c>
      <c r="P188" s="121" t="str">
        <f t="shared" si="28"/>
        <v>242600999</v>
      </c>
      <c r="Q188" s="120" t="s">
        <v>1023</v>
      </c>
      <c r="R188" s="120" t="s">
        <v>1024</v>
      </c>
      <c r="S188" s="120" t="s">
        <v>1025</v>
      </c>
      <c r="T188" s="120" t="s">
        <v>1018</v>
      </c>
      <c r="U188" s="120" t="s">
        <v>1019</v>
      </c>
      <c r="V188" s="120" t="s">
        <v>615</v>
      </c>
      <c r="W188" s="122" t="str">
        <f t="shared" si="29"/>
        <v>PPAddIban16@mailinator.com</v>
      </c>
      <c r="X188" s="120" t="str">
        <f t="shared" si="30"/>
        <v>PPAddIban7@mailinator.com</v>
      </c>
      <c r="Y188" s="121" t="str">
        <f t="shared" si="31"/>
        <v>Dummy!2022</v>
      </c>
      <c r="Z188" s="121" t="str">
        <f t="shared" si="32"/>
        <v>020-8055516</v>
      </c>
      <c r="AA188" s="120" t="s">
        <v>1243</v>
      </c>
      <c r="AB188" s="120" t="s">
        <v>986</v>
      </c>
      <c r="AQ188" s="119" t="str">
        <f t="shared" si="33"/>
        <v>PPAddIban16@mailinator.com</v>
      </c>
      <c r="AR188" s="119" t="str">
        <f t="shared" si="34"/>
        <v>PPAddIban7@mailinator.com</v>
      </c>
    </row>
    <row r="189" spans="1:44" ht="41.4" x14ac:dyDescent="0.3">
      <c r="A189" s="120" t="s">
        <v>1291</v>
      </c>
      <c r="B189" s="120" t="s">
        <v>615</v>
      </c>
      <c r="C189" s="120" t="s">
        <v>1273</v>
      </c>
      <c r="D189" s="120" t="s">
        <v>1072</v>
      </c>
      <c r="E189" s="120" t="s">
        <v>1093</v>
      </c>
      <c r="F189" s="120" t="s">
        <v>72</v>
      </c>
      <c r="G189" s="120" t="s">
        <v>1033</v>
      </c>
      <c r="H189" s="120" t="s">
        <v>1007</v>
      </c>
      <c r="I189" s="127" t="s">
        <v>1285</v>
      </c>
      <c r="J189" s="120" t="s">
        <v>1271</v>
      </c>
      <c r="K189" s="121" t="str">
        <f t="shared" si="24"/>
        <v>BOURNE</v>
      </c>
      <c r="L189" s="121" t="str">
        <f t="shared" si="25"/>
        <v>CICCHETTO</v>
      </c>
      <c r="M189" s="121">
        <f t="shared" si="35"/>
        <v>22626</v>
      </c>
      <c r="N189" s="121">
        <f t="shared" si="26"/>
        <v>22469</v>
      </c>
      <c r="O189" s="121" t="str">
        <f t="shared" si="27"/>
        <v>242599915</v>
      </c>
      <c r="P189" s="121" t="str">
        <f t="shared" si="28"/>
        <v>242600999</v>
      </c>
      <c r="Q189" s="120" t="s">
        <v>1023</v>
      </c>
      <c r="R189" s="120" t="s">
        <v>1024</v>
      </c>
      <c r="S189" s="120" t="s">
        <v>1025</v>
      </c>
      <c r="T189" s="120"/>
      <c r="U189" s="120"/>
      <c r="V189" s="120" t="s">
        <v>615</v>
      </c>
      <c r="W189" s="122" t="str">
        <f t="shared" si="29"/>
        <v>PPAddIban16@mailinator.com</v>
      </c>
      <c r="X189" s="120" t="str">
        <f t="shared" si="30"/>
        <v>PPAddIban7@mailinator.com</v>
      </c>
      <c r="Y189" s="121" t="str">
        <f t="shared" si="31"/>
        <v>Dummy!2022</v>
      </c>
      <c r="Z189" s="121" t="str">
        <f t="shared" si="32"/>
        <v>020-8055516</v>
      </c>
      <c r="AA189" s="120" t="s">
        <v>1245</v>
      </c>
      <c r="AB189" s="120" t="s">
        <v>986</v>
      </c>
      <c r="AQ189" s="119" t="str">
        <f t="shared" si="33"/>
        <v>PPAddIban16@mailinator.com</v>
      </c>
      <c r="AR189" s="119" t="str">
        <f t="shared" si="34"/>
        <v>PPAddIban7@mailinator.com</v>
      </c>
    </row>
    <row r="190" spans="1:44" ht="27.6" x14ac:dyDescent="0.3">
      <c r="A190" s="120" t="s">
        <v>1292</v>
      </c>
      <c r="B190" s="120" t="s">
        <v>615</v>
      </c>
      <c r="C190" s="120" t="s">
        <v>1275</v>
      </c>
      <c r="D190" s="120" t="s">
        <v>1072</v>
      </c>
      <c r="E190" s="120" t="s">
        <v>1093</v>
      </c>
      <c r="F190" s="120" t="s">
        <v>72</v>
      </c>
      <c r="G190" s="120" t="s">
        <v>984</v>
      </c>
      <c r="H190" s="120"/>
      <c r="I190" s="127" t="s">
        <v>1276</v>
      </c>
      <c r="J190" s="120" t="s">
        <v>1271</v>
      </c>
      <c r="K190" s="121" t="str">
        <f t="shared" si="24"/>
        <v>BOURNE</v>
      </c>
      <c r="L190" s="121" t="str">
        <f t="shared" si="25"/>
        <v>CICCHETTO</v>
      </c>
      <c r="M190" s="121">
        <f t="shared" si="35"/>
        <v>22626</v>
      </c>
      <c r="N190" s="121">
        <f t="shared" si="26"/>
        <v>22469</v>
      </c>
      <c r="O190" s="121" t="str">
        <f t="shared" si="27"/>
        <v>242599915</v>
      </c>
      <c r="P190" s="121" t="str">
        <f t="shared" si="28"/>
        <v>242600999</v>
      </c>
      <c r="Q190" s="120" t="s">
        <v>1015</v>
      </c>
      <c r="R190" s="120" t="s">
        <v>1016</v>
      </c>
      <c r="S190" s="120" t="s">
        <v>1017</v>
      </c>
      <c r="T190" s="120"/>
      <c r="U190" s="120"/>
      <c r="V190" s="120"/>
      <c r="W190" s="122" t="str">
        <f t="shared" si="29"/>
        <v>PPAddIban16@mailinator.com</v>
      </c>
      <c r="X190" s="120" t="str">
        <f t="shared" si="30"/>
        <v>PPAddIban7@mailinator.com</v>
      </c>
      <c r="Y190" s="121" t="str">
        <f t="shared" si="31"/>
        <v>Dummy!2022</v>
      </c>
      <c r="Z190" s="121" t="str">
        <f t="shared" si="32"/>
        <v>020-8055516</v>
      </c>
      <c r="AA190" s="126" t="s">
        <v>1247</v>
      </c>
      <c r="AB190" s="120" t="s">
        <v>986</v>
      </c>
      <c r="AQ190" s="119" t="str">
        <f t="shared" si="33"/>
        <v>PPAddIban16@mailinator.com</v>
      </c>
      <c r="AR190" s="119" t="str">
        <f t="shared" si="34"/>
        <v>PPAddIban7@mailinator.com</v>
      </c>
    </row>
    <row r="191" spans="1:44" ht="41.4" x14ac:dyDescent="0.3">
      <c r="A191" s="120" t="s">
        <v>1293</v>
      </c>
      <c r="B191" s="120" t="s">
        <v>615</v>
      </c>
      <c r="C191" s="120" t="s">
        <v>1273</v>
      </c>
      <c r="D191" s="120" t="s">
        <v>1072</v>
      </c>
      <c r="E191" s="120" t="s">
        <v>1105</v>
      </c>
      <c r="F191" s="120" t="s">
        <v>31</v>
      </c>
      <c r="G191" s="120" t="s">
        <v>1033</v>
      </c>
      <c r="H191" s="120" t="s">
        <v>1007</v>
      </c>
      <c r="I191" s="127" t="s">
        <v>1270</v>
      </c>
      <c r="J191" s="120" t="s">
        <v>1271</v>
      </c>
      <c r="K191" s="121" t="str">
        <f t="shared" si="24"/>
        <v>RIGNALL</v>
      </c>
      <c r="L191" s="121" t="str">
        <f t="shared" si="25"/>
        <v>DE GLANVILLE</v>
      </c>
      <c r="M191" s="121">
        <f t="shared" si="35"/>
        <v>19209</v>
      </c>
      <c r="N191" s="121">
        <f t="shared" si="26"/>
        <v>27439</v>
      </c>
      <c r="O191" s="121" t="str">
        <f t="shared" si="27"/>
        <v>242600948</v>
      </c>
      <c r="P191" s="121" t="str">
        <f t="shared" si="28"/>
        <v>242596037</v>
      </c>
      <c r="Q191" s="120" t="s">
        <v>1023</v>
      </c>
      <c r="R191" s="120" t="s">
        <v>1024</v>
      </c>
      <c r="S191" s="120" t="s">
        <v>1025</v>
      </c>
      <c r="T191" s="120" t="s">
        <v>1018</v>
      </c>
      <c r="U191" s="120" t="s">
        <v>1019</v>
      </c>
      <c r="V191" s="120" t="s">
        <v>615</v>
      </c>
      <c r="W191" s="122" t="str">
        <f t="shared" si="29"/>
        <v>PPAddIban6@mailinator.com</v>
      </c>
      <c r="X191" s="120" t="str">
        <f t="shared" si="30"/>
        <v>RebrandAutomationUser7@mailinator.com</v>
      </c>
      <c r="Y191" s="121" t="str">
        <f t="shared" si="31"/>
        <v>Dummy!2022</v>
      </c>
      <c r="Z191" s="121" t="str">
        <f t="shared" si="32"/>
        <v>020-8055556</v>
      </c>
      <c r="AA191" s="126" t="s">
        <v>1261</v>
      </c>
      <c r="AB191" s="120" t="s">
        <v>986</v>
      </c>
      <c r="AQ191" s="119" t="str">
        <f t="shared" si="33"/>
        <v>PPAddIban6@mailinator.com</v>
      </c>
      <c r="AR191" s="119" t="str">
        <f t="shared" si="34"/>
        <v>RebrandAutomationUser7@mailinator.com</v>
      </c>
    </row>
    <row r="192" spans="1:44" ht="41.4" x14ac:dyDescent="0.3">
      <c r="A192" s="120" t="s">
        <v>1294</v>
      </c>
      <c r="B192" s="120" t="s">
        <v>615</v>
      </c>
      <c r="C192" s="120" t="s">
        <v>1273</v>
      </c>
      <c r="D192" s="120" t="s">
        <v>1072</v>
      </c>
      <c r="E192" s="120" t="s">
        <v>1105</v>
      </c>
      <c r="F192" s="120" t="s">
        <v>72</v>
      </c>
      <c r="G192" s="120" t="s">
        <v>1033</v>
      </c>
      <c r="H192" s="120" t="s">
        <v>1007</v>
      </c>
      <c r="I192" s="127" t="s">
        <v>1285</v>
      </c>
      <c r="J192" s="120" t="s">
        <v>1271</v>
      </c>
      <c r="K192" s="121" t="str">
        <f t="shared" si="24"/>
        <v>RIGNALL</v>
      </c>
      <c r="L192" s="121" t="str">
        <f t="shared" si="25"/>
        <v>DE GLANVILLE</v>
      </c>
      <c r="M192" s="121">
        <f t="shared" si="35"/>
        <v>19209</v>
      </c>
      <c r="N192" s="121">
        <f t="shared" si="26"/>
        <v>27439</v>
      </c>
      <c r="O192" s="121" t="str">
        <f t="shared" si="27"/>
        <v>242600948</v>
      </c>
      <c r="P192" s="121" t="str">
        <f t="shared" si="28"/>
        <v>242596037</v>
      </c>
      <c r="Q192" s="120" t="s">
        <v>1023</v>
      </c>
      <c r="R192" s="120" t="s">
        <v>1024</v>
      </c>
      <c r="S192" s="120" t="s">
        <v>1025</v>
      </c>
      <c r="T192" s="120"/>
      <c r="U192" s="120"/>
      <c r="V192" s="120" t="s">
        <v>615</v>
      </c>
      <c r="W192" s="122" t="str">
        <f t="shared" si="29"/>
        <v>PPAddIban6@mailinator.com</v>
      </c>
      <c r="X192" s="120" t="str">
        <f t="shared" si="30"/>
        <v>RebrandAutomationUser7@mailinator.com</v>
      </c>
      <c r="Y192" s="121" t="str">
        <f t="shared" si="31"/>
        <v>Dummy!2022</v>
      </c>
      <c r="Z192" s="121" t="str">
        <f t="shared" si="32"/>
        <v>020-8055556</v>
      </c>
      <c r="AA192" s="126" t="s">
        <v>1263</v>
      </c>
      <c r="AB192" s="120" t="s">
        <v>986</v>
      </c>
      <c r="AQ192" s="119" t="str">
        <f t="shared" si="33"/>
        <v>PPAddIban6@mailinator.com</v>
      </c>
      <c r="AR192" s="119" t="str">
        <f t="shared" si="34"/>
        <v>RebrandAutomationUser7@mailinator.com</v>
      </c>
    </row>
    <row r="193" spans="1:44" ht="27.6" x14ac:dyDescent="0.3">
      <c r="A193" s="120" t="s">
        <v>1295</v>
      </c>
      <c r="B193" s="120" t="s">
        <v>615</v>
      </c>
      <c r="C193" s="120" t="s">
        <v>1275</v>
      </c>
      <c r="D193" s="120" t="s">
        <v>1072</v>
      </c>
      <c r="E193" s="120" t="s">
        <v>1105</v>
      </c>
      <c r="F193" s="120" t="s">
        <v>72</v>
      </c>
      <c r="G193" s="120" t="s">
        <v>984</v>
      </c>
      <c r="H193" s="120"/>
      <c r="I193" s="127" t="s">
        <v>1276</v>
      </c>
      <c r="J193" s="120" t="s">
        <v>1271</v>
      </c>
      <c r="K193" s="121" t="str">
        <f t="shared" si="24"/>
        <v>RIGNALL</v>
      </c>
      <c r="L193" s="121" t="str">
        <f t="shared" si="25"/>
        <v>DE GLANVILLE</v>
      </c>
      <c r="M193" s="121">
        <f t="shared" si="35"/>
        <v>19209</v>
      </c>
      <c r="N193" s="121">
        <f t="shared" si="26"/>
        <v>27439</v>
      </c>
      <c r="O193" s="121" t="str">
        <f t="shared" si="27"/>
        <v>242600948</v>
      </c>
      <c r="P193" s="121" t="str">
        <f t="shared" si="28"/>
        <v>242596037</v>
      </c>
      <c r="Q193" s="120" t="s">
        <v>1015</v>
      </c>
      <c r="R193" s="120" t="s">
        <v>1016</v>
      </c>
      <c r="S193" s="120" t="s">
        <v>1017</v>
      </c>
      <c r="T193" s="120"/>
      <c r="U193" s="120"/>
      <c r="V193" s="120"/>
      <c r="W193" s="122" t="str">
        <f t="shared" si="29"/>
        <v>PPAddIban6@mailinator.com</v>
      </c>
      <c r="X193" s="120" t="str">
        <f t="shared" si="30"/>
        <v>RebrandAutomationUser7@mailinator.com</v>
      </c>
      <c r="Y193" s="121" t="str">
        <f t="shared" si="31"/>
        <v>Dummy!2022</v>
      </c>
      <c r="Z193" s="121" t="str">
        <f t="shared" si="32"/>
        <v>020-8055556</v>
      </c>
      <c r="AA193" s="126" t="s">
        <v>1265</v>
      </c>
      <c r="AB193" s="120" t="s">
        <v>986</v>
      </c>
      <c r="AQ193" s="119" t="str">
        <f t="shared" si="33"/>
        <v>PPAddIban6@mailinator.com</v>
      </c>
      <c r="AR193" s="119" t="str">
        <f t="shared" si="34"/>
        <v>RebrandAutomationUser7@mailinator.com</v>
      </c>
    </row>
    <row r="194" spans="1:44" ht="41.4" x14ac:dyDescent="0.3">
      <c r="A194" s="120" t="s">
        <v>1296</v>
      </c>
      <c r="B194" s="120" t="s">
        <v>615</v>
      </c>
      <c r="C194" s="120" t="s">
        <v>1273</v>
      </c>
      <c r="D194" s="120" t="s">
        <v>982</v>
      </c>
      <c r="E194" s="120" t="s">
        <v>983</v>
      </c>
      <c r="F194" s="120" t="s">
        <v>31</v>
      </c>
      <c r="G194" s="120" t="s">
        <v>1033</v>
      </c>
      <c r="H194" s="120" t="s">
        <v>1007</v>
      </c>
      <c r="I194" s="127" t="s">
        <v>1270</v>
      </c>
      <c r="J194" s="120" t="s">
        <v>1271</v>
      </c>
      <c r="K194" s="121" t="str">
        <f t="shared" si="24"/>
        <v>BOURNE</v>
      </c>
      <c r="L194" s="121" t="str">
        <f t="shared" si="25"/>
        <v/>
      </c>
      <c r="M194" s="121">
        <f t="shared" si="35"/>
        <v>22626</v>
      </c>
      <c r="N194" s="121" t="str">
        <f t="shared" si="26"/>
        <v/>
      </c>
      <c r="O194" s="121" t="str">
        <f t="shared" si="27"/>
        <v>242599915</v>
      </c>
      <c r="P194" s="121" t="str">
        <f t="shared" si="28"/>
        <v/>
      </c>
      <c r="Q194" s="120" t="s">
        <v>1023</v>
      </c>
      <c r="R194" s="120" t="s">
        <v>1024</v>
      </c>
      <c r="S194" s="120" t="s">
        <v>1025</v>
      </c>
      <c r="T194" s="120" t="s">
        <v>1018</v>
      </c>
      <c r="U194" s="120" t="s">
        <v>1019</v>
      </c>
      <c r="V194" s="120" t="s">
        <v>1020</v>
      </c>
      <c r="W194" s="122" t="str">
        <f t="shared" si="29"/>
        <v>PPAddIban16@mailinator.com</v>
      </c>
      <c r="X194" s="120" t="str">
        <f t="shared" si="30"/>
        <v/>
      </c>
      <c r="Y194" s="121" t="str">
        <f t="shared" si="31"/>
        <v>Dummy!2022</v>
      </c>
      <c r="Z194" s="121" t="str">
        <f t="shared" si="32"/>
        <v>020-8055516</v>
      </c>
      <c r="AA194" s="120"/>
      <c r="AB194" s="120" t="s">
        <v>986</v>
      </c>
      <c r="AQ194" s="119" t="str">
        <f t="shared" si="33"/>
        <v>PPAddIban16@mailinator.com</v>
      </c>
      <c r="AR194" s="119" t="str">
        <f t="shared" si="34"/>
        <v/>
      </c>
    </row>
    <row r="195" spans="1:44" ht="41.4" x14ac:dyDescent="0.3">
      <c r="A195" s="120" t="s">
        <v>1297</v>
      </c>
      <c r="B195" s="120" t="s">
        <v>615</v>
      </c>
      <c r="C195" s="120" t="s">
        <v>1273</v>
      </c>
      <c r="D195" s="120" t="s">
        <v>982</v>
      </c>
      <c r="E195" s="120" t="s">
        <v>983</v>
      </c>
      <c r="F195" s="120" t="s">
        <v>72</v>
      </c>
      <c r="G195" s="120" t="s">
        <v>1033</v>
      </c>
      <c r="H195" s="120" t="s">
        <v>1007</v>
      </c>
      <c r="I195" s="127" t="s">
        <v>1270</v>
      </c>
      <c r="J195" s="120" t="s">
        <v>1271</v>
      </c>
      <c r="K195" s="121" t="str">
        <f t="shared" ref="K195:K212" si="36">IF(W195=$AU$4, $AX$4,
IF(W195=$AU$2,$AX$2, ""))</f>
        <v>BOURNE</v>
      </c>
      <c r="L195" s="121" t="str">
        <f t="shared" ref="L195:L212" si="37">IF(X195=$AU$5, $AX$5,
IF(X195=$AU$3,$AX$3, ""))</f>
        <v/>
      </c>
      <c r="M195" s="121">
        <f t="shared" si="35"/>
        <v>22626</v>
      </c>
      <c r="N195" s="121" t="str">
        <f t="shared" ref="N195:N212" si="38">IF(X195=$AU$5, $AW$5,
IF(X195=$AU$3,$AW$3, ""))</f>
        <v/>
      </c>
      <c r="O195" s="121" t="str">
        <f t="shared" ref="O195:O212" si="39">IF(W195=$AU$4, $AV$4,
IF(W195=$AU$2,$AV$2, ""))</f>
        <v>242599915</v>
      </c>
      <c r="P195" s="121" t="str">
        <f t="shared" ref="P195:P212" si="40">IF(X195=$AU$5, $AV$5,
IF(X195=$AU$3,$AV$3, ""))</f>
        <v/>
      </c>
      <c r="Q195" s="120" t="s">
        <v>1023</v>
      </c>
      <c r="R195" s="120" t="s">
        <v>1024</v>
      </c>
      <c r="S195" s="120" t="s">
        <v>1025</v>
      </c>
      <c r="T195" s="120"/>
      <c r="U195" s="120"/>
      <c r="V195" s="120" t="s">
        <v>1298</v>
      </c>
      <c r="W195" s="122" t="str">
        <f t="shared" ref="W195:W212" si="41">IF(E195="Y", $AU$4,
IF(E195="N",$AU$2,
IF(E195="Y,Y",  $AU$4,
IF(E195="N,N",$AU$2,
IF(E195="Y,N", $AU$4,
IF(E195="N,Y", $AU$2, ""))))))</f>
        <v>PPAddIban16@mailinator.com</v>
      </c>
      <c r="X195" s="120" t="str">
        <f t="shared" ref="X195:X212" si="42">IF(E195="Y,Y", $AU$5,
IF(E195="N,N", $AU$3,
IF(E195="Y,N", $AU$3,
IF(E195="N,Y",$AU$5, ""))))</f>
        <v/>
      </c>
      <c r="Y195" s="121" t="str">
        <f t="shared" ref="Y195:Y212" si="43">IF(W195=$AU$2, $AZ$2,
IF(W195=$AU$4,$AZ$4, ""))</f>
        <v>Dummy!2022</v>
      </c>
      <c r="Z195" s="121" t="str">
        <f t="shared" ref="Z195:Z212" si="44">IF(W195=$AU$4, $AY$4,
IF(W195=$AU$2,$AY$2, ""))</f>
        <v>020-8055516</v>
      </c>
      <c r="AA195" s="120"/>
      <c r="AB195" s="120" t="s">
        <v>986</v>
      </c>
      <c r="AQ195" s="119" t="str">
        <f t="shared" ref="AQ195:AQ212" si="45">IF(E195="Y", $AU$4,
IF(E195="N",$AU$2,
IF(E195="Y,Y",  $AU$4,
IF(E195="N,N",$AU$2,
IF(E195="Y,N", $AU$4,
IF(E195="N,Y", $AU$2, ""))))))</f>
        <v>PPAddIban16@mailinator.com</v>
      </c>
      <c r="AR195" s="119" t="str">
        <f t="shared" ref="AR195:AR212" si="46">IF(E195="Y,Y", $AU$5,
IF(E195="N,N", $AU$3,
IF(E195="Y,N", $AU$3,
IF(E195="N,Y",$AU$5, ""))))</f>
        <v/>
      </c>
    </row>
    <row r="196" spans="1:44" ht="41.4" x14ac:dyDescent="0.3">
      <c r="A196" s="120" t="s">
        <v>1299</v>
      </c>
      <c r="B196" s="120" t="s">
        <v>615</v>
      </c>
      <c r="C196" s="120" t="s">
        <v>1275</v>
      </c>
      <c r="D196" s="120" t="s">
        <v>982</v>
      </c>
      <c r="E196" s="120" t="s">
        <v>983</v>
      </c>
      <c r="F196" s="120" t="s">
        <v>72</v>
      </c>
      <c r="G196" s="120" t="s">
        <v>984</v>
      </c>
      <c r="H196" s="120"/>
      <c r="I196" s="127" t="s">
        <v>1276</v>
      </c>
      <c r="J196" s="120" t="s">
        <v>1271</v>
      </c>
      <c r="K196" s="121" t="str">
        <f t="shared" si="36"/>
        <v>BOURNE</v>
      </c>
      <c r="L196" s="121" t="str">
        <f t="shared" si="37"/>
        <v/>
      </c>
      <c r="M196" s="121">
        <f t="shared" ref="M196:M212" si="47">IF(W196=$AU$4, $AW$4,
IF(W196=$AU$2,$AW$2, ""))</f>
        <v>22626</v>
      </c>
      <c r="N196" s="121" t="str">
        <f t="shared" si="38"/>
        <v/>
      </c>
      <c r="O196" s="121" t="str">
        <f t="shared" si="39"/>
        <v>242599915</v>
      </c>
      <c r="P196" s="121" t="str">
        <f t="shared" si="40"/>
        <v/>
      </c>
      <c r="Q196" s="120" t="s">
        <v>1015</v>
      </c>
      <c r="R196" s="120" t="s">
        <v>1016</v>
      </c>
      <c r="S196" s="120" t="s">
        <v>1017</v>
      </c>
      <c r="T196" s="120"/>
      <c r="U196" s="120"/>
      <c r="V196" s="120" t="s">
        <v>1300</v>
      </c>
      <c r="W196" s="122" t="str">
        <f t="shared" si="41"/>
        <v>PPAddIban16@mailinator.com</v>
      </c>
      <c r="X196" s="120" t="str">
        <f t="shared" si="42"/>
        <v/>
      </c>
      <c r="Y196" s="121" t="str">
        <f t="shared" si="43"/>
        <v>Dummy!2022</v>
      </c>
      <c r="Z196" s="121" t="str">
        <f t="shared" si="44"/>
        <v>020-8055516</v>
      </c>
      <c r="AA196" s="126"/>
      <c r="AB196" s="120" t="s">
        <v>986</v>
      </c>
      <c r="AQ196" s="119" t="str">
        <f t="shared" si="45"/>
        <v>PPAddIban16@mailinator.com</v>
      </c>
      <c r="AR196" s="119" t="str">
        <f t="shared" si="46"/>
        <v/>
      </c>
    </row>
    <row r="197" spans="1:44" ht="41.4" x14ac:dyDescent="0.3">
      <c r="A197" s="120" t="s">
        <v>1301</v>
      </c>
      <c r="B197" s="120" t="s">
        <v>615</v>
      </c>
      <c r="C197" s="120" t="s">
        <v>1269</v>
      </c>
      <c r="D197" s="120" t="s">
        <v>982</v>
      </c>
      <c r="E197" s="120" t="s">
        <v>987</v>
      </c>
      <c r="F197" s="120" t="s">
        <v>31</v>
      </c>
      <c r="G197" s="120" t="s">
        <v>1012</v>
      </c>
      <c r="H197" s="120" t="s">
        <v>1007</v>
      </c>
      <c r="I197" s="127" t="s">
        <v>1278</v>
      </c>
      <c r="J197" s="120" t="s">
        <v>1279</v>
      </c>
      <c r="K197" s="121" t="str">
        <f t="shared" si="36"/>
        <v>RIGNALL</v>
      </c>
      <c r="L197" s="121" t="str">
        <f t="shared" si="37"/>
        <v/>
      </c>
      <c r="M197" s="121">
        <f t="shared" si="47"/>
        <v>19209</v>
      </c>
      <c r="N197" s="121" t="str">
        <f t="shared" si="38"/>
        <v/>
      </c>
      <c r="O197" s="121" t="str">
        <f t="shared" si="39"/>
        <v>242600948</v>
      </c>
      <c r="P197" s="121" t="str">
        <f t="shared" si="40"/>
        <v/>
      </c>
      <c r="Q197" s="120" t="s">
        <v>1015</v>
      </c>
      <c r="R197" s="120" t="s">
        <v>1016</v>
      </c>
      <c r="S197" s="120" t="s">
        <v>1050</v>
      </c>
      <c r="T197" s="120" t="s">
        <v>1018</v>
      </c>
      <c r="U197" s="120" t="s">
        <v>1019</v>
      </c>
      <c r="V197" s="120" t="s">
        <v>1302</v>
      </c>
      <c r="W197" s="122" t="str">
        <f t="shared" si="41"/>
        <v>PPAddIban6@mailinator.com</v>
      </c>
      <c r="X197" s="120" t="str">
        <f t="shared" si="42"/>
        <v/>
      </c>
      <c r="Y197" s="121" t="str">
        <f t="shared" si="43"/>
        <v>Dummy!2022</v>
      </c>
      <c r="Z197" s="121" t="str">
        <f t="shared" si="44"/>
        <v>020-8055556</v>
      </c>
      <c r="AA197" s="120" t="s">
        <v>1068</v>
      </c>
      <c r="AB197" s="120" t="s">
        <v>986</v>
      </c>
      <c r="AQ197" s="119" t="str">
        <f t="shared" si="45"/>
        <v>PPAddIban6@mailinator.com</v>
      </c>
      <c r="AR197" s="119" t="str">
        <f t="shared" si="46"/>
        <v/>
      </c>
    </row>
    <row r="198" spans="1:44" ht="41.4" x14ac:dyDescent="0.3">
      <c r="A198" s="120" t="s">
        <v>1303</v>
      </c>
      <c r="B198" s="120" t="s">
        <v>615</v>
      </c>
      <c r="C198" s="120" t="s">
        <v>1273</v>
      </c>
      <c r="D198" s="120" t="s">
        <v>982</v>
      </c>
      <c r="E198" s="120" t="s">
        <v>987</v>
      </c>
      <c r="F198" s="120" t="s">
        <v>72</v>
      </c>
      <c r="G198" s="120" t="s">
        <v>1033</v>
      </c>
      <c r="H198" s="120" t="s">
        <v>1007</v>
      </c>
      <c r="I198" s="127" t="s">
        <v>1270</v>
      </c>
      <c r="J198" s="120" t="s">
        <v>1271</v>
      </c>
      <c r="K198" s="121" t="str">
        <f t="shared" si="36"/>
        <v>RIGNALL</v>
      </c>
      <c r="L198" s="121" t="str">
        <f t="shared" si="37"/>
        <v/>
      </c>
      <c r="M198" s="121">
        <f t="shared" si="47"/>
        <v>19209</v>
      </c>
      <c r="N198" s="121" t="str">
        <f t="shared" si="38"/>
        <v/>
      </c>
      <c r="O198" s="121" t="str">
        <f t="shared" si="39"/>
        <v>242600948</v>
      </c>
      <c r="P198" s="121" t="str">
        <f t="shared" si="40"/>
        <v/>
      </c>
      <c r="Q198" s="120" t="s">
        <v>1023</v>
      </c>
      <c r="R198" s="120" t="s">
        <v>1024</v>
      </c>
      <c r="S198" s="120" t="s">
        <v>1025</v>
      </c>
      <c r="T198" s="120"/>
      <c r="U198" s="120"/>
      <c r="V198" s="120" t="s">
        <v>1304</v>
      </c>
      <c r="W198" s="122" t="str">
        <f t="shared" si="41"/>
        <v>PPAddIban6@mailinator.com</v>
      </c>
      <c r="X198" s="120" t="str">
        <f t="shared" si="42"/>
        <v/>
      </c>
      <c r="Y198" s="121" t="str">
        <f t="shared" si="43"/>
        <v>Dummy!2022</v>
      </c>
      <c r="Z198" s="121" t="str">
        <f t="shared" si="44"/>
        <v>020-8055556</v>
      </c>
      <c r="AA198" s="120" t="s">
        <v>1305</v>
      </c>
      <c r="AB198" s="120" t="s">
        <v>986</v>
      </c>
      <c r="AQ198" s="119" t="str">
        <f t="shared" si="45"/>
        <v>PPAddIban6@mailinator.com</v>
      </c>
      <c r="AR198" s="119" t="str">
        <f t="shared" si="46"/>
        <v/>
      </c>
    </row>
    <row r="199" spans="1:44" ht="41.4" x14ac:dyDescent="0.3">
      <c r="A199" s="120" t="s">
        <v>1306</v>
      </c>
      <c r="B199" s="120" t="s">
        <v>615</v>
      </c>
      <c r="C199" s="120" t="s">
        <v>1275</v>
      </c>
      <c r="D199" s="120" t="s">
        <v>982</v>
      </c>
      <c r="E199" s="120" t="s">
        <v>987</v>
      </c>
      <c r="F199" s="120" t="s">
        <v>72</v>
      </c>
      <c r="G199" s="120" t="s">
        <v>984</v>
      </c>
      <c r="H199" s="120"/>
      <c r="I199" s="127" t="s">
        <v>1276</v>
      </c>
      <c r="J199" s="120" t="s">
        <v>1271</v>
      </c>
      <c r="K199" s="121" t="str">
        <f t="shared" si="36"/>
        <v>RIGNALL</v>
      </c>
      <c r="L199" s="121" t="str">
        <f t="shared" si="37"/>
        <v/>
      </c>
      <c r="M199" s="121">
        <f t="shared" si="47"/>
        <v>19209</v>
      </c>
      <c r="N199" s="121" t="str">
        <f t="shared" si="38"/>
        <v/>
      </c>
      <c r="O199" s="121" t="str">
        <f t="shared" si="39"/>
        <v>242600948</v>
      </c>
      <c r="P199" s="121" t="str">
        <f t="shared" si="40"/>
        <v/>
      </c>
      <c r="Q199" s="120" t="s">
        <v>1015</v>
      </c>
      <c r="R199" s="120" t="s">
        <v>1016</v>
      </c>
      <c r="S199" s="120" t="s">
        <v>1017</v>
      </c>
      <c r="T199" s="120"/>
      <c r="U199" s="120"/>
      <c r="V199" s="120" t="s">
        <v>1307</v>
      </c>
      <c r="W199" s="122" t="str">
        <f t="shared" si="41"/>
        <v>PPAddIban6@mailinator.com</v>
      </c>
      <c r="X199" s="120" t="str">
        <f t="shared" si="42"/>
        <v/>
      </c>
      <c r="Y199" s="121" t="str">
        <f t="shared" si="43"/>
        <v>Dummy!2022</v>
      </c>
      <c r="Z199" s="121" t="str">
        <f t="shared" si="44"/>
        <v>020-8055556</v>
      </c>
      <c r="AA199" s="126"/>
      <c r="AB199" s="120" t="s">
        <v>986</v>
      </c>
      <c r="AQ199" s="119" t="str">
        <f t="shared" si="45"/>
        <v>PPAddIban6@mailinator.com</v>
      </c>
      <c r="AR199" s="119" t="str">
        <f t="shared" si="46"/>
        <v/>
      </c>
    </row>
    <row r="200" spans="1:44" ht="41.4" x14ac:dyDescent="0.3">
      <c r="A200" s="120" t="s">
        <v>1308</v>
      </c>
      <c r="B200" s="120" t="s">
        <v>615</v>
      </c>
      <c r="C200" s="120" t="s">
        <v>1273</v>
      </c>
      <c r="D200" s="120" t="s">
        <v>1123</v>
      </c>
      <c r="E200" s="120" t="s">
        <v>1073</v>
      </c>
      <c r="F200" s="120" t="s">
        <v>31</v>
      </c>
      <c r="G200" s="120" t="s">
        <v>1033</v>
      </c>
      <c r="H200" s="120" t="s">
        <v>1007</v>
      </c>
      <c r="I200" s="127" t="s">
        <v>1270</v>
      </c>
      <c r="J200" s="120" t="s">
        <v>1271</v>
      </c>
      <c r="K200" s="121" t="str">
        <f t="shared" si="36"/>
        <v>BOURNE</v>
      </c>
      <c r="L200" s="121" t="str">
        <f t="shared" si="37"/>
        <v>DE GLANVILLE</v>
      </c>
      <c r="M200" s="121">
        <f t="shared" si="47"/>
        <v>22626</v>
      </c>
      <c r="N200" s="121">
        <f t="shared" si="38"/>
        <v>27439</v>
      </c>
      <c r="O200" s="121" t="str">
        <f t="shared" si="39"/>
        <v>242599915</v>
      </c>
      <c r="P200" s="121" t="str">
        <f t="shared" si="40"/>
        <v>242596037</v>
      </c>
      <c r="Q200" s="120" t="s">
        <v>1023</v>
      </c>
      <c r="R200" s="120" t="s">
        <v>1024</v>
      </c>
      <c r="S200" s="120" t="s">
        <v>1025</v>
      </c>
      <c r="T200" s="120" t="s">
        <v>1018</v>
      </c>
      <c r="U200" s="120" t="s">
        <v>1019</v>
      </c>
      <c r="V200" s="120" t="s">
        <v>1309</v>
      </c>
      <c r="W200" s="122" t="str">
        <f t="shared" si="41"/>
        <v>PPAddIban16@mailinator.com</v>
      </c>
      <c r="X200" s="120" t="str">
        <f t="shared" si="42"/>
        <v>RebrandAutomationUser7@mailinator.com</v>
      </c>
      <c r="Y200" s="121" t="str">
        <f t="shared" si="43"/>
        <v>Dummy!2022</v>
      </c>
      <c r="Z200" s="121" t="str">
        <f t="shared" si="44"/>
        <v>020-8055516</v>
      </c>
      <c r="AA200" s="120"/>
      <c r="AB200" s="120" t="s">
        <v>986</v>
      </c>
      <c r="AQ200" s="119" t="str">
        <f t="shared" si="45"/>
        <v>PPAddIban16@mailinator.com</v>
      </c>
      <c r="AR200" s="119" t="str">
        <f t="shared" si="46"/>
        <v>RebrandAutomationUser7@mailinator.com</v>
      </c>
    </row>
    <row r="201" spans="1:44" ht="41.4" x14ac:dyDescent="0.3">
      <c r="A201" s="120" t="s">
        <v>1310</v>
      </c>
      <c r="B201" s="120" t="s">
        <v>615</v>
      </c>
      <c r="C201" s="120" t="s">
        <v>1273</v>
      </c>
      <c r="D201" s="120" t="s">
        <v>1123</v>
      </c>
      <c r="E201" s="120" t="s">
        <v>1073</v>
      </c>
      <c r="F201" s="120" t="s">
        <v>72</v>
      </c>
      <c r="G201" s="120" t="s">
        <v>1033</v>
      </c>
      <c r="H201" s="120" t="s">
        <v>1007</v>
      </c>
      <c r="I201" s="127" t="s">
        <v>1285</v>
      </c>
      <c r="J201" s="120" t="s">
        <v>1271</v>
      </c>
      <c r="K201" s="121" t="str">
        <f t="shared" si="36"/>
        <v>BOURNE</v>
      </c>
      <c r="L201" s="121" t="str">
        <f t="shared" si="37"/>
        <v>DE GLANVILLE</v>
      </c>
      <c r="M201" s="121">
        <f t="shared" si="47"/>
        <v>22626</v>
      </c>
      <c r="N201" s="121">
        <f t="shared" si="38"/>
        <v>27439</v>
      </c>
      <c r="O201" s="121" t="str">
        <f t="shared" si="39"/>
        <v>242599915</v>
      </c>
      <c r="P201" s="121" t="str">
        <f t="shared" si="40"/>
        <v>242596037</v>
      </c>
      <c r="Q201" s="120" t="s">
        <v>1023</v>
      </c>
      <c r="R201" s="120" t="s">
        <v>1024</v>
      </c>
      <c r="S201" s="120" t="s">
        <v>1025</v>
      </c>
      <c r="T201" s="120"/>
      <c r="U201" s="120"/>
      <c r="V201" s="120" t="s">
        <v>1311</v>
      </c>
      <c r="W201" s="122" t="str">
        <f t="shared" si="41"/>
        <v>PPAddIban16@mailinator.com</v>
      </c>
      <c r="X201" s="120" t="str">
        <f t="shared" si="42"/>
        <v>RebrandAutomationUser7@mailinator.com</v>
      </c>
      <c r="Y201" s="121" t="str">
        <f t="shared" si="43"/>
        <v>Dummy!2022</v>
      </c>
      <c r="Z201" s="121" t="str">
        <f t="shared" si="44"/>
        <v>020-8055516</v>
      </c>
      <c r="AA201" s="120"/>
      <c r="AB201" s="120" t="s">
        <v>986</v>
      </c>
      <c r="AQ201" s="119" t="str">
        <f t="shared" si="45"/>
        <v>PPAddIban16@mailinator.com</v>
      </c>
      <c r="AR201" s="119" t="str">
        <f t="shared" si="46"/>
        <v>RebrandAutomationUser7@mailinator.com</v>
      </c>
    </row>
    <row r="202" spans="1:44" ht="41.4" x14ac:dyDescent="0.3">
      <c r="A202" s="120" t="s">
        <v>1312</v>
      </c>
      <c r="B202" s="120" t="s">
        <v>615</v>
      </c>
      <c r="C202" s="120" t="s">
        <v>1275</v>
      </c>
      <c r="D202" s="120" t="s">
        <v>1123</v>
      </c>
      <c r="E202" s="120" t="s">
        <v>1073</v>
      </c>
      <c r="F202" s="120" t="s">
        <v>72</v>
      </c>
      <c r="G202" s="120" t="s">
        <v>984</v>
      </c>
      <c r="H202" s="120"/>
      <c r="I202" s="127" t="s">
        <v>1276</v>
      </c>
      <c r="J202" s="120" t="s">
        <v>1271</v>
      </c>
      <c r="K202" s="121" t="str">
        <f t="shared" si="36"/>
        <v>BOURNE</v>
      </c>
      <c r="L202" s="121" t="str">
        <f t="shared" si="37"/>
        <v>DE GLANVILLE</v>
      </c>
      <c r="M202" s="121">
        <f t="shared" si="47"/>
        <v>22626</v>
      </c>
      <c r="N202" s="121">
        <f t="shared" si="38"/>
        <v>27439</v>
      </c>
      <c r="O202" s="121" t="str">
        <f t="shared" si="39"/>
        <v>242599915</v>
      </c>
      <c r="P202" s="121" t="str">
        <f t="shared" si="40"/>
        <v>242596037</v>
      </c>
      <c r="Q202" s="120" t="s">
        <v>1015</v>
      </c>
      <c r="R202" s="120" t="s">
        <v>1016</v>
      </c>
      <c r="S202" s="120" t="s">
        <v>1017</v>
      </c>
      <c r="T202" s="120"/>
      <c r="U202" s="120"/>
      <c r="V202" s="120" t="s">
        <v>1313</v>
      </c>
      <c r="W202" s="122" t="str">
        <f t="shared" si="41"/>
        <v>PPAddIban16@mailinator.com</v>
      </c>
      <c r="X202" s="120" t="str">
        <f t="shared" si="42"/>
        <v>RebrandAutomationUser7@mailinator.com</v>
      </c>
      <c r="Y202" s="121" t="str">
        <f t="shared" si="43"/>
        <v>Dummy!2022</v>
      </c>
      <c r="Z202" s="121" t="str">
        <f t="shared" si="44"/>
        <v>020-8055516</v>
      </c>
      <c r="AA202" s="126"/>
      <c r="AB202" s="120" t="s">
        <v>986</v>
      </c>
      <c r="AQ202" s="119" t="str">
        <f t="shared" si="45"/>
        <v>PPAddIban16@mailinator.com</v>
      </c>
      <c r="AR202" s="119" t="str">
        <f t="shared" si="46"/>
        <v>RebrandAutomationUser7@mailinator.com</v>
      </c>
    </row>
    <row r="203" spans="1:44" ht="41.4" x14ac:dyDescent="0.3">
      <c r="A203" s="120" t="s">
        <v>1314</v>
      </c>
      <c r="B203" s="120" t="s">
        <v>615</v>
      </c>
      <c r="C203" s="120" t="s">
        <v>1273</v>
      </c>
      <c r="D203" s="120" t="s">
        <v>1123</v>
      </c>
      <c r="E203" s="120" t="s">
        <v>1076</v>
      </c>
      <c r="F203" s="120" t="s">
        <v>31</v>
      </c>
      <c r="G203" s="120" t="s">
        <v>1033</v>
      </c>
      <c r="H203" s="120" t="s">
        <v>1007</v>
      </c>
      <c r="I203" s="127" t="s">
        <v>1270</v>
      </c>
      <c r="J203" s="120" t="s">
        <v>1271</v>
      </c>
      <c r="K203" s="121" t="str">
        <f t="shared" si="36"/>
        <v>RIGNALL</v>
      </c>
      <c r="L203" s="121" t="str">
        <f t="shared" si="37"/>
        <v>CICCHETTO</v>
      </c>
      <c r="M203" s="121">
        <f t="shared" si="47"/>
        <v>19209</v>
      </c>
      <c r="N203" s="121">
        <f t="shared" si="38"/>
        <v>22469</v>
      </c>
      <c r="O203" s="121" t="str">
        <f t="shared" si="39"/>
        <v>242600948</v>
      </c>
      <c r="P203" s="121" t="str">
        <f t="shared" si="40"/>
        <v>242600999</v>
      </c>
      <c r="Q203" s="120" t="s">
        <v>1023</v>
      </c>
      <c r="R203" s="120" t="s">
        <v>1024</v>
      </c>
      <c r="S203" s="120" t="s">
        <v>1025</v>
      </c>
      <c r="T203" s="120" t="s">
        <v>1018</v>
      </c>
      <c r="U203" s="120" t="s">
        <v>1019</v>
      </c>
      <c r="V203" s="120" t="s">
        <v>1315</v>
      </c>
      <c r="W203" s="122" t="str">
        <f t="shared" si="41"/>
        <v>PPAddIban6@mailinator.com</v>
      </c>
      <c r="X203" s="120" t="str">
        <f t="shared" si="42"/>
        <v>PPAddIban7@mailinator.com</v>
      </c>
      <c r="Y203" s="121" t="str">
        <f t="shared" si="43"/>
        <v>Dummy!2022</v>
      </c>
      <c r="Z203" s="121" t="str">
        <f t="shared" si="44"/>
        <v>020-8055556</v>
      </c>
      <c r="AA203" s="120" t="s">
        <v>1223</v>
      </c>
      <c r="AB203" s="120" t="s">
        <v>986</v>
      </c>
      <c r="AQ203" s="119" t="str">
        <f t="shared" si="45"/>
        <v>PPAddIban6@mailinator.com</v>
      </c>
      <c r="AR203" s="119" t="str">
        <f t="shared" si="46"/>
        <v>PPAddIban7@mailinator.com</v>
      </c>
    </row>
    <row r="204" spans="1:44" ht="41.4" x14ac:dyDescent="0.3">
      <c r="A204" s="120" t="s">
        <v>1316</v>
      </c>
      <c r="B204" s="120" t="s">
        <v>615</v>
      </c>
      <c r="C204" s="120" t="s">
        <v>1273</v>
      </c>
      <c r="D204" s="120" t="s">
        <v>1123</v>
      </c>
      <c r="E204" s="120" t="s">
        <v>1076</v>
      </c>
      <c r="F204" s="120" t="s">
        <v>72</v>
      </c>
      <c r="G204" s="120" t="s">
        <v>1033</v>
      </c>
      <c r="H204" s="120" t="s">
        <v>1007</v>
      </c>
      <c r="I204" s="127" t="s">
        <v>1285</v>
      </c>
      <c r="J204" s="120" t="s">
        <v>1271</v>
      </c>
      <c r="K204" s="121" t="str">
        <f t="shared" si="36"/>
        <v>RIGNALL</v>
      </c>
      <c r="L204" s="121" t="str">
        <f t="shared" si="37"/>
        <v>CICCHETTO</v>
      </c>
      <c r="M204" s="121">
        <f t="shared" si="47"/>
        <v>19209</v>
      </c>
      <c r="N204" s="121">
        <f t="shared" si="38"/>
        <v>22469</v>
      </c>
      <c r="O204" s="121" t="str">
        <f t="shared" si="39"/>
        <v>242600948</v>
      </c>
      <c r="P204" s="121" t="str">
        <f t="shared" si="40"/>
        <v>242600999</v>
      </c>
      <c r="Q204" s="120" t="s">
        <v>1023</v>
      </c>
      <c r="R204" s="120" t="s">
        <v>1024</v>
      </c>
      <c r="S204" s="120" t="s">
        <v>1025</v>
      </c>
      <c r="T204" s="120"/>
      <c r="U204" s="120"/>
      <c r="V204" s="120" t="s">
        <v>1317</v>
      </c>
      <c r="W204" s="122" t="str">
        <f t="shared" si="41"/>
        <v>PPAddIban6@mailinator.com</v>
      </c>
      <c r="X204" s="120" t="str">
        <f t="shared" si="42"/>
        <v>PPAddIban7@mailinator.com</v>
      </c>
      <c r="Y204" s="121" t="str">
        <f t="shared" si="43"/>
        <v>Dummy!2022</v>
      </c>
      <c r="Z204" s="121" t="str">
        <f t="shared" si="44"/>
        <v>020-8055556</v>
      </c>
      <c r="AA204" s="120" t="s">
        <v>1225</v>
      </c>
      <c r="AB204" s="120" t="s">
        <v>986</v>
      </c>
      <c r="AQ204" s="119" t="str">
        <f t="shared" si="45"/>
        <v>PPAddIban6@mailinator.com</v>
      </c>
      <c r="AR204" s="119" t="str">
        <f t="shared" si="46"/>
        <v>PPAddIban7@mailinator.com</v>
      </c>
    </row>
    <row r="205" spans="1:44" ht="41.4" x14ac:dyDescent="0.3">
      <c r="A205" s="120" t="s">
        <v>1318</v>
      </c>
      <c r="B205" s="120" t="s">
        <v>615</v>
      </c>
      <c r="C205" s="120" t="s">
        <v>1275</v>
      </c>
      <c r="D205" s="120" t="s">
        <v>1123</v>
      </c>
      <c r="E205" s="120" t="s">
        <v>1076</v>
      </c>
      <c r="F205" s="120" t="s">
        <v>72</v>
      </c>
      <c r="G205" s="120" t="s">
        <v>984</v>
      </c>
      <c r="H205" s="120"/>
      <c r="I205" s="127" t="s">
        <v>1276</v>
      </c>
      <c r="J205" s="120" t="s">
        <v>1271</v>
      </c>
      <c r="K205" s="121" t="str">
        <f t="shared" si="36"/>
        <v>RIGNALL</v>
      </c>
      <c r="L205" s="121" t="str">
        <f t="shared" si="37"/>
        <v>CICCHETTO</v>
      </c>
      <c r="M205" s="121">
        <f t="shared" si="47"/>
        <v>19209</v>
      </c>
      <c r="N205" s="121">
        <f t="shared" si="38"/>
        <v>22469</v>
      </c>
      <c r="O205" s="121" t="str">
        <f t="shared" si="39"/>
        <v>242600948</v>
      </c>
      <c r="P205" s="121" t="str">
        <f t="shared" si="40"/>
        <v>242600999</v>
      </c>
      <c r="Q205" s="120" t="s">
        <v>1015</v>
      </c>
      <c r="R205" s="120" t="s">
        <v>1016</v>
      </c>
      <c r="S205" s="120" t="s">
        <v>1017</v>
      </c>
      <c r="T205" s="120"/>
      <c r="U205" s="120"/>
      <c r="V205" s="120" t="s">
        <v>1319</v>
      </c>
      <c r="W205" s="122" t="str">
        <f t="shared" si="41"/>
        <v>PPAddIban6@mailinator.com</v>
      </c>
      <c r="X205" s="120" t="str">
        <f t="shared" si="42"/>
        <v>PPAddIban7@mailinator.com</v>
      </c>
      <c r="Y205" s="121" t="str">
        <f t="shared" si="43"/>
        <v>Dummy!2022</v>
      </c>
      <c r="Z205" s="121" t="str">
        <f t="shared" si="44"/>
        <v>020-8055556</v>
      </c>
      <c r="AA205" s="120" t="s">
        <v>1227</v>
      </c>
      <c r="AB205" s="120" t="s">
        <v>986</v>
      </c>
      <c r="AQ205" s="119" t="str">
        <f t="shared" si="45"/>
        <v>PPAddIban6@mailinator.com</v>
      </c>
      <c r="AR205" s="119" t="str">
        <f t="shared" si="46"/>
        <v>PPAddIban7@mailinator.com</v>
      </c>
    </row>
    <row r="206" spans="1:44" ht="41.4" x14ac:dyDescent="0.3">
      <c r="A206" s="120" t="s">
        <v>1320</v>
      </c>
      <c r="B206" s="120" t="s">
        <v>615</v>
      </c>
      <c r="C206" s="120" t="s">
        <v>1273</v>
      </c>
      <c r="D206" s="120" t="s">
        <v>1123</v>
      </c>
      <c r="E206" s="120" t="s">
        <v>1093</v>
      </c>
      <c r="F206" s="120" t="s">
        <v>31</v>
      </c>
      <c r="G206" s="120" t="s">
        <v>1033</v>
      </c>
      <c r="H206" s="120" t="s">
        <v>1007</v>
      </c>
      <c r="I206" s="127" t="s">
        <v>1270</v>
      </c>
      <c r="J206" s="120" t="s">
        <v>1271</v>
      </c>
      <c r="K206" s="121" t="str">
        <f t="shared" si="36"/>
        <v>BOURNE</v>
      </c>
      <c r="L206" s="121" t="str">
        <f t="shared" si="37"/>
        <v>CICCHETTO</v>
      </c>
      <c r="M206" s="121">
        <f t="shared" si="47"/>
        <v>22626</v>
      </c>
      <c r="N206" s="121">
        <f t="shared" si="38"/>
        <v>22469</v>
      </c>
      <c r="O206" s="121" t="str">
        <f t="shared" si="39"/>
        <v>242599915</v>
      </c>
      <c r="P206" s="121" t="str">
        <f t="shared" si="40"/>
        <v>242600999</v>
      </c>
      <c r="Q206" s="120" t="s">
        <v>1023</v>
      </c>
      <c r="R206" s="120" t="s">
        <v>1024</v>
      </c>
      <c r="S206" s="120" t="s">
        <v>1025</v>
      </c>
      <c r="T206" s="120" t="s">
        <v>1018</v>
      </c>
      <c r="U206" s="120" t="s">
        <v>1019</v>
      </c>
      <c r="V206" s="120" t="s">
        <v>1321</v>
      </c>
      <c r="W206" s="122" t="str">
        <f t="shared" si="41"/>
        <v>PPAddIban16@mailinator.com</v>
      </c>
      <c r="X206" s="120" t="str">
        <f t="shared" si="42"/>
        <v>PPAddIban7@mailinator.com</v>
      </c>
      <c r="Y206" s="121" t="str">
        <f t="shared" si="43"/>
        <v>Dummy!2022</v>
      </c>
      <c r="Z206" s="121" t="str">
        <f t="shared" si="44"/>
        <v>020-8055516</v>
      </c>
      <c r="AA206" s="120" t="s">
        <v>1243</v>
      </c>
      <c r="AB206" s="120" t="s">
        <v>986</v>
      </c>
      <c r="AQ206" s="119" t="str">
        <f t="shared" si="45"/>
        <v>PPAddIban16@mailinator.com</v>
      </c>
      <c r="AR206" s="119" t="str">
        <f t="shared" si="46"/>
        <v>PPAddIban7@mailinator.com</v>
      </c>
    </row>
    <row r="207" spans="1:44" ht="41.4" x14ac:dyDescent="0.3">
      <c r="A207" s="120" t="s">
        <v>1322</v>
      </c>
      <c r="B207" s="120" t="s">
        <v>615</v>
      </c>
      <c r="C207" s="120" t="s">
        <v>1273</v>
      </c>
      <c r="D207" s="120" t="s">
        <v>1123</v>
      </c>
      <c r="E207" s="120" t="s">
        <v>1093</v>
      </c>
      <c r="F207" s="120" t="s">
        <v>72</v>
      </c>
      <c r="G207" s="120" t="s">
        <v>1033</v>
      </c>
      <c r="H207" s="120" t="s">
        <v>1007</v>
      </c>
      <c r="I207" s="127" t="s">
        <v>1285</v>
      </c>
      <c r="J207" s="120" t="s">
        <v>1271</v>
      </c>
      <c r="K207" s="121" t="str">
        <f t="shared" si="36"/>
        <v>BOURNE</v>
      </c>
      <c r="L207" s="121" t="str">
        <f t="shared" si="37"/>
        <v>CICCHETTO</v>
      </c>
      <c r="M207" s="121">
        <f t="shared" si="47"/>
        <v>22626</v>
      </c>
      <c r="N207" s="121">
        <f t="shared" si="38"/>
        <v>22469</v>
      </c>
      <c r="O207" s="121" t="str">
        <f t="shared" si="39"/>
        <v>242599915</v>
      </c>
      <c r="P207" s="121" t="str">
        <f t="shared" si="40"/>
        <v>242600999</v>
      </c>
      <c r="Q207" s="120" t="s">
        <v>1023</v>
      </c>
      <c r="R207" s="120" t="s">
        <v>1024</v>
      </c>
      <c r="S207" s="120" t="s">
        <v>1025</v>
      </c>
      <c r="T207" s="120"/>
      <c r="U207" s="120"/>
      <c r="V207" s="120" t="s">
        <v>1323</v>
      </c>
      <c r="W207" s="122" t="str">
        <f t="shared" si="41"/>
        <v>PPAddIban16@mailinator.com</v>
      </c>
      <c r="X207" s="120" t="str">
        <f t="shared" si="42"/>
        <v>PPAddIban7@mailinator.com</v>
      </c>
      <c r="Y207" s="121" t="str">
        <f t="shared" si="43"/>
        <v>Dummy!2022</v>
      </c>
      <c r="Z207" s="121" t="str">
        <f t="shared" si="44"/>
        <v>020-8055516</v>
      </c>
      <c r="AA207" s="120" t="s">
        <v>1245</v>
      </c>
      <c r="AB207" s="120" t="s">
        <v>986</v>
      </c>
      <c r="AQ207" s="119" t="str">
        <f t="shared" si="45"/>
        <v>PPAddIban16@mailinator.com</v>
      </c>
      <c r="AR207" s="119" t="str">
        <f t="shared" si="46"/>
        <v>PPAddIban7@mailinator.com</v>
      </c>
    </row>
    <row r="208" spans="1:44" ht="41.4" x14ac:dyDescent="0.3">
      <c r="A208" s="120" t="s">
        <v>1324</v>
      </c>
      <c r="B208" s="120" t="s">
        <v>615</v>
      </c>
      <c r="C208" s="120" t="s">
        <v>1275</v>
      </c>
      <c r="D208" s="120" t="s">
        <v>1123</v>
      </c>
      <c r="E208" s="120" t="s">
        <v>1093</v>
      </c>
      <c r="F208" s="120" t="s">
        <v>72</v>
      </c>
      <c r="G208" s="120" t="s">
        <v>984</v>
      </c>
      <c r="H208" s="120"/>
      <c r="I208" s="127" t="s">
        <v>1276</v>
      </c>
      <c r="J208" s="120" t="s">
        <v>1271</v>
      </c>
      <c r="K208" s="121" t="str">
        <f t="shared" si="36"/>
        <v>BOURNE</v>
      </c>
      <c r="L208" s="121" t="str">
        <f t="shared" si="37"/>
        <v>CICCHETTO</v>
      </c>
      <c r="M208" s="121">
        <f t="shared" si="47"/>
        <v>22626</v>
      </c>
      <c r="N208" s="121">
        <f t="shared" si="38"/>
        <v>22469</v>
      </c>
      <c r="O208" s="121" t="str">
        <f t="shared" si="39"/>
        <v>242599915</v>
      </c>
      <c r="P208" s="121" t="str">
        <f t="shared" si="40"/>
        <v>242600999</v>
      </c>
      <c r="Q208" s="120" t="s">
        <v>1015</v>
      </c>
      <c r="R208" s="120" t="s">
        <v>1016</v>
      </c>
      <c r="S208" s="120" t="s">
        <v>1017</v>
      </c>
      <c r="T208" s="120"/>
      <c r="U208" s="120"/>
      <c r="V208" s="120" t="s">
        <v>1325</v>
      </c>
      <c r="W208" s="122" t="str">
        <f t="shared" si="41"/>
        <v>PPAddIban16@mailinator.com</v>
      </c>
      <c r="X208" s="120" t="str">
        <f t="shared" si="42"/>
        <v>PPAddIban7@mailinator.com</v>
      </c>
      <c r="Y208" s="121" t="str">
        <f t="shared" si="43"/>
        <v>Dummy!2022</v>
      </c>
      <c r="Z208" s="121" t="str">
        <f t="shared" si="44"/>
        <v>020-8055516</v>
      </c>
      <c r="AA208" s="126" t="s">
        <v>1247</v>
      </c>
      <c r="AB208" s="120" t="s">
        <v>986</v>
      </c>
      <c r="AQ208" s="119" t="str">
        <f t="shared" si="45"/>
        <v>PPAddIban16@mailinator.com</v>
      </c>
      <c r="AR208" s="119" t="str">
        <f t="shared" si="46"/>
        <v>PPAddIban7@mailinator.com</v>
      </c>
    </row>
    <row r="209" spans="1:44" ht="41.4" x14ac:dyDescent="0.3">
      <c r="A209" s="120" t="s">
        <v>1326</v>
      </c>
      <c r="B209" s="120" t="s">
        <v>615</v>
      </c>
      <c r="C209" s="120" t="s">
        <v>1273</v>
      </c>
      <c r="D209" s="120" t="s">
        <v>1123</v>
      </c>
      <c r="E209" s="120" t="s">
        <v>1105</v>
      </c>
      <c r="F209" s="120" t="s">
        <v>31</v>
      </c>
      <c r="G209" s="120" t="s">
        <v>1033</v>
      </c>
      <c r="H209" s="120" t="s">
        <v>1007</v>
      </c>
      <c r="I209" s="127" t="s">
        <v>1270</v>
      </c>
      <c r="J209" s="120" t="s">
        <v>1271</v>
      </c>
      <c r="K209" s="121" t="str">
        <f t="shared" si="36"/>
        <v>RIGNALL</v>
      </c>
      <c r="L209" s="121" t="str">
        <f t="shared" si="37"/>
        <v>DE GLANVILLE</v>
      </c>
      <c r="M209" s="121">
        <f t="shared" si="47"/>
        <v>19209</v>
      </c>
      <c r="N209" s="121">
        <f t="shared" si="38"/>
        <v>27439</v>
      </c>
      <c r="O209" s="121" t="str">
        <f t="shared" si="39"/>
        <v>242600948</v>
      </c>
      <c r="P209" s="121" t="str">
        <f t="shared" si="40"/>
        <v>242596037</v>
      </c>
      <c r="Q209" s="120" t="s">
        <v>1023</v>
      </c>
      <c r="R209" s="120" t="s">
        <v>1024</v>
      </c>
      <c r="S209" s="120" t="s">
        <v>1025</v>
      </c>
      <c r="T209" s="120" t="s">
        <v>1018</v>
      </c>
      <c r="U209" s="120" t="s">
        <v>1019</v>
      </c>
      <c r="V209" s="120" t="s">
        <v>1327</v>
      </c>
      <c r="W209" s="122" t="str">
        <f t="shared" si="41"/>
        <v>PPAddIban6@mailinator.com</v>
      </c>
      <c r="X209" s="120" t="str">
        <f t="shared" si="42"/>
        <v>RebrandAutomationUser7@mailinator.com</v>
      </c>
      <c r="Y209" s="121" t="str">
        <f t="shared" si="43"/>
        <v>Dummy!2022</v>
      </c>
      <c r="Z209" s="121" t="str">
        <f t="shared" si="44"/>
        <v>020-8055556</v>
      </c>
      <c r="AA209" s="126" t="s">
        <v>1261</v>
      </c>
      <c r="AB209" s="120" t="s">
        <v>986</v>
      </c>
      <c r="AQ209" s="119" t="str">
        <f t="shared" si="45"/>
        <v>PPAddIban6@mailinator.com</v>
      </c>
      <c r="AR209" s="119" t="str">
        <f t="shared" si="46"/>
        <v>RebrandAutomationUser7@mailinator.com</v>
      </c>
    </row>
    <row r="210" spans="1:44" ht="41.4" x14ac:dyDescent="0.3">
      <c r="A210" s="120" t="s">
        <v>1328</v>
      </c>
      <c r="B210" s="120" t="s">
        <v>615</v>
      </c>
      <c r="C210" s="120" t="s">
        <v>1273</v>
      </c>
      <c r="D210" s="120" t="s">
        <v>1123</v>
      </c>
      <c r="E210" s="120" t="s">
        <v>1105</v>
      </c>
      <c r="F210" s="120" t="s">
        <v>72</v>
      </c>
      <c r="G210" s="120" t="s">
        <v>1033</v>
      </c>
      <c r="H210" s="120" t="s">
        <v>1007</v>
      </c>
      <c r="I210" s="127" t="s">
        <v>1285</v>
      </c>
      <c r="J210" s="120" t="s">
        <v>1271</v>
      </c>
      <c r="K210" s="121" t="str">
        <f t="shared" si="36"/>
        <v>RIGNALL</v>
      </c>
      <c r="L210" s="121" t="str">
        <f t="shared" si="37"/>
        <v>DE GLANVILLE</v>
      </c>
      <c r="M210" s="121">
        <f t="shared" si="47"/>
        <v>19209</v>
      </c>
      <c r="N210" s="121">
        <f t="shared" si="38"/>
        <v>27439</v>
      </c>
      <c r="O210" s="121" t="str">
        <f t="shared" si="39"/>
        <v>242600948</v>
      </c>
      <c r="P210" s="121" t="str">
        <f t="shared" si="40"/>
        <v>242596037</v>
      </c>
      <c r="Q210" s="120" t="s">
        <v>1023</v>
      </c>
      <c r="R210" s="120" t="s">
        <v>1024</v>
      </c>
      <c r="S210" s="120" t="s">
        <v>1025</v>
      </c>
      <c r="T210" s="120"/>
      <c r="U210" s="120"/>
      <c r="V210" s="120" t="s">
        <v>1329</v>
      </c>
      <c r="W210" s="122" t="str">
        <f t="shared" si="41"/>
        <v>PPAddIban6@mailinator.com</v>
      </c>
      <c r="X210" s="120" t="str">
        <f t="shared" si="42"/>
        <v>RebrandAutomationUser7@mailinator.com</v>
      </c>
      <c r="Y210" s="121" t="str">
        <f t="shared" si="43"/>
        <v>Dummy!2022</v>
      </c>
      <c r="Z210" s="121" t="str">
        <f t="shared" si="44"/>
        <v>020-8055556</v>
      </c>
      <c r="AA210" s="126" t="s">
        <v>1263</v>
      </c>
      <c r="AB210" s="120" t="s">
        <v>986</v>
      </c>
      <c r="AQ210" s="119" t="str">
        <f t="shared" si="45"/>
        <v>PPAddIban6@mailinator.com</v>
      </c>
      <c r="AR210" s="119" t="str">
        <f t="shared" si="46"/>
        <v>RebrandAutomationUser7@mailinator.com</v>
      </c>
    </row>
    <row r="211" spans="1:44" ht="41.4" x14ac:dyDescent="0.3">
      <c r="A211" s="120" t="s">
        <v>1330</v>
      </c>
      <c r="B211" s="120" t="s">
        <v>615</v>
      </c>
      <c r="C211" s="120" t="s">
        <v>1275</v>
      </c>
      <c r="D211" s="120" t="s">
        <v>1123</v>
      </c>
      <c r="E211" s="120" t="s">
        <v>1105</v>
      </c>
      <c r="F211" s="120" t="s">
        <v>72</v>
      </c>
      <c r="G211" s="120" t="s">
        <v>984</v>
      </c>
      <c r="H211" s="120"/>
      <c r="I211" s="127" t="s">
        <v>1276</v>
      </c>
      <c r="J211" s="120" t="s">
        <v>1271</v>
      </c>
      <c r="K211" s="121" t="str">
        <f t="shared" si="36"/>
        <v>RIGNALL</v>
      </c>
      <c r="L211" s="121" t="str">
        <f t="shared" si="37"/>
        <v>DE GLANVILLE</v>
      </c>
      <c r="M211" s="121">
        <f t="shared" si="47"/>
        <v>19209</v>
      </c>
      <c r="N211" s="121">
        <f t="shared" si="38"/>
        <v>27439</v>
      </c>
      <c r="O211" s="121" t="str">
        <f t="shared" si="39"/>
        <v>242600948</v>
      </c>
      <c r="P211" s="121" t="str">
        <f t="shared" si="40"/>
        <v>242596037</v>
      </c>
      <c r="Q211" s="120" t="s">
        <v>1015</v>
      </c>
      <c r="R211" s="120" t="s">
        <v>1016</v>
      </c>
      <c r="S211" s="120" t="s">
        <v>1017</v>
      </c>
      <c r="T211" s="120"/>
      <c r="U211" s="120"/>
      <c r="V211" s="120" t="s">
        <v>1331</v>
      </c>
      <c r="W211" s="122" t="str">
        <f t="shared" si="41"/>
        <v>PPAddIban6@mailinator.com</v>
      </c>
      <c r="X211" s="120" t="str">
        <f t="shared" si="42"/>
        <v>RebrandAutomationUser7@mailinator.com</v>
      </c>
      <c r="Y211" s="121" t="str">
        <f t="shared" si="43"/>
        <v>Dummy!2022</v>
      </c>
      <c r="Z211" s="121" t="str">
        <f t="shared" si="44"/>
        <v>020-8055556</v>
      </c>
      <c r="AA211" s="126" t="s">
        <v>1265</v>
      </c>
      <c r="AB211" s="120" t="s">
        <v>986</v>
      </c>
      <c r="AQ211" s="119" t="str">
        <f t="shared" si="45"/>
        <v>PPAddIban6@mailinator.com</v>
      </c>
      <c r="AR211" s="119" t="str">
        <f t="shared" si="46"/>
        <v>RebrandAutomationUser7@mailinator.com</v>
      </c>
    </row>
    <row r="212" spans="1:44" ht="41.4" x14ac:dyDescent="0.3">
      <c r="A212" s="120" t="s">
        <v>1332</v>
      </c>
      <c r="B212" s="120" t="s">
        <v>980</v>
      </c>
      <c r="C212" s="120" t="s">
        <v>981</v>
      </c>
      <c r="D212" s="120" t="s">
        <v>1058</v>
      </c>
      <c r="E212" s="120" t="s">
        <v>987</v>
      </c>
      <c r="F212" s="120"/>
      <c r="G212" s="120" t="s">
        <v>1029</v>
      </c>
      <c r="H212" s="120" t="s">
        <v>985</v>
      </c>
      <c r="I212" s="127" t="s">
        <v>818</v>
      </c>
      <c r="J212" s="128"/>
      <c r="K212" s="121" t="str">
        <f t="shared" si="36"/>
        <v>RIGNALL</v>
      </c>
      <c r="L212" s="121" t="str">
        <f t="shared" si="37"/>
        <v/>
      </c>
      <c r="M212" s="121">
        <f t="shared" si="47"/>
        <v>19209</v>
      </c>
      <c r="N212" s="121" t="str">
        <f t="shared" si="38"/>
        <v/>
      </c>
      <c r="O212" s="121" t="str">
        <f t="shared" si="39"/>
        <v>242600948</v>
      </c>
      <c r="P212" s="121" t="str">
        <f t="shared" si="40"/>
        <v/>
      </c>
      <c r="Q212" s="120"/>
      <c r="R212" s="120"/>
      <c r="S212" s="120"/>
      <c r="T212" s="120"/>
      <c r="U212" s="120"/>
      <c r="V212" s="120"/>
      <c r="W212" s="122" t="str">
        <f t="shared" si="41"/>
        <v>PPAddIban6@mailinator.com</v>
      </c>
      <c r="X212" s="120" t="str">
        <f t="shared" si="42"/>
        <v/>
      </c>
      <c r="Y212" s="121" t="str">
        <f t="shared" si="43"/>
        <v>Dummy!2022</v>
      </c>
      <c r="Z212" s="121" t="str">
        <f t="shared" si="44"/>
        <v>020-8055556</v>
      </c>
      <c r="AA212" s="120" t="s">
        <v>1061</v>
      </c>
      <c r="AB212" s="120" t="s">
        <v>986</v>
      </c>
      <c r="AQ212" s="119" t="str">
        <f t="shared" si="45"/>
        <v>PPAddIban6@mailinator.com</v>
      </c>
      <c r="AR212" s="119" t="str">
        <f t="shared" si="46"/>
        <v/>
      </c>
    </row>
    <row r="213" spans="1:44" ht="27.6" x14ac:dyDescent="0.3">
      <c r="A213" s="120" t="s">
        <v>1333</v>
      </c>
      <c r="B213" s="120" t="s">
        <v>980</v>
      </c>
      <c r="C213" s="120" t="s">
        <v>981</v>
      </c>
      <c r="D213" s="129" t="s">
        <v>1072</v>
      </c>
      <c r="E213" s="120" t="s">
        <v>1073</v>
      </c>
      <c r="F213" s="120"/>
      <c r="G213" s="120" t="s">
        <v>985</v>
      </c>
      <c r="H213" s="120" t="s">
        <v>985</v>
      </c>
      <c r="K213" s="119" t="s">
        <v>1334</v>
      </c>
      <c r="L213" s="119" t="s">
        <v>1334</v>
      </c>
      <c r="M213" s="130" t="s">
        <v>1335</v>
      </c>
      <c r="N213" s="130" t="s">
        <v>1335</v>
      </c>
      <c r="O213" s="124" t="s">
        <v>1336</v>
      </c>
      <c r="P213" s="124" t="s">
        <v>1336</v>
      </c>
      <c r="W213" s="123" t="s">
        <v>103</v>
      </c>
      <c r="X213" s="123" t="s">
        <v>103</v>
      </c>
      <c r="Y213" s="119" t="s">
        <v>75</v>
      </c>
      <c r="Z213" s="119" t="s">
        <v>104</v>
      </c>
    </row>
    <row r="214" spans="1:44" ht="41.4" x14ac:dyDescent="0.3">
      <c r="A214" s="120" t="s">
        <v>1337</v>
      </c>
      <c r="B214" s="120" t="s">
        <v>980</v>
      </c>
      <c r="C214" s="120" t="s">
        <v>981</v>
      </c>
      <c r="D214" s="129" t="s">
        <v>1072</v>
      </c>
      <c r="E214" s="120" t="s">
        <v>1073</v>
      </c>
      <c r="F214" s="120"/>
      <c r="G214" s="120" t="s">
        <v>985</v>
      </c>
      <c r="H214" s="120" t="s">
        <v>985</v>
      </c>
      <c r="K214" s="119" t="s">
        <v>1334</v>
      </c>
      <c r="L214" s="119" t="s">
        <v>1338</v>
      </c>
      <c r="M214" s="130" t="s">
        <v>1335</v>
      </c>
      <c r="N214" s="130" t="s">
        <v>1339</v>
      </c>
      <c r="O214" s="124" t="s">
        <v>1336</v>
      </c>
      <c r="P214" s="124" t="s">
        <v>1009</v>
      </c>
      <c r="W214" s="123" t="s">
        <v>103</v>
      </c>
      <c r="X214" s="123" t="s">
        <v>96</v>
      </c>
      <c r="Y214" s="119" t="s">
        <v>75</v>
      </c>
      <c r="Z214" s="119" t="s">
        <v>104</v>
      </c>
    </row>
    <row r="215" spans="1:44" ht="41.4" x14ac:dyDescent="0.3">
      <c r="A215" s="120" t="s">
        <v>1340</v>
      </c>
      <c r="B215" s="120" t="s">
        <v>980</v>
      </c>
      <c r="C215" s="120" t="s">
        <v>981</v>
      </c>
      <c r="D215" s="129" t="s">
        <v>1072</v>
      </c>
      <c r="E215" s="120" t="s">
        <v>1073</v>
      </c>
      <c r="F215" s="120"/>
      <c r="G215" s="120" t="s">
        <v>985</v>
      </c>
      <c r="H215" s="120" t="s">
        <v>985</v>
      </c>
      <c r="K215" s="119" t="s">
        <v>1334</v>
      </c>
      <c r="L215" s="119" t="s">
        <v>1338</v>
      </c>
      <c r="M215" s="130" t="s">
        <v>1335</v>
      </c>
      <c r="N215" s="130" t="s">
        <v>1341</v>
      </c>
      <c r="O215" s="124" t="s">
        <v>1336</v>
      </c>
      <c r="P215" s="124" t="s">
        <v>1009</v>
      </c>
      <c r="W215" s="123" t="s">
        <v>103</v>
      </c>
      <c r="X215" s="123" t="s">
        <v>96</v>
      </c>
      <c r="Y215" s="119" t="s">
        <v>75</v>
      </c>
      <c r="Z215" s="119" t="s">
        <v>104</v>
      </c>
    </row>
    <row r="216" spans="1:44" ht="41.4" x14ac:dyDescent="0.3">
      <c r="A216" s="120" t="s">
        <v>1342</v>
      </c>
      <c r="B216" s="120" t="s">
        <v>980</v>
      </c>
      <c r="C216" s="120" t="s">
        <v>981</v>
      </c>
      <c r="D216" s="129" t="s">
        <v>1072</v>
      </c>
      <c r="E216" s="120" t="s">
        <v>1073</v>
      </c>
      <c r="F216" s="120"/>
      <c r="G216" s="120" t="s">
        <v>985</v>
      </c>
      <c r="H216" s="120" t="s">
        <v>985</v>
      </c>
      <c r="K216" s="119" t="s">
        <v>1334</v>
      </c>
      <c r="L216" s="119" t="s">
        <v>1338</v>
      </c>
      <c r="M216" s="130" t="s">
        <v>1335</v>
      </c>
      <c r="N216" s="130" t="s">
        <v>1343</v>
      </c>
      <c r="O216" s="124" t="s">
        <v>1336</v>
      </c>
      <c r="P216" s="124" t="s">
        <v>1344</v>
      </c>
      <c r="W216" s="123" t="s">
        <v>103</v>
      </c>
      <c r="X216" s="123" t="s">
        <v>96</v>
      </c>
      <c r="Y216" s="119" t="s">
        <v>75</v>
      </c>
      <c r="Z216" s="119" t="s">
        <v>104</v>
      </c>
    </row>
    <row r="217" spans="1:44" ht="41.4" x14ac:dyDescent="0.3">
      <c r="A217" s="120" t="s">
        <v>1345</v>
      </c>
      <c r="B217" s="120" t="s">
        <v>980</v>
      </c>
      <c r="C217" s="120" t="s">
        <v>981</v>
      </c>
      <c r="D217" s="129" t="s">
        <v>1072</v>
      </c>
      <c r="E217" s="120" t="s">
        <v>1073</v>
      </c>
      <c r="F217" s="120"/>
      <c r="G217" s="120" t="s">
        <v>985</v>
      </c>
      <c r="H217" s="120" t="s">
        <v>985</v>
      </c>
      <c r="K217" s="119" t="s">
        <v>1334</v>
      </c>
      <c r="L217" s="119" t="s">
        <v>1338</v>
      </c>
      <c r="M217" s="130" t="s">
        <v>1335</v>
      </c>
      <c r="N217" s="130" t="s">
        <v>1343</v>
      </c>
      <c r="O217" s="124" t="s">
        <v>1336</v>
      </c>
      <c r="P217" s="124" t="s">
        <v>1009</v>
      </c>
      <c r="W217" s="123" t="s">
        <v>103</v>
      </c>
      <c r="X217" s="123" t="s">
        <v>1346</v>
      </c>
      <c r="Y217" s="119" t="s">
        <v>75</v>
      </c>
      <c r="Z217" s="119" t="s">
        <v>104</v>
      </c>
    </row>
    <row r="218" spans="1:44" s="132" customFormat="1" ht="41.4" x14ac:dyDescent="0.3">
      <c r="A218" s="131" t="s">
        <v>1347</v>
      </c>
      <c r="B218" s="131" t="s">
        <v>980</v>
      </c>
      <c r="C218" s="131" t="s">
        <v>1011</v>
      </c>
      <c r="D218" s="131" t="s">
        <v>982</v>
      </c>
      <c r="E218" s="131" t="s">
        <v>987</v>
      </c>
      <c r="F218" s="131" t="s">
        <v>72</v>
      </c>
      <c r="G218" s="131" t="s">
        <v>998</v>
      </c>
      <c r="H218" s="131" t="s">
        <v>985</v>
      </c>
      <c r="I218" s="131"/>
      <c r="J218" s="120" t="s">
        <v>1013</v>
      </c>
      <c r="K218" s="120" t="s">
        <v>1014</v>
      </c>
      <c r="L218" s="121" t="str">
        <f t="shared" ref="L218:L219" si="48">IF(X218=$AU$5, $AX$5,
IF(X218=$AU$3,$AX$3, ""))</f>
        <v/>
      </c>
      <c r="M218" s="121">
        <f t="shared" ref="M218:M219" si="49">IF(W218=$AU$4, $AW$4,
IF(W218=$AU$2,$AW$2, ""))</f>
        <v>19209</v>
      </c>
      <c r="N218" s="121" t="s">
        <v>1348</v>
      </c>
      <c r="O218" s="121" t="str">
        <f t="shared" ref="O218:O219" si="50">IF(W218=$AU$4, $AV$4,
IF(W218=$AU$2,$AV$2, ""))</f>
        <v>242600948</v>
      </c>
      <c r="P218" s="121" t="str">
        <f t="shared" ref="P218:P219" si="51">IF(X218=$AU$5, $AV$5,
IF(X218=$AU$3,$AV$3, ""))</f>
        <v/>
      </c>
      <c r="Q218" s="120" t="s">
        <v>1015</v>
      </c>
      <c r="R218" s="120" t="s">
        <v>1016</v>
      </c>
      <c r="S218" s="120" t="s">
        <v>1017</v>
      </c>
      <c r="T218" s="120" t="s">
        <v>1018</v>
      </c>
      <c r="U218" s="120" t="s">
        <v>1019</v>
      </c>
      <c r="V218" s="120" t="s">
        <v>1020</v>
      </c>
      <c r="W218" s="122" t="str">
        <f t="shared" ref="W218:W219" si="52">IF(E218="Y", $AU$4,
IF(E218="N",$AU$2,
IF(E218="Y,Y",  $AU$4,
IF(E218="N,N",$AU$2,
IF(E218="Y,N", $AU$4,
IF(E218="N,Y", $AU$2, ""))))))</f>
        <v>PPAddIban6@mailinator.com</v>
      </c>
      <c r="X218" s="120" t="str">
        <f t="shared" ref="X218:X219" si="53">IF(E218="Y,Y", $AU$5,
IF(E218="N,N", $AU$3,
IF(E218="Y,N", $AU$3,
IF(E218="N,Y",$AU$5, ""))))</f>
        <v/>
      </c>
      <c r="Y218" s="121" t="str">
        <f t="shared" ref="Y218:Y219" si="54">IF(W218=$AU$2, $AZ$2,
IF(W218=$AU$4,$AZ$4, ""))</f>
        <v>Dummy!2022</v>
      </c>
      <c r="Z218" s="121" t="str">
        <f t="shared" ref="Z218:Z219" si="55">IF(W218=$AU$4, $AY$4,
IF(W218=$AU$2,$AY$2, ""))</f>
        <v>020-8055556</v>
      </c>
      <c r="AA218" s="120" t="s">
        <v>1043</v>
      </c>
      <c r="AB218" s="120" t="s">
        <v>986</v>
      </c>
    </row>
    <row r="219" spans="1:44" ht="27.6" x14ac:dyDescent="0.3">
      <c r="A219" s="120" t="s">
        <v>1349</v>
      </c>
      <c r="B219" s="120" t="s">
        <v>980</v>
      </c>
      <c r="C219" s="120" t="s">
        <v>981</v>
      </c>
      <c r="D219" s="120" t="s">
        <v>1058</v>
      </c>
      <c r="E219" s="120" t="s">
        <v>987</v>
      </c>
      <c r="F219" s="120"/>
      <c r="G219" s="120" t="s">
        <v>1029</v>
      </c>
      <c r="H219" s="120" t="s">
        <v>985</v>
      </c>
      <c r="I219" s="127" t="s">
        <v>1350</v>
      </c>
      <c r="J219" s="120"/>
      <c r="K219" s="121" t="str">
        <f t="shared" ref="K219" si="56">IF(W219=$AU$4, $AX$4,
IF(W219=$AU$2,$AX$2, ""))</f>
        <v>RIGNALL</v>
      </c>
      <c r="L219" s="121" t="str">
        <f t="shared" si="48"/>
        <v/>
      </c>
      <c r="M219" s="121">
        <f t="shared" si="49"/>
        <v>19209</v>
      </c>
      <c r="N219" s="121" t="str">
        <f t="shared" ref="N219" si="57">IF(X219=$AU$5, $AW$5,
IF(X219=$AU$3,$AW$3, ""))</f>
        <v/>
      </c>
      <c r="O219" s="121" t="str">
        <f t="shared" si="50"/>
        <v>242600948</v>
      </c>
      <c r="P219" s="121" t="str">
        <f t="shared" si="51"/>
        <v/>
      </c>
      <c r="Q219" s="120"/>
      <c r="R219" s="120"/>
      <c r="S219" s="120"/>
      <c r="T219" s="120"/>
      <c r="U219" s="120"/>
      <c r="V219" s="120"/>
      <c r="W219" s="122" t="str">
        <f t="shared" si="52"/>
        <v>PPAddIban6@mailinator.com</v>
      </c>
      <c r="X219" s="120" t="str">
        <f t="shared" si="53"/>
        <v/>
      </c>
      <c r="Y219" s="121" t="str">
        <f t="shared" si="54"/>
        <v>Dummy!2022</v>
      </c>
      <c r="Z219" s="121" t="str">
        <f t="shared" si="55"/>
        <v>020-8055556</v>
      </c>
      <c r="AA219" s="120" t="s">
        <v>1061</v>
      </c>
      <c r="AB219" s="120" t="s">
        <v>986</v>
      </c>
      <c r="AQ219" s="119" t="str">
        <f t="shared" ref="AQ219" si="58">IF(E219="Y", $AU$4,
IF(E219="N",$AU$2,
IF(E219="Y,Y",  $AU$4,
IF(E219="N,N",$AU$2,
IF(E219="Y,N", $AU$4,
IF(E219="N,Y", $AU$2, ""))))))</f>
        <v>PPAddIban6@mailinator.com</v>
      </c>
      <c r="AR219" s="119" t="str">
        <f t="shared" ref="AR219" si="59">IF(E219="Y,Y", $AU$5,
IF(E219="N,N", $AU$3,
IF(E219="Y,N", $AU$3,
IF(E219="N,Y",$AU$5, ""))))</f>
        <v/>
      </c>
    </row>
    <row r="220" spans="1:44" ht="27.6" x14ac:dyDescent="0.3">
      <c r="A220" s="120" t="s">
        <v>1351</v>
      </c>
      <c r="B220" s="120" t="s">
        <v>980</v>
      </c>
      <c r="C220" s="120" t="s">
        <v>981</v>
      </c>
      <c r="D220" s="129" t="s">
        <v>1072</v>
      </c>
      <c r="E220" s="120" t="s">
        <v>1073</v>
      </c>
      <c r="F220" s="120"/>
      <c r="G220" s="120" t="s">
        <v>985</v>
      </c>
      <c r="H220" s="120" t="s">
        <v>985</v>
      </c>
      <c r="I220" s="127" t="s">
        <v>818</v>
      </c>
      <c r="K220" s="119" t="s">
        <v>1334</v>
      </c>
      <c r="L220" s="119" t="s">
        <v>1338</v>
      </c>
      <c r="M220" s="130" t="s">
        <v>1335</v>
      </c>
      <c r="N220" s="130" t="s">
        <v>1352</v>
      </c>
      <c r="O220" s="124" t="s">
        <v>1336</v>
      </c>
      <c r="P220" s="124" t="s">
        <v>1009</v>
      </c>
      <c r="W220" s="123" t="s">
        <v>103</v>
      </c>
      <c r="X220" s="123" t="s">
        <v>96</v>
      </c>
      <c r="Y220" s="119" t="s">
        <v>75</v>
      </c>
      <c r="Z220" s="119" t="s">
        <v>104</v>
      </c>
    </row>
    <row r="221" spans="1:44" s="132" customFormat="1" ht="41.4" x14ac:dyDescent="0.3">
      <c r="A221" s="131" t="s">
        <v>1353</v>
      </c>
      <c r="B221" s="131" t="s">
        <v>980</v>
      </c>
      <c r="C221" s="131" t="s">
        <v>1011</v>
      </c>
      <c r="D221" s="131" t="s">
        <v>1058</v>
      </c>
      <c r="E221" s="131" t="s">
        <v>987</v>
      </c>
      <c r="F221" s="131" t="s">
        <v>72</v>
      </c>
      <c r="G221" s="131" t="s">
        <v>998</v>
      </c>
      <c r="H221" s="131" t="s">
        <v>985</v>
      </c>
      <c r="I221" s="131"/>
      <c r="J221" s="120" t="s">
        <v>1013</v>
      </c>
      <c r="K221" s="120" t="s">
        <v>1014</v>
      </c>
      <c r="L221" s="121" t="str">
        <f t="shared" ref="L221" si="60">IF(X221=$AU$5, $AX$5,
IF(X221=$AU$3,$AX$3, ""))</f>
        <v/>
      </c>
      <c r="M221" s="121">
        <f t="shared" ref="M221" si="61">IF(W221=$AU$4, $AW$4,
IF(W221=$AU$2,$AW$2, ""))</f>
        <v>19209</v>
      </c>
      <c r="N221" s="121" t="s">
        <v>1354</v>
      </c>
      <c r="O221" s="121" t="str">
        <f t="shared" ref="O221:O222" si="62">IF(W221=$AU$4, $AV$4,
IF(W221=$AU$2,$AV$2, ""))</f>
        <v>242600948</v>
      </c>
      <c r="P221" s="121" t="str">
        <f t="shared" ref="P221:P222" si="63">IF(X221=$AU$5, $AV$5,
IF(X221=$AU$3,$AV$3, ""))</f>
        <v/>
      </c>
      <c r="Q221" s="120" t="s">
        <v>1015</v>
      </c>
      <c r="R221" s="120" t="s">
        <v>1016</v>
      </c>
      <c r="S221" s="120" t="s">
        <v>1017</v>
      </c>
      <c r="T221" s="120" t="s">
        <v>1018</v>
      </c>
      <c r="U221" s="120" t="s">
        <v>1019</v>
      </c>
      <c r="V221" s="120" t="s">
        <v>1020</v>
      </c>
      <c r="W221" s="122" t="str">
        <f t="shared" ref="W221:W222" si="64">IF(E221="Y", $AU$4,
IF(E221="N",$AU$2,
IF(E221="Y,Y",  $AU$4,
IF(E221="N,N",$AU$2,
IF(E221="Y,N", $AU$4,
IF(E221="N,Y", $AU$2, ""))))))</f>
        <v>PPAddIban6@mailinator.com</v>
      </c>
      <c r="X221" s="120" t="str">
        <f t="shared" ref="X221:X222" si="65">IF(E221="Y,Y", $AU$5,
IF(E221="N,N", $AU$3,
IF(E221="Y,N", $AU$3,
IF(E221="N,Y",$AU$5, ""))))</f>
        <v/>
      </c>
      <c r="Y221" s="121" t="str">
        <f t="shared" ref="Y221:Y222" si="66">IF(W221=$AU$2, $AZ$2,
IF(W221=$AU$4,$AZ$4, ""))</f>
        <v>Dummy!2022</v>
      </c>
      <c r="Z221" s="121" t="str">
        <f>IF(W221=$AU$4, $AY$4,
IF(W221=$AU$2,$AY$2, ""))</f>
        <v>020-8055556</v>
      </c>
      <c r="AA221" s="120" t="s">
        <v>1043</v>
      </c>
      <c r="AB221" s="120" t="s">
        <v>986</v>
      </c>
    </row>
    <row r="222" spans="1:44" ht="41.4" x14ac:dyDescent="0.3">
      <c r="A222" s="120" t="s">
        <v>1355</v>
      </c>
      <c r="B222" s="120" t="s">
        <v>615</v>
      </c>
      <c r="C222" s="120" t="s">
        <v>1011</v>
      </c>
      <c r="D222" s="120" t="s">
        <v>1058</v>
      </c>
      <c r="E222" s="120" t="s">
        <v>983</v>
      </c>
      <c r="F222" s="120" t="s">
        <v>31</v>
      </c>
      <c r="G222" s="120" t="s">
        <v>1006</v>
      </c>
      <c r="H222" s="120"/>
      <c r="I222" s="120" t="s">
        <v>615</v>
      </c>
      <c r="J222" s="120" t="s">
        <v>1013</v>
      </c>
      <c r="K222" s="120" t="s">
        <v>1014</v>
      </c>
      <c r="M222" s="130" t="s">
        <v>1356</v>
      </c>
      <c r="N222" s="133" t="s">
        <v>1357</v>
      </c>
      <c r="O222" s="121" t="str">
        <f t="shared" si="62"/>
        <v>242599915</v>
      </c>
      <c r="P222" s="121" t="str">
        <f t="shared" si="63"/>
        <v/>
      </c>
      <c r="Q222" s="120" t="s">
        <v>1015</v>
      </c>
      <c r="R222" s="120" t="s">
        <v>1016</v>
      </c>
      <c r="S222" s="120" t="s">
        <v>1017</v>
      </c>
      <c r="T222" s="120" t="s">
        <v>1018</v>
      </c>
      <c r="U222" s="120" t="s">
        <v>1019</v>
      </c>
      <c r="V222" s="120" t="s">
        <v>1020</v>
      </c>
      <c r="W222" s="122" t="str">
        <f t="shared" si="64"/>
        <v>PPAddIban16@mailinator.com</v>
      </c>
      <c r="X222" s="120" t="str">
        <f t="shared" si="65"/>
        <v/>
      </c>
      <c r="Y222" s="121" t="str">
        <f t="shared" si="66"/>
        <v>Dummy!2022</v>
      </c>
      <c r="Z222" s="121" t="str">
        <f t="shared" ref="Z222" si="67">IF(W222=$AU$4, $AY$4,
IF(W222=$AU$2,$AY$2, ""))</f>
        <v>020-8055516</v>
      </c>
      <c r="AA222" s="120"/>
      <c r="AB222" s="120" t="s">
        <v>986</v>
      </c>
    </row>
    <row r="224" spans="1:44" s="132" customFormat="1" x14ac:dyDescent="0.3">
      <c r="A224" s="131" t="s">
        <v>1358</v>
      </c>
      <c r="B224" s="131" t="s">
        <v>980</v>
      </c>
      <c r="C224" s="131" t="s">
        <v>981</v>
      </c>
      <c r="D224" s="131" t="s">
        <v>982</v>
      </c>
      <c r="E224" s="131" t="s">
        <v>987</v>
      </c>
      <c r="F224" s="131" t="s">
        <v>615</v>
      </c>
      <c r="G224" s="131" t="s">
        <v>998</v>
      </c>
      <c r="H224" s="131" t="s">
        <v>985</v>
      </c>
      <c r="I224" s="131"/>
      <c r="J224" s="131" t="s">
        <v>615</v>
      </c>
      <c r="K224" s="119" t="s">
        <v>990</v>
      </c>
      <c r="M224" s="134" t="s">
        <v>1359</v>
      </c>
      <c r="O224" s="135" t="s">
        <v>1360</v>
      </c>
      <c r="W224" s="123" t="s">
        <v>988</v>
      </c>
      <c r="Y224" s="136" t="str">
        <f t="shared" ref="Y224:Y226" si="68">IF(W224=$AU$2, $AZ$2,
IF(W224=$AU$4,$AZ$4, ""))</f>
        <v>Dummy!2022</v>
      </c>
      <c r="Z224" s="132" t="s">
        <v>991</v>
      </c>
    </row>
    <row r="226" spans="1:44" s="132" customFormat="1" ht="27.6" x14ac:dyDescent="0.3">
      <c r="A226" s="131" t="s">
        <v>1361</v>
      </c>
      <c r="B226" s="131" t="s">
        <v>1362</v>
      </c>
      <c r="C226" s="131" t="s">
        <v>22</v>
      </c>
      <c r="D226" s="131" t="s">
        <v>1058</v>
      </c>
      <c r="E226" s="131" t="s">
        <v>983</v>
      </c>
      <c r="F226" s="131" t="s">
        <v>615</v>
      </c>
      <c r="G226" s="131" t="s">
        <v>1022</v>
      </c>
      <c r="H226" s="131"/>
      <c r="I226" s="131"/>
      <c r="J226" s="131" t="s">
        <v>615</v>
      </c>
      <c r="K226" s="136" t="str">
        <f t="shared" ref="K226" si="69">IF(W226=$AU$4, $AX$4,
IF(W226=$AU$2,$AX$2, ""))</f>
        <v>BOURNE</v>
      </c>
      <c r="L226" s="136" t="str">
        <f t="shared" ref="L226" si="70">IF(X226=$AU$5, $AX$5,
IF(X226=$AU$3,$AX$3, ""))</f>
        <v/>
      </c>
      <c r="M226" s="136">
        <f t="shared" ref="M226" si="71">IF(W226=$AU$4, $AW$4,
IF(W226=$AU$2,$AW$2, ""))</f>
        <v>22626</v>
      </c>
      <c r="N226" s="136" t="str">
        <f t="shared" ref="N226" si="72">IF(X226=$AU$5, $AW$5,
IF(X226=$AU$3,$AW$3, ""))</f>
        <v/>
      </c>
      <c r="O226" s="136" t="str">
        <f t="shared" ref="O226" si="73">IF(W226=$AU$4, $AV$4,
IF(W226=$AU$2,$AV$2, ""))</f>
        <v>242599915</v>
      </c>
      <c r="P226" s="136" t="str">
        <f t="shared" ref="P226" si="74">IF(X226=$AU$5, $AV$5,
IF(X226=$AU$3,$AV$3, ""))</f>
        <v/>
      </c>
      <c r="Q226" s="131" t="s">
        <v>615</v>
      </c>
      <c r="R226" s="131" t="s">
        <v>615</v>
      </c>
      <c r="S226" s="131" t="s">
        <v>615</v>
      </c>
      <c r="T226" s="131" t="s">
        <v>615</v>
      </c>
      <c r="U226" s="131" t="s">
        <v>615</v>
      </c>
      <c r="V226" s="131" t="s">
        <v>615</v>
      </c>
      <c r="W226" s="122" t="str">
        <f>IF(E226="Y", $AU$4,#REF!
                                                                                                                                                                                                                                                                IF(E226="N",$AU$2,
IF(E226="Y,Y",  $AU$4,
IF(E226="N,N",$AU$2,
IF(E226="Y,N", $AU$4,
IF(E226="N,Y", $AU$2, ""))))))</f>
        <v>PPAddIban16@mailinator.com</v>
      </c>
      <c r="X226" s="131" t="str">
        <f t="shared" ref="X226" si="75">IF(E226="Y,Y", $AU$5,
IF(E226="N,N", $AU$3,
IF(E226="Y,N", $AU$3,
IF(E226="N,Y",$AU$5, ""))))</f>
        <v/>
      </c>
      <c r="Y226" s="136" t="str">
        <f t="shared" si="68"/>
        <v>Dummy!2022</v>
      </c>
      <c r="Z226" s="136" t="str">
        <f>IF(W226=$AU$4, $AY$4,
IF(W226=$AU$2,$AY$2, ""))</f>
        <v>020-8055516</v>
      </c>
      <c r="AA226" s="131"/>
      <c r="AB226" s="131" t="s">
        <v>986</v>
      </c>
      <c r="AQ226" s="132" t="str">
        <f t="shared" ref="AQ226" si="76">IF(E226="Y", $AU$4,
IF(E226="N",$AU$2,
IF(E226="Y,Y",  $AU$4,
IF(E226="N,N",$AU$2,
IF(E226="Y,N", $AU$4,
IF(E226="N,Y", $AU$2, ""))))))</f>
        <v>PPAddIban16@mailinator.com</v>
      </c>
      <c r="AR226" s="132" t="str">
        <f t="shared" ref="AR226" si="77">IF(E226="Y,Y", $AU$5,
IF(E226="N,N", $AU$3,
IF(E226="Y,N", $AU$3,
IF(E226="N,Y",$AU$5, ""))))</f>
        <v/>
      </c>
    </row>
    <row r="227" spans="1:44" ht="33" customHeight="1" x14ac:dyDescent="0.3"/>
    <row r="228" spans="1:44" x14ac:dyDescent="0.3">
      <c r="M228" s="130" t="s">
        <v>1363</v>
      </c>
    </row>
  </sheetData>
  <dataValidations count="1">
    <dataValidation type="list" allowBlank="1" showInputMessage="1" showErrorMessage="1" sqref="AA165 AA190 AA208" xr:uid="{B7F7909D-C79A-4B40-B0B5-74790B1B76EE}">
      <formula1>CONCATENATE(Country,",",Country)</formula1>
    </dataValidation>
  </dataValidations>
  <hyperlinks>
    <hyperlink ref="W2" r:id="rId1" display="Perf-Test-User-10130@mailinator.com" xr:uid="{8E43EC58-E361-4C51-9D9C-444B7F11948C}"/>
    <hyperlink ref="W3:W211" r:id="rId2" display="Perf-Test-User-10130@mailinator.com" xr:uid="{089FAC91-37E2-4C05-BACC-7E131F8AC6B2}"/>
    <hyperlink ref="AU4" r:id="rId3" xr:uid="{EABAFA7F-FC98-4F16-99ED-57DC5DD99FAE}"/>
    <hyperlink ref="W212" r:id="rId4" display="Perf-Test-User-10130@mailinator.com" xr:uid="{D9D0B630-9099-4729-A334-6D5308DE5CF8}"/>
    <hyperlink ref="W213" r:id="rId5" xr:uid="{E7FF79AC-7726-4CCE-ABAD-6970FEC0625E}"/>
    <hyperlink ref="X213" r:id="rId6" xr:uid="{774C297C-612E-4CC3-8830-CAF9E8900271}"/>
    <hyperlink ref="W214" r:id="rId7" xr:uid="{AF368151-0A58-4989-B106-3570113D7F4F}"/>
    <hyperlink ref="X214" r:id="rId8" xr:uid="{5064DDC3-39F0-4899-94CA-DF0C82361D65}"/>
    <hyperlink ref="W215" r:id="rId9" xr:uid="{41467707-8A29-4971-98F0-0FA1E4001207}"/>
    <hyperlink ref="X215" r:id="rId10" xr:uid="{85203B45-CDCF-4DEF-8028-511B9713F371}"/>
    <hyperlink ref="W216" r:id="rId11" xr:uid="{45F5E5DB-0792-4D0F-929B-9350B96E3D99}"/>
    <hyperlink ref="X216" r:id="rId12" xr:uid="{78E411B1-9CE9-4A94-B0F2-A318E97A9DAA}"/>
    <hyperlink ref="W217" r:id="rId13" xr:uid="{19B81301-60D6-4290-903D-40EBE67C7AF0}"/>
    <hyperlink ref="X217" r:id="rId14" display="RebrandAutomationUser7@mailinator.com" xr:uid="{0B59CA72-7CBF-4D40-85AA-80279731690C}"/>
    <hyperlink ref="W218" r:id="rId15" display="Perf-Test-User-10130@mailinator.com" xr:uid="{5E1E4F4A-A369-4AA6-B641-007E4193D852}"/>
    <hyperlink ref="W219" r:id="rId16" display="Perf-Test-User-10130@mailinator.com" xr:uid="{68D0E1DB-6985-4186-8CFC-7908CA4B620E}"/>
    <hyperlink ref="W220" r:id="rId17" xr:uid="{B2E0790B-436E-4A80-9C55-2F563592B293}"/>
    <hyperlink ref="X220" r:id="rId18" xr:uid="{70A06D5D-7B05-43CF-B6E6-77B53420A6EA}"/>
    <hyperlink ref="W221" r:id="rId19" display="Perf-Test-User-10130@mailinator.com" xr:uid="{D077D422-6E28-4B0B-BAD8-13D65E5BEB99}"/>
    <hyperlink ref="W222" r:id="rId20" display="Perf-Test-User-10130@mailinator.com" xr:uid="{2AE7C330-3198-457E-B119-BE1B084AFBC6}"/>
    <hyperlink ref="W226" r:id="rId21" display="Perf-Test-User-10130@mailinator.com" xr:uid="{A495D82F-1271-402A-BC94-3D5FF6C22D94}"/>
    <hyperlink ref="AU3" r:id="rId22" xr:uid="{6E1094D1-684F-41E3-A640-495F10718592}"/>
    <hyperlink ref="AU2" r:id="rId23" xr:uid="{BE874B5E-ABB6-4A28-8018-B07BC01B474B}"/>
    <hyperlink ref="AU5" r:id="rId24" xr:uid="{34130103-D0FD-4F69-8AE0-C0AF2B786893}"/>
    <hyperlink ref="W224" r:id="rId25" xr:uid="{EEB09A78-1157-46A2-B8C3-FA19349C5ED4}"/>
  </hyperlinks>
  <pageMargins left="0.7" right="0.7" top="0.75" bottom="0.75" header="0.3" footer="0.3"/>
  <headerFooter>
    <oddHeader>&amp;L&amp;"Aptos"&amp;10&amp;K000000 Classification: Internal Use&amp;1#_x000D_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2" ma:contentTypeDescription="Create a new document." ma:contentTypeScope="" ma:versionID="646cb7c6d2a0e850db58cb8e2064dd8d">
  <xsd:schema xmlns:xsd="http://www.w3.org/2001/XMLSchema" xmlns:xs="http://www.w3.org/2001/XMLSchema" xmlns:p="http://schemas.microsoft.com/office/2006/metadata/properties" xmlns:ns2="a5d345da-46c9-4b0d-9c7c-55950907fc50" xmlns:ns3="32418232-d4ef-41b3-a96d-cdbe93d7ad5b" targetNamespace="http://schemas.microsoft.com/office/2006/metadata/properties" ma:root="true" ma:fieldsID="3f4641ea8f8f42a5551287bc65dc7a76" ns2:_="" ns3:_="">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F3E32B-E57E-458D-A8F8-90348967D524}">
  <ds:schemaRefs>
    <ds:schemaRef ds:uri="http://schemas.microsoft.com/sharepoint/v3/contenttype/forms"/>
  </ds:schemaRefs>
</ds:datastoreItem>
</file>

<file path=customXml/itemProps2.xml><?xml version="1.0" encoding="utf-8"?>
<ds:datastoreItem xmlns:ds="http://schemas.openxmlformats.org/officeDocument/2006/customXml" ds:itemID="{0DA3F514-152D-4ADD-AF67-3216909F5ED1}">
  <ds:schemaRefs>
    <ds:schemaRef ds:uri="http://schemas.microsoft.com/office/2006/metadata/properties"/>
    <ds:schemaRef ds:uri="http://schemas.microsoft.com/office/infopath/2007/PartnerControls"/>
    <ds:schemaRef ds:uri="a5d345da-46c9-4b0d-9c7c-55950907fc50"/>
    <ds:schemaRef ds:uri="32418232-d4ef-41b3-a96d-cdbe93d7ad5b"/>
  </ds:schemaRefs>
</ds:datastoreItem>
</file>

<file path=customXml/itemProps3.xml><?xml version="1.0" encoding="utf-8"?>
<ds:datastoreItem xmlns:ds="http://schemas.openxmlformats.org/officeDocument/2006/customXml" ds:itemID="{328E0364-91C8-4051-97E9-3A9379A7A0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Regression</vt:lpstr>
      <vt:lpstr>Error_Scenarios</vt:lpstr>
      <vt:lpstr>PreProdRegistratio</vt:lpstr>
      <vt:lpstr>Purchase Journeys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2024-06-03T06:22:35Z</dcterms:created>
  <dcterms:modified xsi:type="dcterms:W3CDTF">2026-05-08T12:27:44Z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y fmtid="{D5CDD505-2E9C-101B-9397-08002B2CF9AE}" pid="3" name="MSIP_Label_fb565cc1-c44b-442c-97d4-960559d8ae99_Enabled">
    <vt:lpwstr>true</vt:lpwstr>
  </property>
  <property fmtid="{D5CDD505-2E9C-101B-9397-08002B2CF9AE}" pid="4" name="MSIP_Label_fb565cc1-c44b-442c-97d4-960559d8ae99_SetDate">
    <vt:lpwstr>2026-03-06T12:42:59Z</vt:lpwstr>
  </property>
  <property fmtid="{D5CDD505-2E9C-101B-9397-08002B2CF9AE}" pid="5" name="MSIP_Label_fb565cc1-c44b-442c-97d4-960559d8ae99_Method">
    <vt:lpwstr>Privileged</vt:lpwstr>
  </property>
  <property fmtid="{D5CDD505-2E9C-101B-9397-08002B2CF9AE}" pid="6" name="MSIP_Label_fb565cc1-c44b-442c-97d4-960559d8ae99_Name">
    <vt:lpwstr>Internal Use</vt:lpwstr>
  </property>
  <property fmtid="{D5CDD505-2E9C-101B-9397-08002B2CF9AE}" pid="7" name="MSIP_Label_fb565cc1-c44b-442c-97d4-960559d8ae99_SiteId">
    <vt:lpwstr>0a9ed44d-8fd6-4503-81c8-05fbe0b937ca</vt:lpwstr>
  </property>
  <property fmtid="{D5CDD505-2E9C-101B-9397-08002B2CF9AE}" pid="8" name="MSIP_Label_fb565cc1-c44b-442c-97d4-960559d8ae99_ActionId">
    <vt:lpwstr>114d7fe9-a270-4ad6-bcd7-e3b1096398d3</vt:lpwstr>
  </property>
  <property fmtid="{D5CDD505-2E9C-101B-9397-08002B2CF9AE}" pid="9" name="MSIP_Label_fb565cc1-c44b-442c-97d4-960559d8ae99_ContentBits">
    <vt:lpwstr>1</vt:lpwstr>
  </property>
  <property fmtid="{D5CDD505-2E9C-101B-9397-08002B2CF9AE}" pid="10" name="MSIP_Label_fb565cc1-c44b-442c-97d4-960559d8ae99_Tag">
    <vt:lpwstr>10, 0, 1, 1</vt:lpwstr>
  </property>
</Properties>
</file>