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Gulves\workspace_Gulves\ap_gtsretail_statesavings_ntma_testautomationui\src\test\resources\Test_Data\UAT\"/>
    </mc:Choice>
  </mc:AlternateContent>
  <xr:revisionPtr revIDLastSave="0" documentId="13_ncr:1_{AA075F43-F7C1-4C1E-808F-FC4F8ED0027C}" xr6:coauthVersionLast="47" xr6:coauthVersionMax="47" xr10:uidLastSave="{00000000-0000-0000-0000-000000000000}"/>
  <bookViews>
    <workbookView xWindow="-120" yWindow="-120" windowWidth="29040" windowHeight="17520" tabRatio="723" activeTab="4" xr2:uid="{00000000-000D-0000-FFFF-FFFF00000000}"/>
  </bookViews>
  <sheets>
    <sheet name="Health_Report_UAT" sheetId="6" r:id="rId1"/>
    <sheet name="Title_Validation" sheetId="14" r:id="rId2"/>
    <sheet name="Error_Scenarios" sheetId="13" r:id="rId3"/>
    <sheet name="Expedited" sheetId="9" r:id="rId4"/>
    <sheet name="Buy Now UAT" sheetId="15" r:id="rId5"/>
  </sheets>
  <externalReferences>
    <externalReference r:id="rId6"/>
  </externalReferences>
  <definedNames>
    <definedName name="_xlnm._FilterDatabase" localSheetId="3" hidden="1">Expedited!$A$1:$AB$323</definedName>
    <definedName name="_xlnm._FilterDatabase" localSheetId="0" hidden="1">Health_Report_UAT!$A$1:$AA$28</definedName>
    <definedName name="Country" localSheetId="4">[1]Nationality!$A$1:$A$253</definedName>
    <definedName name="Country">[1]Nationality!$A$1:$A$253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263" i="15" l="1"/>
  <c r="AQ263" i="15"/>
  <c r="X263" i="15"/>
  <c r="N263" i="15" s="1"/>
  <c r="W263" i="15"/>
  <c r="M263" i="15" s="1"/>
  <c r="P263" i="15"/>
  <c r="L263" i="15"/>
  <c r="AR262" i="15"/>
  <c r="AQ262" i="15"/>
  <c r="Y262" i="15"/>
  <c r="X262" i="15"/>
  <c r="W262" i="15"/>
  <c r="AR261" i="15"/>
  <c r="AQ261" i="15"/>
  <c r="X261" i="15"/>
  <c r="L261" i="15" s="1"/>
  <c r="W261" i="15"/>
  <c r="M261" i="15"/>
  <c r="AR259" i="15"/>
  <c r="AQ259" i="15"/>
  <c r="X259" i="15"/>
  <c r="N259" i="15" s="1"/>
  <c r="W259" i="15"/>
  <c r="P259" i="15"/>
  <c r="L259" i="15"/>
  <c r="AR258" i="15"/>
  <c r="AQ258" i="15"/>
  <c r="Y258" i="15"/>
  <c r="X258" i="15"/>
  <c r="W258" i="15"/>
  <c r="Z257" i="15"/>
  <c r="Y257" i="15"/>
  <c r="X257" i="15"/>
  <c r="L257" i="15" s="1"/>
  <c r="W257" i="15"/>
  <c r="P257" i="15"/>
  <c r="O257" i="15"/>
  <c r="N257" i="15"/>
  <c r="M257" i="15"/>
  <c r="AR256" i="15"/>
  <c r="AQ256" i="15"/>
  <c r="X256" i="15"/>
  <c r="P256" i="15" s="1"/>
  <c r="W256" i="15"/>
  <c r="O256" i="15" s="1"/>
  <c r="N256" i="15"/>
  <c r="M256" i="15"/>
  <c r="L256" i="15"/>
  <c r="Y255" i="15"/>
  <c r="X255" i="15"/>
  <c r="W255" i="15"/>
  <c r="Z255" i="15" s="1"/>
  <c r="O255" i="15"/>
  <c r="M255" i="15"/>
  <c r="K255" i="15"/>
  <c r="X254" i="15"/>
  <c r="L254" i="15" s="1"/>
  <c r="W254" i="15"/>
  <c r="K254" i="15" s="1"/>
  <c r="P254" i="15"/>
  <c r="N254" i="15"/>
  <c r="AR253" i="15"/>
  <c r="AQ253" i="15"/>
  <c r="X253" i="15"/>
  <c r="L253" i="15" s="1"/>
  <c r="W253" i="15"/>
  <c r="P253" i="15"/>
  <c r="N253" i="15"/>
  <c r="M253" i="15"/>
  <c r="K253" i="15"/>
  <c r="AR249" i="15"/>
  <c r="AQ249" i="15"/>
  <c r="Z249" i="15"/>
  <c r="X249" i="15"/>
  <c r="L249" i="15" s="1"/>
  <c r="W249" i="15"/>
  <c r="P249" i="15"/>
  <c r="N249" i="15"/>
  <c r="M249" i="15"/>
  <c r="K249" i="15"/>
  <c r="AR219" i="15"/>
  <c r="AQ219" i="15"/>
  <c r="Z219" i="15"/>
  <c r="X219" i="15"/>
  <c r="L219" i="15" s="1"/>
  <c r="W219" i="15"/>
  <c r="P219" i="15"/>
  <c r="N219" i="15"/>
  <c r="M219" i="15"/>
  <c r="K219" i="15"/>
  <c r="AR217" i="15"/>
  <c r="AQ217" i="15"/>
  <c r="Z217" i="15"/>
  <c r="X217" i="15"/>
  <c r="L217" i="15" s="1"/>
  <c r="W217" i="15"/>
  <c r="P217" i="15"/>
  <c r="N217" i="15"/>
  <c r="K217" i="15"/>
  <c r="AR216" i="15"/>
  <c r="AQ216" i="15"/>
  <c r="X216" i="15"/>
  <c r="N216" i="15" s="1"/>
  <c r="W216" i="15"/>
  <c r="P216" i="15"/>
  <c r="M216" i="15"/>
  <c r="K216" i="15"/>
  <c r="AR215" i="15"/>
  <c r="AQ215" i="15"/>
  <c r="X215" i="15"/>
  <c r="N215" i="15" s="1"/>
  <c r="W215" i="15"/>
  <c r="P215" i="15"/>
  <c r="AR214" i="15"/>
  <c r="AQ214" i="15"/>
  <c r="X214" i="15"/>
  <c r="N214" i="15" s="1"/>
  <c r="W214" i="15"/>
  <c r="Z214" i="15" s="1"/>
  <c r="P214" i="15"/>
  <c r="AR213" i="15"/>
  <c r="AQ213" i="15"/>
  <c r="X213" i="15"/>
  <c r="N213" i="15" s="1"/>
  <c r="W213" i="15"/>
  <c r="P213" i="15"/>
  <c r="M213" i="15"/>
  <c r="K213" i="15"/>
  <c r="AR212" i="15"/>
  <c r="AQ212" i="15"/>
  <c r="X212" i="15"/>
  <c r="W212" i="15"/>
  <c r="AR211" i="15"/>
  <c r="AQ211" i="15"/>
  <c r="X211" i="15"/>
  <c r="P211" i="15" s="1"/>
  <c r="W211" i="15"/>
  <c r="N211" i="15"/>
  <c r="L211" i="15"/>
  <c r="AR210" i="15"/>
  <c r="AQ210" i="15"/>
  <c r="X210" i="15"/>
  <c r="P210" i="15" s="1"/>
  <c r="W210" i="15"/>
  <c r="L210" i="15"/>
  <c r="K210" i="15"/>
  <c r="AR209" i="15"/>
  <c r="AQ209" i="15"/>
  <c r="X209" i="15"/>
  <c r="W209" i="15"/>
  <c r="K209" i="15" s="1"/>
  <c r="L209" i="15"/>
  <c r="AR208" i="15"/>
  <c r="AQ208" i="15"/>
  <c r="X208" i="15"/>
  <c r="P208" i="15" s="1"/>
  <c r="W208" i="15"/>
  <c r="N208" i="15"/>
  <c r="L208" i="15"/>
  <c r="K208" i="15"/>
  <c r="AR207" i="15"/>
  <c r="AQ207" i="15"/>
  <c r="X207" i="15"/>
  <c r="P207" i="15" s="1"/>
  <c r="W207" i="15"/>
  <c r="N207" i="15"/>
  <c r="L207" i="15"/>
  <c r="AR206" i="15"/>
  <c r="AQ206" i="15"/>
  <c r="X206" i="15"/>
  <c r="P206" i="15" s="1"/>
  <c r="W206" i="15"/>
  <c r="L206" i="15"/>
  <c r="AR205" i="15"/>
  <c r="AQ205" i="15"/>
  <c r="X205" i="15"/>
  <c r="W205" i="15"/>
  <c r="K205" i="15"/>
  <c r="AR204" i="15"/>
  <c r="AQ204" i="15"/>
  <c r="X204" i="15"/>
  <c r="N204" i="15" s="1"/>
  <c r="W204" i="15"/>
  <c r="AR203" i="15"/>
  <c r="AQ203" i="15"/>
  <c r="X203" i="15"/>
  <c r="P203" i="15" s="1"/>
  <c r="W203" i="15"/>
  <c r="K203" i="15" s="1"/>
  <c r="N203" i="15"/>
  <c r="L203" i="15"/>
  <c r="AR202" i="15"/>
  <c r="AQ202" i="15"/>
  <c r="X202" i="15"/>
  <c r="W202" i="15"/>
  <c r="AR201" i="15"/>
  <c r="AQ201" i="15"/>
  <c r="X201" i="15"/>
  <c r="N201" i="15" s="1"/>
  <c r="W201" i="15"/>
  <c r="K201" i="15"/>
  <c r="AR200" i="15"/>
  <c r="AQ200" i="15"/>
  <c r="X200" i="15"/>
  <c r="P200" i="15" s="1"/>
  <c r="W200" i="15"/>
  <c r="O200" i="15" s="1"/>
  <c r="N200" i="15"/>
  <c r="L200" i="15"/>
  <c r="AR199" i="15"/>
  <c r="AQ199" i="15"/>
  <c r="Y199" i="15"/>
  <c r="X199" i="15"/>
  <c r="L199" i="15" s="1"/>
  <c r="W199" i="15"/>
  <c r="O199" i="15"/>
  <c r="K199" i="15"/>
  <c r="AR198" i="15"/>
  <c r="AQ198" i="15"/>
  <c r="Y198" i="15"/>
  <c r="X198" i="15"/>
  <c r="W198" i="15"/>
  <c r="O198" i="15"/>
  <c r="N198" i="15"/>
  <c r="K198" i="15"/>
  <c r="AR197" i="15"/>
  <c r="AQ197" i="15"/>
  <c r="Y197" i="15"/>
  <c r="X197" i="15"/>
  <c r="W197" i="15"/>
  <c r="O197" i="15"/>
  <c r="AR196" i="15"/>
  <c r="AQ196" i="15"/>
  <c r="X196" i="15"/>
  <c r="P196" i="15" s="1"/>
  <c r="W196" i="15"/>
  <c r="O196" i="15" s="1"/>
  <c r="N196" i="15"/>
  <c r="L196" i="15"/>
  <c r="K196" i="15"/>
  <c r="AR195" i="15"/>
  <c r="AQ195" i="15"/>
  <c r="Y195" i="15"/>
  <c r="X195" i="15"/>
  <c r="W195" i="15"/>
  <c r="O195" i="15"/>
  <c r="L195" i="15"/>
  <c r="K195" i="15"/>
  <c r="AR194" i="15"/>
  <c r="AQ194" i="15"/>
  <c r="Y194" i="15"/>
  <c r="X194" i="15"/>
  <c r="W194" i="15"/>
  <c r="O194" i="15"/>
  <c r="K194" i="15"/>
  <c r="AR193" i="15"/>
  <c r="AQ193" i="15"/>
  <c r="Y193" i="15"/>
  <c r="X193" i="15"/>
  <c r="N193" i="15" s="1"/>
  <c r="W193" i="15"/>
  <c r="O193" i="15" s="1"/>
  <c r="K193" i="15"/>
  <c r="AR192" i="15"/>
  <c r="AQ192" i="15"/>
  <c r="X192" i="15"/>
  <c r="P192" i="15" s="1"/>
  <c r="W192" i="15"/>
  <c r="O192" i="15"/>
  <c r="N192" i="15"/>
  <c r="L192" i="15"/>
  <c r="K192" i="15"/>
  <c r="AR191" i="15"/>
  <c r="AQ191" i="15"/>
  <c r="Y191" i="15"/>
  <c r="X191" i="15"/>
  <c r="W191" i="15"/>
  <c r="O191" i="15"/>
  <c r="K191" i="15"/>
  <c r="AR190" i="15"/>
  <c r="AQ190" i="15"/>
  <c r="Y190" i="15"/>
  <c r="X190" i="15"/>
  <c r="W190" i="15"/>
  <c r="O190" i="15"/>
  <c r="N190" i="15"/>
  <c r="K190" i="15"/>
  <c r="AR189" i="15"/>
  <c r="AQ189" i="15"/>
  <c r="X189" i="15"/>
  <c r="W189" i="15"/>
  <c r="O189" i="15" s="1"/>
  <c r="N189" i="15"/>
  <c r="AR188" i="15"/>
  <c r="AQ188" i="15"/>
  <c r="Y188" i="15"/>
  <c r="X188" i="15"/>
  <c r="P188" i="15" s="1"/>
  <c r="W188" i="15"/>
  <c r="O188" i="15"/>
  <c r="N188" i="15"/>
  <c r="L188" i="15"/>
  <c r="K188" i="15"/>
  <c r="AR187" i="15"/>
  <c r="AQ187" i="15"/>
  <c r="Y187" i="15"/>
  <c r="X187" i="15"/>
  <c r="L187" i="15" s="1"/>
  <c r="W187" i="15"/>
  <c r="P187" i="15"/>
  <c r="N187" i="15"/>
  <c r="K187" i="15"/>
  <c r="AR186" i="15"/>
  <c r="AQ186" i="15"/>
  <c r="Y186" i="15"/>
  <c r="X186" i="15"/>
  <c r="L186" i="15" s="1"/>
  <c r="W186" i="15"/>
  <c r="K186" i="15" s="1"/>
  <c r="P186" i="15"/>
  <c r="N186" i="15"/>
  <c r="AR185" i="15"/>
  <c r="AQ185" i="15"/>
  <c r="X185" i="15"/>
  <c r="W185" i="15"/>
  <c r="O185" i="15" s="1"/>
  <c r="N185" i="15"/>
  <c r="AR184" i="15"/>
  <c r="AQ184" i="15"/>
  <c r="X184" i="15"/>
  <c r="N184" i="15" s="1"/>
  <c r="W184" i="15"/>
  <c r="O184" i="15" s="1"/>
  <c r="P184" i="15"/>
  <c r="L184" i="15"/>
  <c r="AR183" i="15"/>
  <c r="AQ183" i="15"/>
  <c r="X183" i="15"/>
  <c r="N183" i="15" s="1"/>
  <c r="W183" i="15"/>
  <c r="O183" i="15" s="1"/>
  <c r="P183" i="15"/>
  <c r="L183" i="15"/>
  <c r="AR182" i="15"/>
  <c r="AQ182" i="15"/>
  <c r="Y182" i="15"/>
  <c r="X182" i="15"/>
  <c r="W182" i="15"/>
  <c r="P182" i="15"/>
  <c r="O182" i="15"/>
  <c r="N182" i="15"/>
  <c r="L182" i="15"/>
  <c r="K182" i="15"/>
  <c r="AR181" i="15"/>
  <c r="AQ181" i="15"/>
  <c r="Y181" i="15"/>
  <c r="X181" i="15"/>
  <c r="N181" i="15" s="1"/>
  <c r="W181" i="15"/>
  <c r="P181" i="15"/>
  <c r="L181" i="15"/>
  <c r="K181" i="15"/>
  <c r="AR180" i="15"/>
  <c r="AQ180" i="15"/>
  <c r="X180" i="15"/>
  <c r="L180" i="15" s="1"/>
  <c r="W180" i="15"/>
  <c r="P180" i="15"/>
  <c r="N180" i="15"/>
  <c r="AR179" i="15"/>
  <c r="AQ179" i="15"/>
  <c r="Y179" i="15"/>
  <c r="X179" i="15"/>
  <c r="N179" i="15" s="1"/>
  <c r="W179" i="15"/>
  <c r="K179" i="15" s="1"/>
  <c r="O179" i="15"/>
  <c r="AR178" i="15"/>
  <c r="AQ178" i="15"/>
  <c r="X178" i="15"/>
  <c r="N178" i="15" s="1"/>
  <c r="W178" i="15"/>
  <c r="Y178" i="15" s="1"/>
  <c r="O178" i="15"/>
  <c r="K178" i="15"/>
  <c r="AR177" i="15"/>
  <c r="AQ177" i="15"/>
  <c r="X177" i="15"/>
  <c r="W177" i="15"/>
  <c r="O177" i="15" s="1"/>
  <c r="P177" i="15"/>
  <c r="N177" i="15"/>
  <c r="L177" i="15"/>
  <c r="AR176" i="15"/>
  <c r="AQ176" i="15"/>
  <c r="Y176" i="15"/>
  <c r="X176" i="15"/>
  <c r="P176" i="15" s="1"/>
  <c r="W176" i="15"/>
  <c r="O176" i="15"/>
  <c r="N176" i="15"/>
  <c r="L176" i="15"/>
  <c r="K176" i="15"/>
  <c r="AR175" i="15"/>
  <c r="AQ175" i="15"/>
  <c r="Y175" i="15"/>
  <c r="X175" i="15"/>
  <c r="P175" i="15" s="1"/>
  <c r="W175" i="15"/>
  <c r="K175" i="15"/>
  <c r="AR174" i="15"/>
  <c r="AQ174" i="15"/>
  <c r="X174" i="15"/>
  <c r="L174" i="15" s="1"/>
  <c r="W174" i="15"/>
  <c r="K174" i="15" s="1"/>
  <c r="P174" i="15"/>
  <c r="N174" i="15"/>
  <c r="AR173" i="15"/>
  <c r="AQ173" i="15"/>
  <c r="X173" i="15"/>
  <c r="N173" i="15" s="1"/>
  <c r="W173" i="15"/>
  <c r="O173" i="15"/>
  <c r="AR172" i="15"/>
  <c r="AQ172" i="15"/>
  <c r="Y172" i="15"/>
  <c r="X172" i="15"/>
  <c r="N172" i="15" s="1"/>
  <c r="W172" i="15"/>
  <c r="O172" i="15" s="1"/>
  <c r="P172" i="15"/>
  <c r="K172" i="15"/>
  <c r="AR171" i="15"/>
  <c r="AQ171" i="15"/>
  <c r="X171" i="15"/>
  <c r="P171" i="15" s="1"/>
  <c r="W171" i="15"/>
  <c r="O171" i="15"/>
  <c r="AR170" i="15"/>
  <c r="AQ170" i="15"/>
  <c r="Y170" i="15"/>
  <c r="X170" i="15"/>
  <c r="N170" i="15" s="1"/>
  <c r="W170" i="15"/>
  <c r="O170" i="15"/>
  <c r="K170" i="15"/>
  <c r="AR169" i="15"/>
  <c r="AQ169" i="15"/>
  <c r="Y169" i="15"/>
  <c r="X169" i="15"/>
  <c r="L169" i="15" s="1"/>
  <c r="W169" i="15"/>
  <c r="P169" i="15"/>
  <c r="N169" i="15"/>
  <c r="K169" i="15"/>
  <c r="AR168" i="15"/>
  <c r="AQ168" i="15"/>
  <c r="Y168" i="15"/>
  <c r="X168" i="15"/>
  <c r="L168" i="15" s="1"/>
  <c r="W168" i="15"/>
  <c r="K168" i="15" s="1"/>
  <c r="P168" i="15"/>
  <c r="N168" i="15"/>
  <c r="AR167" i="15"/>
  <c r="AQ167" i="15"/>
  <c r="X167" i="15"/>
  <c r="W167" i="15"/>
  <c r="O167" i="15" s="1"/>
  <c r="N167" i="15"/>
  <c r="AR166" i="15"/>
  <c r="AQ166" i="15"/>
  <c r="X166" i="15"/>
  <c r="N166" i="15" s="1"/>
  <c r="W166" i="15"/>
  <c r="O166" i="15" s="1"/>
  <c r="P166" i="15"/>
  <c r="L166" i="15"/>
  <c r="AR165" i="15"/>
  <c r="AQ165" i="15"/>
  <c r="X165" i="15"/>
  <c r="N165" i="15" s="1"/>
  <c r="W165" i="15"/>
  <c r="O165" i="15" s="1"/>
  <c r="P165" i="15"/>
  <c r="L165" i="15"/>
  <c r="AR164" i="15"/>
  <c r="AQ164" i="15"/>
  <c r="Y164" i="15"/>
  <c r="X164" i="15"/>
  <c r="W164" i="15"/>
  <c r="P164" i="15"/>
  <c r="O164" i="15"/>
  <c r="N164" i="15"/>
  <c r="L164" i="15"/>
  <c r="K164" i="15"/>
  <c r="AR163" i="15"/>
  <c r="AQ163" i="15"/>
  <c r="Y163" i="15"/>
  <c r="X163" i="15"/>
  <c r="N163" i="15" s="1"/>
  <c r="W163" i="15"/>
  <c r="P163" i="15"/>
  <c r="L163" i="15"/>
  <c r="K163" i="15"/>
  <c r="AR162" i="15"/>
  <c r="AQ162" i="15"/>
  <c r="X162" i="15"/>
  <c r="L162" i="15" s="1"/>
  <c r="W162" i="15"/>
  <c r="P162" i="15"/>
  <c r="N162" i="15"/>
  <c r="AR161" i="15"/>
  <c r="AQ161" i="15"/>
  <c r="Y161" i="15"/>
  <c r="X161" i="15"/>
  <c r="N161" i="15" s="1"/>
  <c r="W161" i="15"/>
  <c r="K161" i="15" s="1"/>
  <c r="O161" i="15"/>
  <c r="AR160" i="15"/>
  <c r="AQ160" i="15"/>
  <c r="X160" i="15"/>
  <c r="N160" i="15" s="1"/>
  <c r="W160" i="15"/>
  <c r="Y160" i="15" s="1"/>
  <c r="O160" i="15"/>
  <c r="K160" i="15"/>
  <c r="AR159" i="15"/>
  <c r="AQ159" i="15"/>
  <c r="X159" i="15"/>
  <c r="W159" i="15"/>
  <c r="O159" i="15" s="1"/>
  <c r="P159" i="15"/>
  <c r="N159" i="15"/>
  <c r="L159" i="15"/>
  <c r="AR158" i="15"/>
  <c r="AQ158" i="15"/>
  <c r="Y158" i="15"/>
  <c r="X158" i="15"/>
  <c r="P158" i="15" s="1"/>
  <c r="W158" i="15"/>
  <c r="O158" i="15"/>
  <c r="N158" i="15"/>
  <c r="L158" i="15"/>
  <c r="K158" i="15"/>
  <c r="AR157" i="15"/>
  <c r="AQ157" i="15"/>
  <c r="Y157" i="15"/>
  <c r="X157" i="15"/>
  <c r="P157" i="15" s="1"/>
  <c r="W157" i="15"/>
  <c r="K157" i="15"/>
  <c r="AR156" i="15"/>
  <c r="AQ156" i="15"/>
  <c r="X156" i="15"/>
  <c r="L156" i="15" s="1"/>
  <c r="W156" i="15"/>
  <c r="K156" i="15" s="1"/>
  <c r="P156" i="15"/>
  <c r="N156" i="15"/>
  <c r="AR155" i="15"/>
  <c r="AQ155" i="15"/>
  <c r="X155" i="15"/>
  <c r="N155" i="15" s="1"/>
  <c r="W155" i="15"/>
  <c r="O155" i="15"/>
  <c r="AR154" i="15"/>
  <c r="AQ154" i="15"/>
  <c r="Y154" i="15"/>
  <c r="X154" i="15"/>
  <c r="N154" i="15" s="1"/>
  <c r="W154" i="15"/>
  <c r="O154" i="15" s="1"/>
  <c r="P154" i="15"/>
  <c r="K154" i="15"/>
  <c r="AR153" i="15"/>
  <c r="AQ153" i="15"/>
  <c r="X153" i="15"/>
  <c r="L153" i="15" s="1"/>
  <c r="W153" i="15"/>
  <c r="O153" i="15"/>
  <c r="M153" i="15"/>
  <c r="K153" i="15"/>
  <c r="AR152" i="15"/>
  <c r="AQ152" i="15"/>
  <c r="Y152" i="15"/>
  <c r="X152" i="15"/>
  <c r="W152" i="15"/>
  <c r="P152" i="15"/>
  <c r="O152" i="15"/>
  <c r="N152" i="15"/>
  <c r="M152" i="15"/>
  <c r="L152" i="15"/>
  <c r="AR151" i="15"/>
  <c r="AQ151" i="15"/>
  <c r="Y151" i="15"/>
  <c r="X151" i="15"/>
  <c r="L151" i="15" s="1"/>
  <c r="W151" i="15"/>
  <c r="Z151" i="15" s="1"/>
  <c r="P151" i="15"/>
  <c r="O151" i="15"/>
  <c r="N151" i="15"/>
  <c r="M151" i="15"/>
  <c r="K151" i="15"/>
  <c r="AR150" i="15"/>
  <c r="AQ150" i="15"/>
  <c r="Y150" i="15"/>
  <c r="X150" i="15"/>
  <c r="P150" i="15" s="1"/>
  <c r="W150" i="15"/>
  <c r="Z150" i="15" s="1"/>
  <c r="O150" i="15"/>
  <c r="N150" i="15"/>
  <c r="L150" i="15"/>
  <c r="K150" i="15"/>
  <c r="AR149" i="15"/>
  <c r="AQ149" i="15"/>
  <c r="X149" i="15"/>
  <c r="P149" i="15" s="1"/>
  <c r="W149" i="15"/>
  <c r="K149" i="15" s="1"/>
  <c r="M149" i="15"/>
  <c r="L149" i="15"/>
  <c r="AR148" i="15"/>
  <c r="AQ148" i="15"/>
  <c r="X148" i="15"/>
  <c r="N148" i="15" s="1"/>
  <c r="W148" i="15"/>
  <c r="O148" i="15" s="1"/>
  <c r="P148" i="15"/>
  <c r="L148" i="15"/>
  <c r="AR147" i="15"/>
  <c r="AQ147" i="15"/>
  <c r="X147" i="15"/>
  <c r="W147" i="15"/>
  <c r="Y147" i="15" s="1"/>
  <c r="P147" i="15"/>
  <c r="O147" i="15"/>
  <c r="N147" i="15"/>
  <c r="L147" i="15"/>
  <c r="K147" i="15"/>
  <c r="AR146" i="15"/>
  <c r="AQ146" i="15"/>
  <c r="Y146" i="15"/>
  <c r="X146" i="15"/>
  <c r="L146" i="15" s="1"/>
  <c r="W146" i="15"/>
  <c r="Z146" i="15" s="1"/>
  <c r="O146" i="15"/>
  <c r="M146" i="15"/>
  <c r="K146" i="15"/>
  <c r="AR145" i="15"/>
  <c r="AQ145" i="15"/>
  <c r="X145" i="15"/>
  <c r="P145" i="15" s="1"/>
  <c r="W145" i="15"/>
  <c r="O145" i="15"/>
  <c r="L145" i="15"/>
  <c r="AR144" i="15"/>
  <c r="AQ144" i="15"/>
  <c r="X144" i="15"/>
  <c r="P144" i="15" s="1"/>
  <c r="W144" i="15"/>
  <c r="M144" i="15" s="1"/>
  <c r="L144" i="15"/>
  <c r="AR143" i="15"/>
  <c r="AQ143" i="15"/>
  <c r="Y143" i="15"/>
  <c r="X143" i="15"/>
  <c r="N143" i="15" s="1"/>
  <c r="W143" i="15"/>
  <c r="O143" i="15" s="1"/>
  <c r="P143" i="15"/>
  <c r="L143" i="15"/>
  <c r="K143" i="15"/>
  <c r="AR142" i="15"/>
  <c r="AQ142" i="15"/>
  <c r="Z142" i="15"/>
  <c r="X142" i="15"/>
  <c r="P142" i="15" s="1"/>
  <c r="W142" i="15"/>
  <c r="O142" i="15" s="1"/>
  <c r="K142" i="15"/>
  <c r="AR141" i="15"/>
  <c r="AQ141" i="15"/>
  <c r="X141" i="15"/>
  <c r="W141" i="15"/>
  <c r="O141" i="15" s="1"/>
  <c r="P141" i="15"/>
  <c r="N141" i="15"/>
  <c r="L141" i="15"/>
  <c r="AR140" i="15"/>
  <c r="AQ140" i="15"/>
  <c r="Z140" i="15"/>
  <c r="Y140" i="15"/>
  <c r="X140" i="15"/>
  <c r="N140" i="15" s="1"/>
  <c r="W140" i="15"/>
  <c r="O140" i="15" s="1"/>
  <c r="P140" i="15"/>
  <c r="M140" i="15"/>
  <c r="L140" i="15"/>
  <c r="K140" i="15"/>
  <c r="AR139" i="15"/>
  <c r="AQ139" i="15"/>
  <c r="Z139" i="15"/>
  <c r="X139" i="15"/>
  <c r="P139" i="15" s="1"/>
  <c r="W139" i="15"/>
  <c r="O139" i="15" s="1"/>
  <c r="N139" i="15"/>
  <c r="K139" i="15"/>
  <c r="AR138" i="15"/>
  <c r="AQ138" i="15"/>
  <c r="Z138" i="15"/>
  <c r="Y138" i="15"/>
  <c r="X138" i="15"/>
  <c r="N138" i="15" s="1"/>
  <c r="W138" i="15"/>
  <c r="O138" i="15" s="1"/>
  <c r="P138" i="15"/>
  <c r="M138" i="15"/>
  <c r="L138" i="15"/>
  <c r="AR137" i="15"/>
  <c r="AQ137" i="15"/>
  <c r="Z137" i="15"/>
  <c r="Y137" i="15"/>
  <c r="X137" i="15"/>
  <c r="P137" i="15" s="1"/>
  <c r="W137" i="15"/>
  <c r="O137" i="15" s="1"/>
  <c r="AR136" i="15"/>
  <c r="AQ136" i="15"/>
  <c r="Z136" i="15"/>
  <c r="X136" i="15"/>
  <c r="N136" i="15" s="1"/>
  <c r="W136" i="15"/>
  <c r="M136" i="15" s="1"/>
  <c r="P136" i="15"/>
  <c r="L136" i="15"/>
  <c r="AR135" i="15"/>
  <c r="AQ135" i="15"/>
  <c r="Z135" i="15"/>
  <c r="Y135" i="15"/>
  <c r="X135" i="15"/>
  <c r="N135" i="15" s="1"/>
  <c r="W135" i="15"/>
  <c r="M135" i="15" s="1"/>
  <c r="P135" i="15"/>
  <c r="O135" i="15"/>
  <c r="L135" i="15"/>
  <c r="K135" i="15"/>
  <c r="AR134" i="15"/>
  <c r="AQ134" i="15"/>
  <c r="Z134" i="15"/>
  <c r="Y134" i="15"/>
  <c r="X134" i="15"/>
  <c r="N134" i="15" s="1"/>
  <c r="W134" i="15"/>
  <c r="O134" i="15"/>
  <c r="M134" i="15"/>
  <c r="K134" i="15"/>
  <c r="AR133" i="15"/>
  <c r="AQ133" i="15"/>
  <c r="Z133" i="15"/>
  <c r="X133" i="15"/>
  <c r="N133" i="15" s="1"/>
  <c r="W133" i="15"/>
  <c r="Y133" i="15" s="1"/>
  <c r="L133" i="15"/>
  <c r="AR132" i="15"/>
  <c r="AQ132" i="15"/>
  <c r="X132" i="15"/>
  <c r="W132" i="15"/>
  <c r="O132" i="15" s="1"/>
  <c r="P132" i="15"/>
  <c r="N132" i="15"/>
  <c r="L132" i="15"/>
  <c r="AR131" i="15"/>
  <c r="AQ131" i="15"/>
  <c r="X131" i="15"/>
  <c r="P131" i="15" s="1"/>
  <c r="W131" i="15"/>
  <c r="Y131" i="15" s="1"/>
  <c r="O131" i="15"/>
  <c r="K131" i="15"/>
  <c r="AR130" i="15"/>
  <c r="AQ130" i="15"/>
  <c r="Y130" i="15"/>
  <c r="X130" i="15"/>
  <c r="P130" i="15" s="1"/>
  <c r="W130" i="15"/>
  <c r="O130" i="15"/>
  <c r="K130" i="15"/>
  <c r="AR129" i="15"/>
  <c r="AQ129" i="15"/>
  <c r="X129" i="15"/>
  <c r="W129" i="15"/>
  <c r="O129" i="15" s="1"/>
  <c r="P129" i="15"/>
  <c r="N129" i="15"/>
  <c r="L129" i="15"/>
  <c r="AR128" i="15"/>
  <c r="AQ128" i="15"/>
  <c r="Y128" i="15"/>
  <c r="X128" i="15"/>
  <c r="P128" i="15" s="1"/>
  <c r="W128" i="15"/>
  <c r="O128" i="15"/>
  <c r="N128" i="15"/>
  <c r="K128" i="15"/>
  <c r="AR127" i="15"/>
  <c r="AQ127" i="15"/>
  <c r="Y127" i="15"/>
  <c r="X127" i="15"/>
  <c r="N127" i="15" s="1"/>
  <c r="W127" i="15"/>
  <c r="O127" i="15" s="1"/>
  <c r="P127" i="15"/>
  <c r="L127" i="15"/>
  <c r="K127" i="15"/>
  <c r="AR126" i="15"/>
  <c r="AQ126" i="15"/>
  <c r="X126" i="15"/>
  <c r="W126" i="15"/>
  <c r="O126" i="15" s="1"/>
  <c r="P126" i="15"/>
  <c r="N126" i="15"/>
  <c r="L126" i="15"/>
  <c r="AR125" i="15"/>
  <c r="AQ125" i="15"/>
  <c r="Z125" i="15"/>
  <c r="X125" i="15"/>
  <c r="L125" i="15" s="1"/>
  <c r="W125" i="15"/>
  <c r="Y125" i="15" s="1"/>
  <c r="P125" i="15"/>
  <c r="N125" i="15"/>
  <c r="AR124" i="15"/>
  <c r="AQ124" i="15"/>
  <c r="X124" i="15"/>
  <c r="L124" i="15" s="1"/>
  <c r="W124" i="15"/>
  <c r="Y124" i="15" s="1"/>
  <c r="AR123" i="15"/>
  <c r="AQ123" i="15"/>
  <c r="Z123" i="15"/>
  <c r="X123" i="15"/>
  <c r="L123" i="15" s="1"/>
  <c r="W123" i="15"/>
  <c r="Y123" i="15" s="1"/>
  <c r="P123" i="15"/>
  <c r="O123" i="15"/>
  <c r="N123" i="15"/>
  <c r="M123" i="15"/>
  <c r="K123" i="15"/>
  <c r="AR122" i="15"/>
  <c r="AQ122" i="15"/>
  <c r="X122" i="15"/>
  <c r="L122" i="15" s="1"/>
  <c r="W122" i="15"/>
  <c r="Y122" i="15" s="1"/>
  <c r="N122" i="15"/>
  <c r="M122" i="15"/>
  <c r="AR121" i="15"/>
  <c r="AQ121" i="15"/>
  <c r="Z121" i="15"/>
  <c r="X121" i="15"/>
  <c r="W121" i="15"/>
  <c r="K121" i="15" s="1"/>
  <c r="P121" i="15"/>
  <c r="O121" i="15"/>
  <c r="N121" i="15"/>
  <c r="L121" i="15"/>
  <c r="AR120" i="15"/>
  <c r="AQ120" i="15"/>
  <c r="X120" i="15"/>
  <c r="W120" i="15"/>
  <c r="K120" i="15" s="1"/>
  <c r="P120" i="15"/>
  <c r="N120" i="15"/>
  <c r="L120" i="15"/>
  <c r="AR119" i="15"/>
  <c r="AQ119" i="15"/>
  <c r="Z119" i="15"/>
  <c r="Y119" i="15"/>
  <c r="X119" i="15"/>
  <c r="L119" i="15" s="1"/>
  <c r="W119" i="15"/>
  <c r="K119" i="15" s="1"/>
  <c r="P119" i="15"/>
  <c r="O119" i="15"/>
  <c r="N119" i="15"/>
  <c r="M119" i="15"/>
  <c r="AR118" i="15"/>
  <c r="AQ118" i="15"/>
  <c r="Z118" i="15"/>
  <c r="X118" i="15"/>
  <c r="P118" i="15" s="1"/>
  <c r="W118" i="15"/>
  <c r="K118" i="15" s="1"/>
  <c r="O118" i="15"/>
  <c r="M118" i="15"/>
  <c r="L118" i="15"/>
  <c r="AR117" i="15"/>
  <c r="AQ117" i="15"/>
  <c r="Y117" i="15"/>
  <c r="X117" i="15"/>
  <c r="W117" i="15"/>
  <c r="K117" i="15" s="1"/>
  <c r="P117" i="15"/>
  <c r="N117" i="15"/>
  <c r="L117" i="15"/>
  <c r="AR116" i="15"/>
  <c r="AQ116" i="15"/>
  <c r="Y116" i="15"/>
  <c r="X116" i="15"/>
  <c r="P116" i="15" s="1"/>
  <c r="W116" i="15"/>
  <c r="K116" i="15" s="1"/>
  <c r="O116" i="15"/>
  <c r="M116" i="15"/>
  <c r="AR115" i="15"/>
  <c r="AQ115" i="15"/>
  <c r="X115" i="15"/>
  <c r="N115" i="15" s="1"/>
  <c r="W115" i="15"/>
  <c r="K115" i="15" s="1"/>
  <c r="L115" i="15"/>
  <c r="AR114" i="15"/>
  <c r="AQ114" i="15"/>
  <c r="Z114" i="15"/>
  <c r="X114" i="15"/>
  <c r="L114" i="15" s="1"/>
  <c r="W114" i="15"/>
  <c r="K114" i="15" s="1"/>
  <c r="P114" i="15"/>
  <c r="N114" i="15"/>
  <c r="AR113" i="15"/>
  <c r="AQ113" i="15"/>
  <c r="Z113" i="15"/>
  <c r="Y113" i="15"/>
  <c r="X113" i="15"/>
  <c r="W113" i="15"/>
  <c r="K113" i="15" s="1"/>
  <c r="P113" i="15"/>
  <c r="O113" i="15"/>
  <c r="N113" i="15"/>
  <c r="M113" i="15"/>
  <c r="L113" i="15"/>
  <c r="AR112" i="15"/>
  <c r="AQ112" i="15"/>
  <c r="Z112" i="15"/>
  <c r="Y112" i="15"/>
  <c r="X112" i="15"/>
  <c r="L112" i="15" s="1"/>
  <c r="W112" i="15"/>
  <c r="K112" i="15" s="1"/>
  <c r="O112" i="15"/>
  <c r="N112" i="15"/>
  <c r="M112" i="15"/>
  <c r="AR111" i="15"/>
  <c r="AQ111" i="15"/>
  <c r="X111" i="15"/>
  <c r="P111" i="15" s="1"/>
  <c r="W111" i="15"/>
  <c r="K111" i="15" s="1"/>
  <c r="M111" i="15"/>
  <c r="AR110" i="15"/>
  <c r="AQ110" i="15"/>
  <c r="Y110" i="15"/>
  <c r="X110" i="15"/>
  <c r="N110" i="15" s="1"/>
  <c r="W110" i="15"/>
  <c r="K110" i="15" s="1"/>
  <c r="P110" i="15"/>
  <c r="L110" i="15"/>
  <c r="AR109" i="15"/>
  <c r="AQ109" i="15"/>
  <c r="Z109" i="15"/>
  <c r="X109" i="15"/>
  <c r="P109" i="15" s="1"/>
  <c r="W109" i="15"/>
  <c r="K109" i="15" s="1"/>
  <c r="O109" i="15"/>
  <c r="AR108" i="15"/>
  <c r="AQ108" i="15"/>
  <c r="X108" i="15"/>
  <c r="W108" i="15"/>
  <c r="K108" i="15" s="1"/>
  <c r="P108" i="15"/>
  <c r="N108" i="15"/>
  <c r="L108" i="15"/>
  <c r="AR107" i="15"/>
  <c r="AQ107" i="15"/>
  <c r="Z107" i="15"/>
  <c r="Y107" i="15"/>
  <c r="X107" i="15"/>
  <c r="L107" i="15" s="1"/>
  <c r="W107" i="15"/>
  <c r="K107" i="15" s="1"/>
  <c r="P107" i="15"/>
  <c r="O107" i="15"/>
  <c r="N107" i="15"/>
  <c r="M107" i="15"/>
  <c r="AR106" i="15"/>
  <c r="AQ106" i="15"/>
  <c r="Z106" i="15"/>
  <c r="X106" i="15"/>
  <c r="P106" i="15" s="1"/>
  <c r="W106" i="15"/>
  <c r="K106" i="15" s="1"/>
  <c r="O106" i="15"/>
  <c r="M106" i="15"/>
  <c r="L106" i="15"/>
  <c r="AR105" i="15"/>
  <c r="AQ105" i="15"/>
  <c r="Y105" i="15"/>
  <c r="X105" i="15"/>
  <c r="W105" i="15"/>
  <c r="K105" i="15" s="1"/>
  <c r="P105" i="15"/>
  <c r="N105" i="15"/>
  <c r="L105" i="15"/>
  <c r="AR104" i="15"/>
  <c r="AQ104" i="15"/>
  <c r="Y104" i="15"/>
  <c r="X104" i="15"/>
  <c r="N104" i="15" s="1"/>
  <c r="W104" i="15"/>
  <c r="K104" i="15" s="1"/>
  <c r="O104" i="15"/>
  <c r="M104" i="15"/>
  <c r="AR103" i="15"/>
  <c r="AQ103" i="15"/>
  <c r="X103" i="15"/>
  <c r="N103" i="15" s="1"/>
  <c r="W103" i="15"/>
  <c r="K103" i="15" s="1"/>
  <c r="L103" i="15"/>
  <c r="AR102" i="15"/>
  <c r="AQ102" i="15"/>
  <c r="Z102" i="15"/>
  <c r="X102" i="15"/>
  <c r="L102" i="15" s="1"/>
  <c r="W102" i="15"/>
  <c r="K102" i="15" s="1"/>
  <c r="P102" i="15"/>
  <c r="N102" i="15"/>
  <c r="AR101" i="15"/>
  <c r="AQ101" i="15"/>
  <c r="Z101" i="15"/>
  <c r="Y101" i="15"/>
  <c r="X101" i="15"/>
  <c r="W101" i="15"/>
  <c r="K101" i="15" s="1"/>
  <c r="P101" i="15"/>
  <c r="O101" i="15"/>
  <c r="N101" i="15"/>
  <c r="M101" i="15"/>
  <c r="L101" i="15"/>
  <c r="AR100" i="15"/>
  <c r="AQ100" i="15"/>
  <c r="Z100" i="15"/>
  <c r="Y100" i="15"/>
  <c r="X100" i="15"/>
  <c r="L100" i="15" s="1"/>
  <c r="W100" i="15"/>
  <c r="K100" i="15" s="1"/>
  <c r="O100" i="15"/>
  <c r="N100" i="15"/>
  <c r="M100" i="15"/>
  <c r="AR99" i="15"/>
  <c r="AQ99" i="15"/>
  <c r="X99" i="15"/>
  <c r="P99" i="15" s="1"/>
  <c r="W99" i="15"/>
  <c r="K99" i="15" s="1"/>
  <c r="M99" i="15"/>
  <c r="AR98" i="15"/>
  <c r="AQ98" i="15"/>
  <c r="Y98" i="15"/>
  <c r="X98" i="15"/>
  <c r="N98" i="15" s="1"/>
  <c r="W98" i="15"/>
  <c r="K98" i="15" s="1"/>
  <c r="P98" i="15"/>
  <c r="L98" i="15"/>
  <c r="AR97" i="15"/>
  <c r="AQ97" i="15"/>
  <c r="Z97" i="15"/>
  <c r="X97" i="15"/>
  <c r="P97" i="15" s="1"/>
  <c r="W97" i="15"/>
  <c r="K97" i="15" s="1"/>
  <c r="O97" i="15"/>
  <c r="AR96" i="15"/>
  <c r="AQ96" i="15"/>
  <c r="X96" i="15"/>
  <c r="W96" i="15"/>
  <c r="K96" i="15" s="1"/>
  <c r="P96" i="15"/>
  <c r="N96" i="15"/>
  <c r="L96" i="15"/>
  <c r="AR95" i="15"/>
  <c r="AQ95" i="15"/>
  <c r="Z95" i="15"/>
  <c r="Y95" i="15"/>
  <c r="X95" i="15"/>
  <c r="L95" i="15" s="1"/>
  <c r="W95" i="15"/>
  <c r="P95" i="15"/>
  <c r="O95" i="15"/>
  <c r="N95" i="15"/>
  <c r="M95" i="15"/>
  <c r="K95" i="15"/>
  <c r="AR94" i="15"/>
  <c r="AQ94" i="15"/>
  <c r="Z94" i="15"/>
  <c r="Y94" i="15"/>
  <c r="X94" i="15"/>
  <c r="L94" i="15" s="1"/>
  <c r="W94" i="15"/>
  <c r="P94" i="15"/>
  <c r="O94" i="15"/>
  <c r="N94" i="15"/>
  <c r="M94" i="15"/>
  <c r="K94" i="15"/>
  <c r="AR93" i="15"/>
  <c r="AQ93" i="15"/>
  <c r="Z93" i="15"/>
  <c r="Y93" i="15"/>
  <c r="X93" i="15"/>
  <c r="L93" i="15" s="1"/>
  <c r="W93" i="15"/>
  <c r="P93" i="15"/>
  <c r="O93" i="15"/>
  <c r="N93" i="15"/>
  <c r="M93" i="15"/>
  <c r="K93" i="15"/>
  <c r="AR92" i="15"/>
  <c r="AQ92" i="15"/>
  <c r="Z92" i="15"/>
  <c r="Y92" i="15"/>
  <c r="X92" i="15"/>
  <c r="L92" i="15" s="1"/>
  <c r="W92" i="15"/>
  <c r="P92" i="15"/>
  <c r="O92" i="15"/>
  <c r="N92" i="15"/>
  <c r="M92" i="15"/>
  <c r="K92" i="15"/>
  <c r="AR91" i="15"/>
  <c r="AQ91" i="15"/>
  <c r="Z91" i="15"/>
  <c r="Y91" i="15"/>
  <c r="X91" i="15"/>
  <c r="L91" i="15" s="1"/>
  <c r="W91" i="15"/>
  <c r="P91" i="15"/>
  <c r="O91" i="15"/>
  <c r="N91" i="15"/>
  <c r="M91" i="15"/>
  <c r="K91" i="15"/>
  <c r="AR90" i="15"/>
  <c r="AQ90" i="15"/>
  <c r="Z90" i="15"/>
  <c r="Y90" i="15"/>
  <c r="X90" i="15"/>
  <c r="L90" i="15" s="1"/>
  <c r="W90" i="15"/>
  <c r="P90" i="15"/>
  <c r="O90" i="15"/>
  <c r="N90" i="15"/>
  <c r="M90" i="15"/>
  <c r="K90" i="15"/>
  <c r="AR89" i="15"/>
  <c r="AQ89" i="15"/>
  <c r="Z89" i="15"/>
  <c r="Y89" i="15"/>
  <c r="X89" i="15"/>
  <c r="L89" i="15" s="1"/>
  <c r="W89" i="15"/>
  <c r="P89" i="15"/>
  <c r="O89" i="15"/>
  <c r="N89" i="15"/>
  <c r="M89" i="15"/>
  <c r="K89" i="15"/>
  <c r="AR88" i="15"/>
  <c r="AQ88" i="15"/>
  <c r="Z88" i="15"/>
  <c r="Y88" i="15"/>
  <c r="X88" i="15"/>
  <c r="L88" i="15" s="1"/>
  <c r="W88" i="15"/>
  <c r="P88" i="15"/>
  <c r="O88" i="15"/>
  <c r="N88" i="15"/>
  <c r="M88" i="15"/>
  <c r="K88" i="15"/>
  <c r="AR87" i="15"/>
  <c r="AQ87" i="15"/>
  <c r="Z87" i="15"/>
  <c r="Y87" i="15"/>
  <c r="X87" i="15"/>
  <c r="L87" i="15" s="1"/>
  <c r="W87" i="15"/>
  <c r="P87" i="15"/>
  <c r="O87" i="15"/>
  <c r="N87" i="15"/>
  <c r="M87" i="15"/>
  <c r="K87" i="15"/>
  <c r="AR86" i="15"/>
  <c r="AQ86" i="15"/>
  <c r="Z86" i="15"/>
  <c r="Y86" i="15"/>
  <c r="X86" i="15"/>
  <c r="L86" i="15" s="1"/>
  <c r="W86" i="15"/>
  <c r="P86" i="15"/>
  <c r="O86" i="15"/>
  <c r="N86" i="15"/>
  <c r="M86" i="15"/>
  <c r="K86" i="15"/>
  <c r="AR85" i="15"/>
  <c r="AQ85" i="15"/>
  <c r="Z85" i="15"/>
  <c r="Y85" i="15"/>
  <c r="X85" i="15"/>
  <c r="L85" i="15" s="1"/>
  <c r="W85" i="15"/>
  <c r="P85" i="15"/>
  <c r="O85" i="15"/>
  <c r="N85" i="15"/>
  <c r="M85" i="15"/>
  <c r="K85" i="15"/>
  <c r="AR84" i="15"/>
  <c r="AQ84" i="15"/>
  <c r="Z84" i="15"/>
  <c r="Y84" i="15"/>
  <c r="X84" i="15"/>
  <c r="L84" i="15" s="1"/>
  <c r="W84" i="15"/>
  <c r="P84" i="15"/>
  <c r="O84" i="15"/>
  <c r="N84" i="15"/>
  <c r="M84" i="15"/>
  <c r="K84" i="15"/>
  <c r="AR83" i="15"/>
  <c r="AQ83" i="15"/>
  <c r="Z83" i="15"/>
  <c r="Y83" i="15"/>
  <c r="X83" i="15"/>
  <c r="L83" i="15" s="1"/>
  <c r="W83" i="15"/>
  <c r="P83" i="15"/>
  <c r="O83" i="15"/>
  <c r="N83" i="15"/>
  <c r="M83" i="15"/>
  <c r="K83" i="15"/>
  <c r="AR82" i="15"/>
  <c r="AQ82" i="15"/>
  <c r="Z82" i="15"/>
  <c r="Y82" i="15"/>
  <c r="X82" i="15"/>
  <c r="L82" i="15" s="1"/>
  <c r="W82" i="15"/>
  <c r="P82" i="15"/>
  <c r="O82" i="15"/>
  <c r="N82" i="15"/>
  <c r="M82" i="15"/>
  <c r="K82" i="15"/>
  <c r="AR81" i="15"/>
  <c r="AQ81" i="15"/>
  <c r="Z81" i="15"/>
  <c r="Y81" i="15"/>
  <c r="X81" i="15"/>
  <c r="L81" i="15" s="1"/>
  <c r="W81" i="15"/>
  <c r="P81" i="15"/>
  <c r="O81" i="15"/>
  <c r="N81" i="15"/>
  <c r="M81" i="15"/>
  <c r="K81" i="15"/>
  <c r="AR80" i="15"/>
  <c r="AQ80" i="15"/>
  <c r="Z80" i="15"/>
  <c r="Y80" i="15"/>
  <c r="X80" i="15"/>
  <c r="L80" i="15" s="1"/>
  <c r="W80" i="15"/>
  <c r="P80" i="15"/>
  <c r="O80" i="15"/>
  <c r="N80" i="15"/>
  <c r="M80" i="15"/>
  <c r="K80" i="15"/>
  <c r="AR79" i="15"/>
  <c r="AQ79" i="15"/>
  <c r="Z79" i="15"/>
  <c r="Y79" i="15"/>
  <c r="X79" i="15"/>
  <c r="L79" i="15" s="1"/>
  <c r="W79" i="15"/>
  <c r="P79" i="15"/>
  <c r="O79" i="15"/>
  <c r="N79" i="15"/>
  <c r="M79" i="15"/>
  <c r="K79" i="15"/>
  <c r="AR78" i="15"/>
  <c r="AQ78" i="15"/>
  <c r="Z78" i="15"/>
  <c r="Y78" i="15"/>
  <c r="X78" i="15"/>
  <c r="L78" i="15" s="1"/>
  <c r="W78" i="15"/>
  <c r="P78" i="15"/>
  <c r="O78" i="15"/>
  <c r="N78" i="15"/>
  <c r="M78" i="15"/>
  <c r="K78" i="15"/>
  <c r="AR77" i="15"/>
  <c r="AQ77" i="15"/>
  <c r="Z77" i="15"/>
  <c r="Y77" i="15"/>
  <c r="X77" i="15"/>
  <c r="L77" i="15" s="1"/>
  <c r="W77" i="15"/>
  <c r="P77" i="15"/>
  <c r="O77" i="15"/>
  <c r="N77" i="15"/>
  <c r="M77" i="15"/>
  <c r="K77" i="15"/>
  <c r="AR76" i="15"/>
  <c r="AQ76" i="15"/>
  <c r="Z76" i="15"/>
  <c r="Y76" i="15"/>
  <c r="X76" i="15"/>
  <c r="L76" i="15" s="1"/>
  <c r="W76" i="15"/>
  <c r="P76" i="15"/>
  <c r="O76" i="15"/>
  <c r="N76" i="15"/>
  <c r="M76" i="15"/>
  <c r="K76" i="15"/>
  <c r="AR75" i="15"/>
  <c r="AQ75" i="15"/>
  <c r="Z75" i="15"/>
  <c r="Y75" i="15"/>
  <c r="X75" i="15"/>
  <c r="L75" i="15" s="1"/>
  <c r="W75" i="15"/>
  <c r="P75" i="15"/>
  <c r="O75" i="15"/>
  <c r="N75" i="15"/>
  <c r="M75" i="15"/>
  <c r="K75" i="15"/>
  <c r="AR74" i="15"/>
  <c r="AQ74" i="15"/>
  <c r="Z74" i="15"/>
  <c r="Y74" i="15"/>
  <c r="X74" i="15"/>
  <c r="L74" i="15" s="1"/>
  <c r="W74" i="15"/>
  <c r="P74" i="15"/>
  <c r="O74" i="15"/>
  <c r="N74" i="15"/>
  <c r="M74" i="15"/>
  <c r="K74" i="15"/>
  <c r="AR73" i="15"/>
  <c r="AQ73" i="15"/>
  <c r="Z73" i="15"/>
  <c r="Y73" i="15"/>
  <c r="X73" i="15"/>
  <c r="L73" i="15" s="1"/>
  <c r="W73" i="15"/>
  <c r="P73" i="15"/>
  <c r="O73" i="15"/>
  <c r="N73" i="15"/>
  <c r="M73" i="15"/>
  <c r="K73" i="15"/>
  <c r="AR72" i="15"/>
  <c r="AQ72" i="15"/>
  <c r="Z72" i="15"/>
  <c r="Y72" i="15"/>
  <c r="X72" i="15"/>
  <c r="L72" i="15" s="1"/>
  <c r="W72" i="15"/>
  <c r="P72" i="15"/>
  <c r="O72" i="15"/>
  <c r="N72" i="15"/>
  <c r="M72" i="15"/>
  <c r="K72" i="15"/>
  <c r="AR71" i="15"/>
  <c r="AQ71" i="15"/>
  <c r="Z71" i="15"/>
  <c r="Y71" i="15"/>
  <c r="X71" i="15"/>
  <c r="L71" i="15" s="1"/>
  <c r="W71" i="15"/>
  <c r="P71" i="15"/>
  <c r="O71" i="15"/>
  <c r="N71" i="15"/>
  <c r="M71" i="15"/>
  <c r="K71" i="15"/>
  <c r="AR70" i="15"/>
  <c r="AQ70" i="15"/>
  <c r="Z70" i="15"/>
  <c r="Y70" i="15"/>
  <c r="X70" i="15"/>
  <c r="L70" i="15" s="1"/>
  <c r="W70" i="15"/>
  <c r="P70" i="15"/>
  <c r="O70" i="15"/>
  <c r="N70" i="15"/>
  <c r="M70" i="15"/>
  <c r="K70" i="15"/>
  <c r="AR69" i="15"/>
  <c r="AQ69" i="15"/>
  <c r="Z69" i="15"/>
  <c r="Y69" i="15"/>
  <c r="X69" i="15"/>
  <c r="L69" i="15" s="1"/>
  <c r="W69" i="15"/>
  <c r="P69" i="15"/>
  <c r="O69" i="15"/>
  <c r="N69" i="15"/>
  <c r="M69" i="15"/>
  <c r="K69" i="15"/>
  <c r="AR68" i="15"/>
  <c r="AQ68" i="15"/>
  <c r="Z68" i="15"/>
  <c r="Y68" i="15"/>
  <c r="X68" i="15"/>
  <c r="L68" i="15" s="1"/>
  <c r="W68" i="15"/>
  <c r="P68" i="15"/>
  <c r="O68" i="15"/>
  <c r="N68" i="15"/>
  <c r="M68" i="15"/>
  <c r="K68" i="15"/>
  <c r="AR67" i="15"/>
  <c r="AQ67" i="15"/>
  <c r="Z67" i="15"/>
  <c r="Y67" i="15"/>
  <c r="X67" i="15"/>
  <c r="L67" i="15" s="1"/>
  <c r="W67" i="15"/>
  <c r="P67" i="15"/>
  <c r="O67" i="15"/>
  <c r="N67" i="15"/>
  <c r="M67" i="15"/>
  <c r="K67" i="15"/>
  <c r="AR66" i="15"/>
  <c r="AQ66" i="15"/>
  <c r="Z66" i="15"/>
  <c r="Y66" i="15"/>
  <c r="X66" i="15"/>
  <c r="L66" i="15" s="1"/>
  <c r="W66" i="15"/>
  <c r="P66" i="15"/>
  <c r="O66" i="15"/>
  <c r="N66" i="15"/>
  <c r="M66" i="15"/>
  <c r="K66" i="15"/>
  <c r="AR65" i="15"/>
  <c r="AQ65" i="15"/>
  <c r="Z65" i="15"/>
  <c r="Y65" i="15"/>
  <c r="X65" i="15"/>
  <c r="L65" i="15" s="1"/>
  <c r="W65" i="15"/>
  <c r="P65" i="15"/>
  <c r="O65" i="15"/>
  <c r="N65" i="15"/>
  <c r="M65" i="15"/>
  <c r="K65" i="15"/>
  <c r="AR64" i="15"/>
  <c r="AQ64" i="15"/>
  <c r="Z64" i="15"/>
  <c r="Y64" i="15"/>
  <c r="X64" i="15"/>
  <c r="L64" i="15" s="1"/>
  <c r="W64" i="15"/>
  <c r="P64" i="15"/>
  <c r="O64" i="15"/>
  <c r="N64" i="15"/>
  <c r="M64" i="15"/>
  <c r="K64" i="15"/>
  <c r="AR63" i="15"/>
  <c r="AQ63" i="15"/>
  <c r="Z63" i="15"/>
  <c r="Y63" i="15"/>
  <c r="X63" i="15"/>
  <c r="L63" i="15" s="1"/>
  <c r="W63" i="15"/>
  <c r="P63" i="15"/>
  <c r="O63" i="15"/>
  <c r="N63" i="15"/>
  <c r="M63" i="15"/>
  <c r="K63" i="15"/>
  <c r="AR62" i="15"/>
  <c r="AQ62" i="15"/>
  <c r="Z62" i="15"/>
  <c r="Y62" i="15"/>
  <c r="X62" i="15"/>
  <c r="L62" i="15" s="1"/>
  <c r="W62" i="15"/>
  <c r="P62" i="15"/>
  <c r="O62" i="15"/>
  <c r="N62" i="15"/>
  <c r="M62" i="15"/>
  <c r="K62" i="15"/>
  <c r="AR61" i="15"/>
  <c r="AQ61" i="15"/>
  <c r="Z61" i="15"/>
  <c r="Y61" i="15"/>
  <c r="X61" i="15"/>
  <c r="L61" i="15" s="1"/>
  <c r="W61" i="15"/>
  <c r="P61" i="15"/>
  <c r="O61" i="15"/>
  <c r="N61" i="15"/>
  <c r="M61" i="15"/>
  <c r="K61" i="15"/>
  <c r="AR60" i="15"/>
  <c r="AQ60" i="15"/>
  <c r="Z60" i="15"/>
  <c r="Y60" i="15"/>
  <c r="X60" i="15"/>
  <c r="L60" i="15" s="1"/>
  <c r="W60" i="15"/>
  <c r="P60" i="15"/>
  <c r="O60" i="15"/>
  <c r="N60" i="15"/>
  <c r="M60" i="15"/>
  <c r="K60" i="15"/>
  <c r="AR59" i="15"/>
  <c r="AQ59" i="15"/>
  <c r="Z59" i="15"/>
  <c r="Y59" i="15"/>
  <c r="X59" i="15"/>
  <c r="L59" i="15" s="1"/>
  <c r="W59" i="15"/>
  <c r="P59" i="15"/>
  <c r="O59" i="15"/>
  <c r="N59" i="15"/>
  <c r="M59" i="15"/>
  <c r="K59" i="15"/>
  <c r="AR58" i="15"/>
  <c r="AQ58" i="15"/>
  <c r="Z58" i="15"/>
  <c r="Y58" i="15"/>
  <c r="X58" i="15"/>
  <c r="L58" i="15" s="1"/>
  <c r="W58" i="15"/>
  <c r="P58" i="15"/>
  <c r="O58" i="15"/>
  <c r="N58" i="15"/>
  <c r="M58" i="15"/>
  <c r="K58" i="15"/>
  <c r="AR57" i="15"/>
  <c r="AQ57" i="15"/>
  <c r="Z57" i="15"/>
  <c r="Y57" i="15"/>
  <c r="X57" i="15"/>
  <c r="L57" i="15" s="1"/>
  <c r="W57" i="15"/>
  <c r="P57" i="15"/>
  <c r="O57" i="15"/>
  <c r="N57" i="15"/>
  <c r="M57" i="15"/>
  <c r="K57" i="15"/>
  <c r="AR56" i="15"/>
  <c r="AQ56" i="15"/>
  <c r="Z56" i="15"/>
  <c r="Y56" i="15"/>
  <c r="X56" i="15"/>
  <c r="L56" i="15" s="1"/>
  <c r="W56" i="15"/>
  <c r="P56" i="15"/>
  <c r="O56" i="15"/>
  <c r="N56" i="15"/>
  <c r="M56" i="15"/>
  <c r="K56" i="15"/>
  <c r="AR55" i="15"/>
  <c r="AQ55" i="15"/>
  <c r="Z55" i="15"/>
  <c r="Y55" i="15"/>
  <c r="X55" i="15"/>
  <c r="L55" i="15" s="1"/>
  <c r="W55" i="15"/>
  <c r="P55" i="15"/>
  <c r="O55" i="15"/>
  <c r="N55" i="15"/>
  <c r="M55" i="15"/>
  <c r="K55" i="15"/>
  <c r="AR54" i="15"/>
  <c r="AQ54" i="15"/>
  <c r="Z54" i="15"/>
  <c r="Y54" i="15"/>
  <c r="X54" i="15"/>
  <c r="L54" i="15" s="1"/>
  <c r="W54" i="15"/>
  <c r="P54" i="15"/>
  <c r="O54" i="15"/>
  <c r="N54" i="15"/>
  <c r="M54" i="15"/>
  <c r="K54" i="15"/>
  <c r="AR53" i="15"/>
  <c r="AQ53" i="15"/>
  <c r="Z53" i="15"/>
  <c r="Y53" i="15"/>
  <c r="X53" i="15"/>
  <c r="L53" i="15" s="1"/>
  <c r="W53" i="15"/>
  <c r="P53" i="15"/>
  <c r="O53" i="15"/>
  <c r="N53" i="15"/>
  <c r="M53" i="15"/>
  <c r="K53" i="15"/>
  <c r="AR52" i="15"/>
  <c r="AQ52" i="15"/>
  <c r="Z52" i="15"/>
  <c r="Y52" i="15"/>
  <c r="X52" i="15"/>
  <c r="L52" i="15" s="1"/>
  <c r="W52" i="15"/>
  <c r="P52" i="15"/>
  <c r="O52" i="15"/>
  <c r="N52" i="15"/>
  <c r="M52" i="15"/>
  <c r="K52" i="15"/>
  <c r="AR51" i="15"/>
  <c r="AQ51" i="15"/>
  <c r="Z51" i="15"/>
  <c r="Y51" i="15"/>
  <c r="X51" i="15"/>
  <c r="L51" i="15" s="1"/>
  <c r="W51" i="15"/>
  <c r="P51" i="15"/>
  <c r="O51" i="15"/>
  <c r="N51" i="15"/>
  <c r="M51" i="15"/>
  <c r="K51" i="15"/>
  <c r="AR50" i="15"/>
  <c r="AQ50" i="15"/>
  <c r="Z50" i="15"/>
  <c r="Y50" i="15"/>
  <c r="X50" i="15"/>
  <c r="L50" i="15" s="1"/>
  <c r="W50" i="15"/>
  <c r="P50" i="15"/>
  <c r="O50" i="15"/>
  <c r="N50" i="15"/>
  <c r="M50" i="15"/>
  <c r="K50" i="15"/>
  <c r="AR49" i="15"/>
  <c r="AQ49" i="15"/>
  <c r="Z49" i="15"/>
  <c r="Y49" i="15"/>
  <c r="X49" i="15"/>
  <c r="L49" i="15" s="1"/>
  <c r="W49" i="15"/>
  <c r="P49" i="15"/>
  <c r="O49" i="15"/>
  <c r="N49" i="15"/>
  <c r="M49" i="15"/>
  <c r="K49" i="15"/>
  <c r="AR48" i="15"/>
  <c r="AQ48" i="15"/>
  <c r="Z48" i="15"/>
  <c r="Y48" i="15"/>
  <c r="X48" i="15"/>
  <c r="L48" i="15" s="1"/>
  <c r="W48" i="15"/>
  <c r="P48" i="15"/>
  <c r="O48" i="15"/>
  <c r="N48" i="15"/>
  <c r="M48" i="15"/>
  <c r="K48" i="15"/>
  <c r="AR47" i="15"/>
  <c r="AQ47" i="15"/>
  <c r="Z47" i="15"/>
  <c r="Y47" i="15"/>
  <c r="X47" i="15"/>
  <c r="L47" i="15" s="1"/>
  <c r="W47" i="15"/>
  <c r="P47" i="15"/>
  <c r="O47" i="15"/>
  <c r="N47" i="15"/>
  <c r="M47" i="15"/>
  <c r="K47" i="15"/>
  <c r="AR46" i="15"/>
  <c r="AQ46" i="15"/>
  <c r="Z46" i="15"/>
  <c r="Y46" i="15"/>
  <c r="X46" i="15"/>
  <c r="L46" i="15" s="1"/>
  <c r="W46" i="15"/>
  <c r="P46" i="15"/>
  <c r="O46" i="15"/>
  <c r="N46" i="15"/>
  <c r="M46" i="15"/>
  <c r="K46" i="15"/>
  <c r="AR45" i="15"/>
  <c r="AQ45" i="15"/>
  <c r="Z45" i="15"/>
  <c r="Y45" i="15"/>
  <c r="X45" i="15"/>
  <c r="L45" i="15" s="1"/>
  <c r="W45" i="15"/>
  <c r="P45" i="15"/>
  <c r="O45" i="15"/>
  <c r="N45" i="15"/>
  <c r="M45" i="15"/>
  <c r="K45" i="15"/>
  <c r="AR44" i="15"/>
  <c r="AQ44" i="15"/>
  <c r="Z44" i="15"/>
  <c r="Y44" i="15"/>
  <c r="X44" i="15"/>
  <c r="L44" i="15" s="1"/>
  <c r="W44" i="15"/>
  <c r="P44" i="15"/>
  <c r="O44" i="15"/>
  <c r="N44" i="15"/>
  <c r="M44" i="15"/>
  <c r="K44" i="15"/>
  <c r="AR43" i="15"/>
  <c r="AQ43" i="15"/>
  <c r="Z43" i="15"/>
  <c r="Y43" i="15"/>
  <c r="X43" i="15"/>
  <c r="L43" i="15" s="1"/>
  <c r="W43" i="15"/>
  <c r="P43" i="15"/>
  <c r="O43" i="15"/>
  <c r="N43" i="15"/>
  <c r="M43" i="15"/>
  <c r="AR42" i="15"/>
  <c r="AQ42" i="15"/>
  <c r="Z42" i="15"/>
  <c r="X42" i="15"/>
  <c r="P42" i="15" s="1"/>
  <c r="W42" i="15"/>
  <c r="K42" i="15" s="1"/>
  <c r="O42" i="15"/>
  <c r="M42" i="15"/>
  <c r="L42" i="15"/>
  <c r="AR41" i="15"/>
  <c r="AQ41" i="15"/>
  <c r="Z41" i="15"/>
  <c r="X41" i="15"/>
  <c r="P41" i="15" s="1"/>
  <c r="W41" i="15"/>
  <c r="K41" i="15" s="1"/>
  <c r="O41" i="15"/>
  <c r="M41" i="15"/>
  <c r="L41" i="15"/>
  <c r="AR40" i="15"/>
  <c r="AQ40" i="15"/>
  <c r="Z40" i="15"/>
  <c r="X40" i="15"/>
  <c r="P40" i="15" s="1"/>
  <c r="W40" i="15"/>
  <c r="K40" i="15" s="1"/>
  <c r="O40" i="15"/>
  <c r="M40" i="15"/>
  <c r="L40" i="15"/>
  <c r="AR39" i="15"/>
  <c r="AQ39" i="15"/>
  <c r="Z39" i="15"/>
  <c r="X39" i="15"/>
  <c r="P39" i="15" s="1"/>
  <c r="W39" i="15"/>
  <c r="Y39" i="15" s="1"/>
  <c r="O39" i="15"/>
  <c r="M39" i="15"/>
  <c r="L39" i="15"/>
  <c r="AR38" i="15"/>
  <c r="AQ38" i="15"/>
  <c r="Y38" i="15"/>
  <c r="X38" i="15"/>
  <c r="W38" i="15"/>
  <c r="O38" i="15" s="1"/>
  <c r="P38" i="15"/>
  <c r="N38" i="15"/>
  <c r="L38" i="15"/>
  <c r="K38" i="15"/>
  <c r="AR37" i="15"/>
  <c r="AQ37" i="15"/>
  <c r="Y37" i="15"/>
  <c r="X37" i="15"/>
  <c r="W37" i="15"/>
  <c r="O37" i="15" s="1"/>
  <c r="P37" i="15"/>
  <c r="N37" i="15"/>
  <c r="L37" i="15"/>
  <c r="K37" i="15"/>
  <c r="AR36" i="15"/>
  <c r="AQ36" i="15"/>
  <c r="Y36" i="15"/>
  <c r="X36" i="15"/>
  <c r="W36" i="15"/>
  <c r="O36" i="15" s="1"/>
  <c r="P36" i="15"/>
  <c r="N36" i="15"/>
  <c r="L36" i="15"/>
  <c r="K36" i="15"/>
  <c r="AR35" i="15"/>
  <c r="AQ35" i="15"/>
  <c r="Y35" i="15"/>
  <c r="X35" i="15"/>
  <c r="W35" i="15"/>
  <c r="O35" i="15" s="1"/>
  <c r="P35" i="15"/>
  <c r="N35" i="15"/>
  <c r="L35" i="15"/>
  <c r="K35" i="15"/>
  <c r="AR34" i="15"/>
  <c r="AQ34" i="15"/>
  <c r="Y34" i="15"/>
  <c r="X34" i="15"/>
  <c r="W34" i="15"/>
  <c r="O34" i="15" s="1"/>
  <c r="P34" i="15"/>
  <c r="N34" i="15"/>
  <c r="L34" i="15"/>
  <c r="K34" i="15"/>
  <c r="AR33" i="15"/>
  <c r="AQ33" i="15"/>
  <c r="Y33" i="15"/>
  <c r="X33" i="15"/>
  <c r="W33" i="15"/>
  <c r="O33" i="15" s="1"/>
  <c r="P33" i="15"/>
  <c r="N33" i="15"/>
  <c r="L33" i="15"/>
  <c r="K33" i="15"/>
  <c r="AR32" i="15"/>
  <c r="AQ32" i="15"/>
  <c r="Y32" i="15"/>
  <c r="X32" i="15"/>
  <c r="W32" i="15"/>
  <c r="O32" i="15" s="1"/>
  <c r="P32" i="15"/>
  <c r="N32" i="15"/>
  <c r="L32" i="15"/>
  <c r="AR31" i="15"/>
  <c r="AQ31" i="15"/>
  <c r="Y31" i="15"/>
  <c r="X31" i="15"/>
  <c r="N31" i="15" s="1"/>
  <c r="W31" i="15"/>
  <c r="Z31" i="15" s="1"/>
  <c r="O31" i="15"/>
  <c r="M31" i="15"/>
  <c r="K31" i="15"/>
  <c r="AR30" i="15"/>
  <c r="AQ30" i="15"/>
  <c r="Y30" i="15"/>
  <c r="X30" i="15"/>
  <c r="N30" i="15" s="1"/>
  <c r="W30" i="15"/>
  <c r="Z30" i="15" s="1"/>
  <c r="O30" i="15"/>
  <c r="M30" i="15"/>
  <c r="K30" i="15"/>
  <c r="AR29" i="15"/>
  <c r="AQ29" i="15"/>
  <c r="Y29" i="15"/>
  <c r="X29" i="15"/>
  <c r="P29" i="15" s="1"/>
  <c r="W29" i="15"/>
  <c r="Z29" i="15" s="1"/>
  <c r="O29" i="15"/>
  <c r="M29" i="15"/>
  <c r="K29" i="15"/>
  <c r="AR28" i="15"/>
  <c r="AQ28" i="15"/>
  <c r="Y28" i="15"/>
  <c r="X28" i="15"/>
  <c r="N28" i="15" s="1"/>
  <c r="W28" i="15"/>
  <c r="Z28" i="15" s="1"/>
  <c r="O28" i="15"/>
  <c r="M28" i="15"/>
  <c r="AR27" i="15"/>
  <c r="AQ27" i="15"/>
  <c r="X27" i="15"/>
  <c r="P27" i="15" s="1"/>
  <c r="W27" i="15"/>
  <c r="M27" i="15" s="1"/>
  <c r="N27" i="15"/>
  <c r="L27" i="15"/>
  <c r="AR26" i="15"/>
  <c r="AQ26" i="15"/>
  <c r="X26" i="15"/>
  <c r="P26" i="15" s="1"/>
  <c r="W26" i="15"/>
  <c r="O26" i="15" s="1"/>
  <c r="N26" i="15"/>
  <c r="L26" i="15"/>
  <c r="AR25" i="15"/>
  <c r="AQ25" i="15"/>
  <c r="X25" i="15"/>
  <c r="P25" i="15" s="1"/>
  <c r="W25" i="15"/>
  <c r="O25" i="15" s="1"/>
  <c r="N25" i="15"/>
  <c r="L25" i="15"/>
  <c r="AR24" i="15"/>
  <c r="AQ24" i="15"/>
  <c r="X24" i="15"/>
  <c r="P24" i="15" s="1"/>
  <c r="W24" i="15"/>
  <c r="O24" i="15" s="1"/>
  <c r="N24" i="15"/>
  <c r="L24" i="15"/>
  <c r="AR23" i="15"/>
  <c r="AQ23" i="15"/>
  <c r="X23" i="15"/>
  <c r="P23" i="15" s="1"/>
  <c r="W23" i="15"/>
  <c r="O23" i="15" s="1"/>
  <c r="N23" i="15"/>
  <c r="L23" i="15"/>
  <c r="AR22" i="15"/>
  <c r="AQ22" i="15"/>
  <c r="X22" i="15"/>
  <c r="P22" i="15" s="1"/>
  <c r="W22" i="15"/>
  <c r="O22" i="15" s="1"/>
  <c r="N22" i="15"/>
  <c r="L22" i="15"/>
  <c r="AR21" i="15"/>
  <c r="AQ21" i="15"/>
  <c r="X21" i="15"/>
  <c r="P21" i="15" s="1"/>
  <c r="W21" i="15"/>
  <c r="O21" i="15" s="1"/>
  <c r="N21" i="15"/>
  <c r="L21" i="15"/>
  <c r="AR20" i="15"/>
  <c r="AQ20" i="15"/>
  <c r="Z20" i="15"/>
  <c r="X20" i="15"/>
  <c r="L20" i="15" s="1"/>
  <c r="W20" i="15"/>
  <c r="Y20" i="15" s="1"/>
  <c r="P20" i="15"/>
  <c r="N20" i="15"/>
  <c r="M20" i="15"/>
  <c r="K20" i="15"/>
  <c r="AR19" i="15"/>
  <c r="AQ19" i="15"/>
  <c r="Z19" i="15"/>
  <c r="X19" i="15"/>
  <c r="L19" i="15" s="1"/>
  <c r="W19" i="15"/>
  <c r="Y19" i="15" s="1"/>
  <c r="P19" i="15"/>
  <c r="N19" i="15"/>
  <c r="M19" i="15"/>
  <c r="K19" i="15"/>
  <c r="AR18" i="15"/>
  <c r="AQ18" i="15"/>
  <c r="Z18" i="15"/>
  <c r="X18" i="15"/>
  <c r="L18" i="15" s="1"/>
  <c r="W18" i="15"/>
  <c r="Y18" i="15" s="1"/>
  <c r="P18" i="15"/>
  <c r="N18" i="15"/>
  <c r="M18" i="15"/>
  <c r="K18" i="15"/>
  <c r="AR17" i="15"/>
  <c r="AQ17" i="15"/>
  <c r="Z17" i="15"/>
  <c r="X17" i="15"/>
  <c r="L17" i="15" s="1"/>
  <c r="W17" i="15"/>
  <c r="Y17" i="15" s="1"/>
  <c r="P17" i="15"/>
  <c r="N17" i="15"/>
  <c r="M17" i="15"/>
  <c r="AR16" i="15"/>
  <c r="AQ16" i="15"/>
  <c r="Z16" i="15"/>
  <c r="Y16" i="15"/>
  <c r="X16" i="15"/>
  <c r="W16" i="15"/>
  <c r="K16" i="15" s="1"/>
  <c r="P16" i="15"/>
  <c r="O16" i="15"/>
  <c r="N16" i="15"/>
  <c r="M16" i="15"/>
  <c r="L16" i="15"/>
  <c r="AR15" i="15"/>
  <c r="AQ15" i="15"/>
  <c r="Z15" i="15"/>
  <c r="Y15" i="15"/>
  <c r="X15" i="15"/>
  <c r="W15" i="15"/>
  <c r="K15" i="15" s="1"/>
  <c r="P15" i="15"/>
  <c r="O15" i="15"/>
  <c r="N15" i="15"/>
  <c r="M15" i="15"/>
  <c r="L15" i="15"/>
  <c r="AR14" i="15"/>
  <c r="AQ14" i="15"/>
  <c r="Z14" i="15"/>
  <c r="Y14" i="15"/>
  <c r="X14" i="15"/>
  <c r="W14" i="15"/>
  <c r="K14" i="15" s="1"/>
  <c r="P14" i="15"/>
  <c r="O14" i="15"/>
  <c r="N14" i="15"/>
  <c r="M14" i="15"/>
  <c r="L14" i="15"/>
  <c r="AR13" i="15"/>
  <c r="AQ13" i="15"/>
  <c r="Z13" i="15"/>
  <c r="Y13" i="15"/>
  <c r="X13" i="15"/>
  <c r="W13" i="15"/>
  <c r="K13" i="15" s="1"/>
  <c r="P13" i="15"/>
  <c r="O13" i="15"/>
  <c r="N13" i="15"/>
  <c r="M13" i="15"/>
  <c r="L13" i="15"/>
  <c r="AR12" i="15"/>
  <c r="AQ12" i="15"/>
  <c r="Z12" i="15"/>
  <c r="Y12" i="15"/>
  <c r="X12" i="15"/>
  <c r="W12" i="15"/>
  <c r="K12" i="15" s="1"/>
  <c r="P12" i="15"/>
  <c r="O12" i="15"/>
  <c r="N12" i="15"/>
  <c r="M12" i="15"/>
  <c r="L12" i="15"/>
  <c r="AR11" i="15"/>
  <c r="AQ11" i="15"/>
  <c r="Z11" i="15"/>
  <c r="Y11" i="15"/>
  <c r="X11" i="15"/>
  <c r="W11" i="15"/>
  <c r="K11" i="15" s="1"/>
  <c r="P11" i="15"/>
  <c r="O11" i="15"/>
  <c r="N11" i="15"/>
  <c r="M11" i="15"/>
  <c r="L11" i="15"/>
  <c r="AR10" i="15"/>
  <c r="AQ10" i="15"/>
  <c r="Z10" i="15"/>
  <c r="Y10" i="15"/>
  <c r="X10" i="15"/>
  <c r="W10" i="15"/>
  <c r="P10" i="15"/>
  <c r="O10" i="15"/>
  <c r="N10" i="15"/>
  <c r="M10" i="15"/>
  <c r="L10" i="15"/>
  <c r="AR9" i="15"/>
  <c r="AQ9" i="15"/>
  <c r="Z9" i="15"/>
  <c r="Y9" i="15"/>
  <c r="X9" i="15"/>
  <c r="L9" i="15" s="1"/>
  <c r="W9" i="15"/>
  <c r="O9" i="15"/>
  <c r="N9" i="15"/>
  <c r="M9" i="15"/>
  <c r="K9" i="15"/>
  <c r="AR8" i="15"/>
  <c r="AQ8" i="15"/>
  <c r="Z8" i="15"/>
  <c r="Y8" i="15"/>
  <c r="X8" i="15"/>
  <c r="L8" i="15" s="1"/>
  <c r="W8" i="15"/>
  <c r="O8" i="15"/>
  <c r="N8" i="15"/>
  <c r="M8" i="15"/>
  <c r="K8" i="15"/>
  <c r="AR7" i="15"/>
  <c r="AQ7" i="15"/>
  <c r="Z7" i="15"/>
  <c r="Y7" i="15"/>
  <c r="X7" i="15"/>
  <c r="L7" i="15" s="1"/>
  <c r="W7" i="15"/>
  <c r="O7" i="15"/>
  <c r="N7" i="15"/>
  <c r="M7" i="15"/>
  <c r="K7" i="15"/>
  <c r="AR6" i="15"/>
  <c r="AQ6" i="15"/>
  <c r="Z6" i="15"/>
  <c r="Y6" i="15"/>
  <c r="X6" i="15"/>
  <c r="L6" i="15" s="1"/>
  <c r="W6" i="15"/>
  <c r="O6" i="15"/>
  <c r="N6" i="15"/>
  <c r="M6" i="15"/>
  <c r="AR5" i="15"/>
  <c r="AQ5" i="15"/>
  <c r="X5" i="15"/>
  <c r="P5" i="15" s="1"/>
  <c r="W5" i="15"/>
  <c r="K5" i="15" s="1"/>
  <c r="M5" i="15"/>
  <c r="AR4" i="15"/>
  <c r="AQ4" i="15"/>
  <c r="X4" i="15"/>
  <c r="P4" i="15" s="1"/>
  <c r="W4" i="15"/>
  <c r="K4" i="15" s="1"/>
  <c r="M4" i="15"/>
  <c r="AR3" i="15"/>
  <c r="AQ3" i="15"/>
  <c r="X3" i="15"/>
  <c r="P3" i="15" s="1"/>
  <c r="W3" i="15"/>
  <c r="K3" i="15" s="1"/>
  <c r="M3" i="15"/>
  <c r="AR2" i="15"/>
  <c r="AQ2" i="15"/>
  <c r="AL2" i="15"/>
  <c r="Z2" i="15"/>
  <c r="Y2" i="15"/>
  <c r="X2" i="15"/>
  <c r="L2" i="15" s="1"/>
  <c r="W2" i="15"/>
  <c r="O2" i="15"/>
  <c r="N2" i="15"/>
  <c r="M2" i="15"/>
  <c r="K2" i="15"/>
  <c r="AA128" i="9"/>
  <c r="AA127" i="9"/>
  <c r="AA126" i="9"/>
  <c r="AA125" i="9"/>
  <c r="AA124" i="9"/>
  <c r="AA123" i="9"/>
  <c r="O27" i="15" l="1"/>
  <c r="P28" i="15"/>
  <c r="P30" i="15"/>
  <c r="P31" i="15"/>
  <c r="P104" i="15"/>
  <c r="L3" i="15"/>
  <c r="L4" i="15"/>
  <c r="L5" i="15"/>
  <c r="O17" i="15"/>
  <c r="O18" i="15"/>
  <c r="O19" i="15"/>
  <c r="O20" i="15"/>
  <c r="Y40" i="15"/>
  <c r="Y41" i="15"/>
  <c r="Y42" i="15"/>
  <c r="L99" i="15"/>
  <c r="O102" i="15"/>
  <c r="P103" i="15"/>
  <c r="Y106" i="15"/>
  <c r="L111" i="15"/>
  <c r="O114" i="15"/>
  <c r="P115" i="15"/>
  <c r="Y118" i="15"/>
  <c r="P124" i="15"/>
  <c r="L128" i="15"/>
  <c r="Z130" i="15"/>
  <c r="M130" i="15"/>
  <c r="L134" i="15"/>
  <c r="O136" i="15"/>
  <c r="Y139" i="15"/>
  <c r="K144" i="15"/>
  <c r="N145" i="15"/>
  <c r="M150" i="15"/>
  <c r="Z152" i="15"/>
  <c r="K152" i="15"/>
  <c r="Y156" i="15"/>
  <c r="Y167" i="15"/>
  <c r="P170" i="15"/>
  <c r="Y174" i="15"/>
  <c r="Y185" i="15"/>
  <c r="M188" i="15"/>
  <c r="Z188" i="15"/>
  <c r="M197" i="15"/>
  <c r="Z197" i="15"/>
  <c r="O202" i="15"/>
  <c r="M202" i="15"/>
  <c r="Z202" i="15"/>
  <c r="K202" i="15"/>
  <c r="Y202" i="15"/>
  <c r="N206" i="15"/>
  <c r="O212" i="15"/>
  <c r="M212" i="15"/>
  <c r="Z212" i="15"/>
  <c r="Y212" i="15"/>
  <c r="K212" i="15"/>
  <c r="AL212" i="15"/>
  <c r="Z105" i="15"/>
  <c r="Z117" i="15"/>
  <c r="Z129" i="15"/>
  <c r="M129" i="15"/>
  <c r="M159" i="15"/>
  <c r="Z159" i="15"/>
  <c r="Y159" i="15"/>
  <c r="K159" i="15"/>
  <c r="M162" i="15"/>
  <c r="Z162" i="15"/>
  <c r="O162" i="15"/>
  <c r="M166" i="15"/>
  <c r="Z166" i="15"/>
  <c r="M173" i="15"/>
  <c r="Z173" i="15"/>
  <c r="M177" i="15"/>
  <c r="Z177" i="15"/>
  <c r="Y177" i="15"/>
  <c r="K177" i="15"/>
  <c r="M180" i="15"/>
  <c r="Z180" i="15"/>
  <c r="O180" i="15"/>
  <c r="M184" i="15"/>
  <c r="Z184" i="15"/>
  <c r="P204" i="15"/>
  <c r="L204" i="15"/>
  <c r="P255" i="15"/>
  <c r="N255" i="15"/>
  <c r="L255" i="15"/>
  <c r="N262" i="15"/>
  <c r="P262" i="15"/>
  <c r="L262" i="15"/>
  <c r="P191" i="15"/>
  <c r="N191" i="15"/>
  <c r="P197" i="15"/>
  <c r="L197" i="15"/>
  <c r="M200" i="15"/>
  <c r="Z200" i="15"/>
  <c r="Y200" i="15"/>
  <c r="P202" i="15"/>
  <c r="L202" i="15"/>
  <c r="N202" i="15"/>
  <c r="O206" i="15"/>
  <c r="M206" i="15"/>
  <c r="Z206" i="15"/>
  <c r="Y206" i="15"/>
  <c r="P212" i="15"/>
  <c r="L212" i="15"/>
  <c r="N212" i="15"/>
  <c r="N3" i="15"/>
  <c r="N4" i="15"/>
  <c r="N5" i="15"/>
  <c r="Z33" i="15"/>
  <c r="Z35" i="15"/>
  <c r="Z37" i="15"/>
  <c r="M98" i="15"/>
  <c r="L109" i="15"/>
  <c r="M110" i="15"/>
  <c r="N111" i="15"/>
  <c r="M133" i="15"/>
  <c r="P2" i="15"/>
  <c r="O4" i="15"/>
  <c r="P6" i="15"/>
  <c r="P8" i="15"/>
  <c r="P9" i="15"/>
  <c r="Y21" i="15"/>
  <c r="Y23" i="15"/>
  <c r="Y25" i="15"/>
  <c r="Y27" i="15"/>
  <c r="M97" i="15"/>
  <c r="O99" i="15"/>
  <c r="P100" i="15"/>
  <c r="Y103" i="15"/>
  <c r="Z104" i="15"/>
  <c r="M109" i="15"/>
  <c r="O111" i="15"/>
  <c r="P112" i="15"/>
  <c r="Y115" i="15"/>
  <c r="Z116" i="15"/>
  <c r="M121" i="15"/>
  <c r="O122" i="15"/>
  <c r="Z124" i="15"/>
  <c r="K132" i="15"/>
  <c r="O133" i="15"/>
  <c r="P134" i="15"/>
  <c r="K141" i="15"/>
  <c r="L142" i="15"/>
  <c r="M143" i="15"/>
  <c r="N144" i="15"/>
  <c r="K148" i="15"/>
  <c r="N149" i="15"/>
  <c r="L154" i="15"/>
  <c r="P155" i="15"/>
  <c r="L155" i="15"/>
  <c r="L172" i="15"/>
  <c r="P173" i="15"/>
  <c r="L173" i="15"/>
  <c r="Z259" i="15"/>
  <c r="O259" i="15"/>
  <c r="K259" i="15"/>
  <c r="Y259" i="15"/>
  <c r="M259" i="15"/>
  <c r="P194" i="15"/>
  <c r="L194" i="15"/>
  <c r="O204" i="15"/>
  <c r="M204" i="15"/>
  <c r="Z204" i="15"/>
  <c r="Y204" i="15"/>
  <c r="Y214" i="15"/>
  <c r="O214" i="15"/>
  <c r="M214" i="15"/>
  <c r="Z32" i="15"/>
  <c r="Z34" i="15"/>
  <c r="Z36" i="15"/>
  <c r="Z38" i="15"/>
  <c r="L97" i="15"/>
  <c r="N99" i="15"/>
  <c r="Z145" i="15"/>
  <c r="K145" i="15"/>
  <c r="M155" i="15"/>
  <c r="Z155" i="15"/>
  <c r="O3" i="15"/>
  <c r="O5" i="15"/>
  <c r="P7" i="15"/>
  <c r="Y22" i="15"/>
  <c r="Y24" i="15"/>
  <c r="Y26" i="15"/>
  <c r="Z21" i="15"/>
  <c r="Z22" i="15"/>
  <c r="Z23" i="15"/>
  <c r="Z24" i="15"/>
  <c r="Z25" i="15"/>
  <c r="Z26" i="15"/>
  <c r="Z27" i="15"/>
  <c r="M96" i="15"/>
  <c r="N97" i="15"/>
  <c r="O98" i="15"/>
  <c r="Y102" i="15"/>
  <c r="Z103" i="15"/>
  <c r="M108" i="15"/>
  <c r="N109" i="15"/>
  <c r="O110" i="15"/>
  <c r="Y114" i="15"/>
  <c r="Z115" i="15"/>
  <c r="M120" i="15"/>
  <c r="P122" i="15"/>
  <c r="Z128" i="15"/>
  <c r="M128" i="15"/>
  <c r="Y129" i="15"/>
  <c r="P133" i="15"/>
  <c r="Y136" i="15"/>
  <c r="M142" i="15"/>
  <c r="Y145" i="15"/>
  <c r="Y155" i="15"/>
  <c r="L157" i="15"/>
  <c r="Y162" i="15"/>
  <c r="Y166" i="15"/>
  <c r="Y173" i="15"/>
  <c r="L175" i="15"/>
  <c r="Y180" i="15"/>
  <c r="Y184" i="15"/>
  <c r="M193" i="15"/>
  <c r="Z193" i="15"/>
  <c r="M141" i="15"/>
  <c r="N142" i="15"/>
  <c r="Z144" i="15"/>
  <c r="O144" i="15"/>
  <c r="M148" i="15"/>
  <c r="Z149" i="15"/>
  <c r="O149" i="15"/>
  <c r="N157" i="15"/>
  <c r="N175" i="15"/>
  <c r="K189" i="15"/>
  <c r="P190" i="15"/>
  <c r="L190" i="15"/>
  <c r="P193" i="15"/>
  <c r="L193" i="15"/>
  <c r="M196" i="15"/>
  <c r="Z196" i="15"/>
  <c r="Y196" i="15"/>
  <c r="P199" i="15"/>
  <c r="N199" i="15"/>
  <c r="O96" i="15"/>
  <c r="O108" i="15"/>
  <c r="O120" i="15"/>
  <c r="K125" i="15"/>
  <c r="Z127" i="15"/>
  <c r="M127" i="15"/>
  <c r="L131" i="15"/>
  <c r="K138" i="15"/>
  <c r="L139" i="15"/>
  <c r="M154" i="15"/>
  <c r="Z154" i="15"/>
  <c r="M161" i="15"/>
  <c r="Z161" i="15"/>
  <c r="M165" i="15"/>
  <c r="Z165" i="15"/>
  <c r="Y165" i="15"/>
  <c r="K165" i="15"/>
  <c r="M168" i="15"/>
  <c r="Z168" i="15"/>
  <c r="O168" i="15"/>
  <c r="L171" i="15"/>
  <c r="M172" i="15"/>
  <c r="Z172" i="15"/>
  <c r="M179" i="15"/>
  <c r="Z179" i="15"/>
  <c r="M183" i="15"/>
  <c r="Z183" i="15"/>
  <c r="Y183" i="15"/>
  <c r="K183" i="15"/>
  <c r="M186" i="15"/>
  <c r="Z186" i="15"/>
  <c r="O186" i="15"/>
  <c r="Y3" i="15"/>
  <c r="Y4" i="15"/>
  <c r="Y5" i="15"/>
  <c r="K22" i="15"/>
  <c r="K23" i="15"/>
  <c r="K24" i="15"/>
  <c r="K25" i="15"/>
  <c r="K26" i="15"/>
  <c r="K27" i="15"/>
  <c r="L28" i="15"/>
  <c r="L29" i="15"/>
  <c r="L30" i="15"/>
  <c r="L31" i="15"/>
  <c r="M32" i="15"/>
  <c r="M33" i="15"/>
  <c r="M34" i="15"/>
  <c r="M35" i="15"/>
  <c r="M36" i="15"/>
  <c r="M37" i="15"/>
  <c r="M38" i="15"/>
  <c r="N39" i="15"/>
  <c r="N40" i="15"/>
  <c r="N41" i="15"/>
  <c r="N42" i="15"/>
  <c r="Y99" i="15"/>
  <c r="L104" i="15"/>
  <c r="M105" i="15"/>
  <c r="N106" i="15"/>
  <c r="Y111" i="15"/>
  <c r="L116" i="15"/>
  <c r="M117" i="15"/>
  <c r="N118" i="15"/>
  <c r="Z122" i="15"/>
  <c r="M125" i="15"/>
  <c r="N131" i="15"/>
  <c r="M139" i="15"/>
  <c r="Y144" i="15"/>
  <c r="Y149" i="15"/>
  <c r="N153" i="15"/>
  <c r="L160" i="15"/>
  <c r="P161" i="15"/>
  <c r="L161" i="15"/>
  <c r="K167" i="15"/>
  <c r="N171" i="15"/>
  <c r="L178" i="15"/>
  <c r="P179" i="15"/>
  <c r="L179" i="15"/>
  <c r="K185" i="15"/>
  <c r="O201" i="15"/>
  <c r="M201" i="15"/>
  <c r="Z201" i="15"/>
  <c r="O203" i="15"/>
  <c r="M203" i="15"/>
  <c r="Z203" i="15"/>
  <c r="Y203" i="15"/>
  <c r="P205" i="15"/>
  <c r="N205" i="15"/>
  <c r="L205" i="15"/>
  <c r="O207" i="15"/>
  <c r="M207" i="15"/>
  <c r="Z207" i="15"/>
  <c r="Y207" i="15"/>
  <c r="K207" i="15"/>
  <c r="Y215" i="15"/>
  <c r="O215" i="15"/>
  <c r="M215" i="15"/>
  <c r="K215" i="15"/>
  <c r="Z215" i="15"/>
  <c r="Y254" i="15"/>
  <c r="O254" i="15"/>
  <c r="M254" i="15"/>
  <c r="Z111" i="15"/>
  <c r="K124" i="15"/>
  <c r="Z126" i="15"/>
  <c r="M126" i="15"/>
  <c r="L130" i="15"/>
  <c r="Z132" i="15"/>
  <c r="M132" i="15"/>
  <c r="L137" i="15"/>
  <c r="Z148" i="15"/>
  <c r="Y148" i="15"/>
  <c r="M189" i="15"/>
  <c r="Z189" i="15"/>
  <c r="P201" i="15"/>
  <c r="L201" i="15"/>
  <c r="O209" i="15"/>
  <c r="M209" i="15"/>
  <c r="Z209" i="15"/>
  <c r="Y209" i="15"/>
  <c r="O211" i="15"/>
  <c r="M211" i="15"/>
  <c r="Z211" i="15"/>
  <c r="Y211" i="15"/>
  <c r="K211" i="15"/>
  <c r="K256" i="15"/>
  <c r="Y256" i="15"/>
  <c r="Z256" i="15"/>
  <c r="Z99" i="15"/>
  <c r="M21" i="15"/>
  <c r="M22" i="15"/>
  <c r="M23" i="15"/>
  <c r="M24" i="15"/>
  <c r="M25" i="15"/>
  <c r="M26" i="15"/>
  <c r="N29" i="15"/>
  <c r="Y97" i="15"/>
  <c r="Z98" i="15"/>
  <c r="M103" i="15"/>
  <c r="O105" i="15"/>
  <c r="Y109" i="15"/>
  <c r="Z110" i="15"/>
  <c r="M115" i="15"/>
  <c r="N116" i="15"/>
  <c r="O117" i="15"/>
  <c r="Y121" i="15"/>
  <c r="M124" i="15"/>
  <c r="O125" i="15"/>
  <c r="K129" i="15"/>
  <c r="N130" i="15"/>
  <c r="K136" i="15"/>
  <c r="M137" i="15"/>
  <c r="Y142" i="15"/>
  <c r="Z143" i="15"/>
  <c r="N146" i="15"/>
  <c r="P153" i="15"/>
  <c r="P160" i="15"/>
  <c r="L170" i="15"/>
  <c r="P178" i="15"/>
  <c r="P189" i="15"/>
  <c r="L189" i="15"/>
  <c r="M192" i="15"/>
  <c r="Z192" i="15"/>
  <c r="Y192" i="15"/>
  <c r="P195" i="15"/>
  <c r="N195" i="15"/>
  <c r="K197" i="15"/>
  <c r="P198" i="15"/>
  <c r="L198" i="15"/>
  <c r="K200" i="15"/>
  <c r="Y201" i="15"/>
  <c r="P209" i="15"/>
  <c r="N209" i="15"/>
  <c r="Y217" i="15"/>
  <c r="O217" i="15"/>
  <c r="M217" i="15"/>
  <c r="Z254" i="15"/>
  <c r="N258" i="15"/>
  <c r="P258" i="15"/>
  <c r="L258" i="15"/>
  <c r="Z4" i="15"/>
  <c r="Y96" i="15"/>
  <c r="M102" i="15"/>
  <c r="Y108" i="15"/>
  <c r="M114" i="15"/>
  <c r="Y120" i="15"/>
  <c r="N124" i="15"/>
  <c r="Y126" i="15"/>
  <c r="Z131" i="15"/>
  <c r="M131" i="15"/>
  <c r="Y132" i="15"/>
  <c r="N137" i="15"/>
  <c r="Y141" i="15"/>
  <c r="Z147" i="15"/>
  <c r="M147" i="15"/>
  <c r="Z153" i="15"/>
  <c r="Y153" i="15"/>
  <c r="M156" i="15"/>
  <c r="Z156" i="15"/>
  <c r="O156" i="15"/>
  <c r="M160" i="15"/>
  <c r="Z160" i="15"/>
  <c r="K166" i="15"/>
  <c r="M167" i="15"/>
  <c r="Z167" i="15"/>
  <c r="M171" i="15"/>
  <c r="Z171" i="15"/>
  <c r="Y171" i="15"/>
  <c r="K171" i="15"/>
  <c r="M174" i="15"/>
  <c r="Z174" i="15"/>
  <c r="O174" i="15"/>
  <c r="M178" i="15"/>
  <c r="Z178" i="15"/>
  <c r="K184" i="15"/>
  <c r="M185" i="15"/>
  <c r="Z185" i="15"/>
  <c r="Y189" i="15"/>
  <c r="L191" i="15"/>
  <c r="N194" i="15"/>
  <c r="N197" i="15"/>
  <c r="K206" i="15"/>
  <c r="N261" i="15"/>
  <c r="P261" i="15"/>
  <c r="Z3" i="15"/>
  <c r="Z5" i="15"/>
  <c r="Z96" i="15"/>
  <c r="O103" i="15"/>
  <c r="Z108" i="15"/>
  <c r="O115" i="15"/>
  <c r="Z120" i="15"/>
  <c r="O124" i="15"/>
  <c r="Z141" i="15"/>
  <c r="M145" i="15"/>
  <c r="P146" i="15"/>
  <c r="K155" i="15"/>
  <c r="K162" i="15"/>
  <c r="P167" i="15"/>
  <c r="L167" i="15"/>
  <c r="K173" i="15"/>
  <c r="K180" i="15"/>
  <c r="P185" i="15"/>
  <c r="L185" i="15"/>
  <c r="K204" i="15"/>
  <c r="K214" i="15"/>
  <c r="M157" i="15"/>
  <c r="Z157" i="15"/>
  <c r="M163" i="15"/>
  <c r="Z163" i="15"/>
  <c r="M169" i="15"/>
  <c r="Z169" i="15"/>
  <c r="M175" i="15"/>
  <c r="Z175" i="15"/>
  <c r="M181" i="15"/>
  <c r="Z181" i="15"/>
  <c r="M187" i="15"/>
  <c r="Z187" i="15"/>
  <c r="M191" i="15"/>
  <c r="Z191" i="15"/>
  <c r="M195" i="15"/>
  <c r="Z195" i="15"/>
  <c r="M199" i="15"/>
  <c r="Z199" i="15"/>
  <c r="O205" i="15"/>
  <c r="M205" i="15"/>
  <c r="Z205" i="15"/>
  <c r="Y205" i="15"/>
  <c r="Y249" i="15"/>
  <c r="O249" i="15"/>
  <c r="Z258" i="15"/>
  <c r="O258" i="15"/>
  <c r="Z262" i="15"/>
  <c r="O262" i="15"/>
  <c r="K262" i="15"/>
  <c r="M190" i="15"/>
  <c r="Z190" i="15"/>
  <c r="M194" i="15"/>
  <c r="Z194" i="15"/>
  <c r="M198" i="15"/>
  <c r="Z198" i="15"/>
  <c r="Y219" i="15"/>
  <c r="O219" i="15"/>
  <c r="Z261" i="15"/>
  <c r="O261" i="15"/>
  <c r="K261" i="15"/>
  <c r="Y261" i="15"/>
  <c r="Z263" i="15"/>
  <c r="Y263" i="15"/>
  <c r="O263" i="15"/>
  <c r="K263" i="15"/>
  <c r="O208" i="15"/>
  <c r="M208" i="15"/>
  <c r="Z208" i="15"/>
  <c r="Y208" i="15"/>
  <c r="Y213" i="15"/>
  <c r="O213" i="15"/>
  <c r="Y216" i="15"/>
  <c r="O216" i="15"/>
  <c r="Y253" i="15"/>
  <c r="O253" i="15"/>
  <c r="O157" i="15"/>
  <c r="M158" i="15"/>
  <c r="Z158" i="15"/>
  <c r="O163" i="15"/>
  <c r="M164" i="15"/>
  <c r="Z164" i="15"/>
  <c r="O169" i="15"/>
  <c r="M170" i="15"/>
  <c r="Z170" i="15"/>
  <c r="O175" i="15"/>
  <c r="M176" i="15"/>
  <c r="Z176" i="15"/>
  <c r="O181" i="15"/>
  <c r="M182" i="15"/>
  <c r="Z182" i="15"/>
  <c r="O187" i="15"/>
  <c r="N210" i="15"/>
  <c r="M258" i="15"/>
  <c r="M262" i="15"/>
  <c r="O210" i="15"/>
  <c r="M210" i="15"/>
  <c r="Z210" i="15"/>
  <c r="Y210" i="15"/>
  <c r="Z213" i="15"/>
  <c r="Z216" i="15"/>
  <c r="Z253" i="15"/>
  <c r="L213" i="15"/>
  <c r="L214" i="15"/>
  <c r="L215" i="15"/>
  <c r="L216" i="15"/>
  <c r="AA115" i="9"/>
  <c r="AA122" i="9"/>
  <c r="AA121" i="9"/>
  <c r="AA120" i="9"/>
  <c r="AA119" i="9" l="1"/>
  <c r="AA118" i="9" l="1"/>
  <c r="AA117" i="9"/>
  <c r="AA116" i="9"/>
  <c r="AA114" i="9"/>
  <c r="AA113" i="9"/>
  <c r="AA112" i="9"/>
  <c r="AA111" i="9"/>
  <c r="AA110" i="9"/>
  <c r="AA109" i="9"/>
  <c r="AA108" i="9"/>
  <c r="AA107" i="9" l="1"/>
  <c r="AA105" i="9"/>
  <c r="AA104" i="9"/>
  <c r="AA103" i="9"/>
  <c r="AA102" i="9"/>
  <c r="AA101" i="9"/>
  <c r="AA100" i="9"/>
  <c r="AA99" i="9"/>
  <c r="AA95" i="9"/>
  <c r="AA98" i="9"/>
  <c r="AA97" i="9"/>
  <c r="AA96" i="9"/>
  <c r="AA94" i="9"/>
  <c r="AA93" i="9"/>
  <c r="AA5" i="9"/>
  <c r="AA3" i="9"/>
  <c r="AA4" i="9"/>
  <c r="AA6" i="9"/>
  <c r="AA7" i="9"/>
  <c r="AA8" i="9"/>
  <c r="AA9" i="9"/>
  <c r="AA10" i="9"/>
  <c r="AA11" i="9"/>
  <c r="AA12" i="9"/>
  <c r="AA13" i="9"/>
  <c r="AA14" i="9"/>
  <c r="AA15" i="9"/>
  <c r="AA16" i="9"/>
  <c r="AA17" i="9"/>
  <c r="AA18" i="9"/>
  <c r="AA19" i="9"/>
  <c r="AA20" i="9"/>
  <c r="AA21" i="9"/>
  <c r="AA22" i="9"/>
  <c r="AA23" i="9"/>
  <c r="AA24" i="9"/>
  <c r="AA25" i="9"/>
  <c r="AA26" i="9"/>
  <c r="AA27" i="9"/>
  <c r="AA28" i="9"/>
  <c r="AA29" i="9"/>
  <c r="AA30" i="9"/>
  <c r="AA31" i="9"/>
  <c r="AA32" i="9"/>
  <c r="AA33" i="9"/>
  <c r="AA34" i="9"/>
  <c r="AA35" i="9"/>
  <c r="AA36" i="9"/>
  <c r="AA37" i="9"/>
  <c r="AA38" i="9"/>
  <c r="AA39" i="9"/>
  <c r="AA40" i="9"/>
  <c r="AA41" i="9"/>
  <c r="AA42" i="9"/>
  <c r="AA43" i="9"/>
  <c r="AA44" i="9"/>
  <c r="AA45" i="9"/>
  <c r="AA46" i="9"/>
  <c r="AA47" i="9"/>
  <c r="AA48" i="9"/>
  <c r="AA49" i="9"/>
  <c r="AA50" i="9"/>
  <c r="AA51" i="9"/>
  <c r="AA52" i="9"/>
  <c r="AA53" i="9"/>
  <c r="AA54" i="9"/>
  <c r="AA55" i="9"/>
  <c r="AA56" i="9"/>
  <c r="AA57" i="9"/>
  <c r="AA58" i="9"/>
  <c r="AA59" i="9"/>
  <c r="AA60" i="9"/>
  <c r="AA61" i="9"/>
  <c r="AA62" i="9"/>
  <c r="AA63" i="9"/>
  <c r="AA64" i="9"/>
  <c r="AA65" i="9"/>
  <c r="AA66" i="9"/>
  <c r="AA67" i="9"/>
  <c r="AA68" i="9"/>
  <c r="AA69" i="9"/>
  <c r="AA70" i="9"/>
  <c r="AA71" i="9"/>
  <c r="AA72" i="9"/>
  <c r="AA73" i="9"/>
  <c r="AA74" i="9"/>
  <c r="AA75" i="9"/>
  <c r="AA76" i="9"/>
  <c r="AA77" i="9"/>
  <c r="AA78" i="9"/>
  <c r="AA79" i="9"/>
  <c r="AA80" i="9"/>
  <c r="AA81" i="9"/>
  <c r="AA82" i="9"/>
  <c r="AA83" i="9"/>
  <c r="AA84" i="9"/>
  <c r="AA85" i="9"/>
  <c r="AA86" i="9"/>
  <c r="AA87" i="9"/>
  <c r="AA88" i="9"/>
  <c r="AA89" i="9"/>
  <c r="AA90" i="9"/>
  <c r="AA91" i="9"/>
  <c r="AA92" i="9"/>
  <c r="AA106" i="9"/>
  <c r="AA129" i="9"/>
  <c r="AA130" i="9"/>
  <c r="AA131" i="9"/>
  <c r="AA132" i="9"/>
  <c r="AA133" i="9"/>
  <c r="AA134" i="9"/>
  <c r="AA135" i="9"/>
  <c r="AA136" i="9"/>
  <c r="AA137" i="9"/>
  <c r="AA138" i="9"/>
  <c r="AA139" i="9"/>
  <c r="AA140" i="9"/>
  <c r="AA141" i="9"/>
  <c r="AA142" i="9"/>
  <c r="AA143" i="9"/>
  <c r="AA144" i="9"/>
  <c r="AA145" i="9"/>
  <c r="AA146" i="9"/>
  <c r="AA147" i="9"/>
  <c r="AA148" i="9"/>
  <c r="AA149" i="9"/>
  <c r="AA150" i="9"/>
  <c r="AA151" i="9"/>
  <c r="AA152" i="9"/>
  <c r="AA153" i="9"/>
  <c r="AA154" i="9"/>
  <c r="AA155" i="9"/>
  <c r="AA156" i="9"/>
  <c r="AA157" i="9"/>
  <c r="AA158" i="9"/>
  <c r="AA159" i="9"/>
  <c r="AA160" i="9"/>
  <c r="AA161" i="9"/>
  <c r="AA162" i="9"/>
  <c r="AA163" i="9"/>
  <c r="AA164" i="9"/>
  <c r="AA165" i="9"/>
  <c r="AA166" i="9"/>
  <c r="AA167" i="9"/>
  <c r="AA168" i="9"/>
  <c r="AA169" i="9"/>
  <c r="AA170" i="9"/>
  <c r="AA171" i="9"/>
  <c r="AA172" i="9"/>
  <c r="AA173" i="9"/>
  <c r="AA174" i="9"/>
  <c r="AA175" i="9"/>
  <c r="AA176" i="9"/>
  <c r="AA177" i="9"/>
  <c r="AA178" i="9"/>
  <c r="AA179" i="9"/>
  <c r="AA180" i="9"/>
  <c r="AA181" i="9"/>
  <c r="AA182" i="9"/>
  <c r="AA183" i="9"/>
  <c r="AA184" i="9"/>
  <c r="AA185" i="9"/>
  <c r="AA186" i="9"/>
  <c r="AA187" i="9"/>
  <c r="AA188" i="9"/>
  <c r="AA189" i="9"/>
  <c r="AA190" i="9"/>
  <c r="AA191" i="9"/>
  <c r="AA192" i="9"/>
  <c r="AA193" i="9"/>
  <c r="AA194" i="9"/>
  <c r="AA195" i="9"/>
  <c r="AA196" i="9"/>
  <c r="AA197" i="9"/>
  <c r="AA198" i="9"/>
  <c r="AA199" i="9"/>
  <c r="AA200" i="9"/>
  <c r="AA201" i="9"/>
  <c r="AA202" i="9"/>
  <c r="AA203" i="9"/>
  <c r="AA204" i="9"/>
  <c r="AA205" i="9"/>
  <c r="AA206" i="9"/>
  <c r="AA207" i="9"/>
  <c r="AA208" i="9"/>
  <c r="AA209" i="9"/>
  <c r="AA210" i="9"/>
  <c r="AA211" i="9"/>
  <c r="AA212" i="9"/>
  <c r="AA213" i="9"/>
  <c r="AA214" i="9"/>
  <c r="AA215" i="9"/>
  <c r="AA216" i="9"/>
  <c r="AA217" i="9"/>
  <c r="AA218" i="9"/>
  <c r="AA219" i="9"/>
  <c r="AA220" i="9"/>
  <c r="AA221" i="9"/>
  <c r="AA222" i="9"/>
  <c r="AA223" i="9"/>
  <c r="AA224" i="9"/>
  <c r="AA225" i="9"/>
  <c r="AA226" i="9"/>
  <c r="AA227" i="9"/>
  <c r="AA228" i="9"/>
  <c r="AA229" i="9"/>
  <c r="AA230" i="9"/>
  <c r="AA231" i="9"/>
  <c r="AA232" i="9"/>
  <c r="AA233" i="9"/>
  <c r="AA234" i="9"/>
  <c r="AA235" i="9"/>
  <c r="AA236" i="9"/>
  <c r="AA237" i="9"/>
  <c r="AA238" i="9"/>
  <c r="AA239" i="9"/>
  <c r="AA240" i="9"/>
  <c r="AA241" i="9"/>
  <c r="AA242" i="9"/>
  <c r="AA243" i="9"/>
  <c r="AA244" i="9"/>
  <c r="AA245" i="9"/>
  <c r="AA246" i="9"/>
  <c r="AA247" i="9"/>
  <c r="AA248" i="9"/>
  <c r="AA249" i="9"/>
  <c r="AA250" i="9"/>
  <c r="AA251" i="9"/>
  <c r="AA252" i="9"/>
  <c r="AA253" i="9"/>
  <c r="AA254" i="9"/>
  <c r="AA255" i="9"/>
  <c r="AA256" i="9"/>
  <c r="AA257" i="9"/>
  <c r="AA258" i="9"/>
  <c r="AA259" i="9"/>
  <c r="AA260" i="9"/>
  <c r="AA261" i="9"/>
  <c r="AA262" i="9"/>
  <c r="AA263" i="9"/>
  <c r="AA264" i="9"/>
  <c r="AA265" i="9"/>
  <c r="AA266" i="9"/>
  <c r="AA267" i="9"/>
  <c r="AA268" i="9"/>
  <c r="AA269" i="9"/>
  <c r="AA270" i="9"/>
  <c r="AA271" i="9"/>
  <c r="AA272" i="9"/>
  <c r="AA273" i="9"/>
  <c r="AA274" i="9"/>
  <c r="AA275" i="9"/>
  <c r="AA276" i="9"/>
  <c r="AA277" i="9"/>
  <c r="AA278" i="9"/>
  <c r="AA279" i="9"/>
  <c r="AA280" i="9"/>
  <c r="AA281" i="9"/>
  <c r="AA282" i="9"/>
  <c r="AA283" i="9"/>
  <c r="AA284" i="9"/>
  <c r="AA285" i="9"/>
  <c r="AA286" i="9"/>
  <c r="AA287" i="9"/>
  <c r="AA288" i="9"/>
  <c r="AA289" i="9"/>
  <c r="AA290" i="9"/>
  <c r="AA291" i="9"/>
  <c r="AA292" i="9"/>
  <c r="AA293" i="9"/>
  <c r="AA294" i="9"/>
  <c r="AA295" i="9"/>
  <c r="AA296" i="9"/>
  <c r="AA297" i="9"/>
  <c r="AA298" i="9"/>
  <c r="AA299" i="9"/>
  <c r="AA300" i="9"/>
  <c r="AA301" i="9"/>
  <c r="AA302" i="9"/>
  <c r="AA303" i="9"/>
  <c r="AA304" i="9"/>
  <c r="AA305" i="9"/>
  <c r="AA306" i="9"/>
  <c r="AA307" i="9"/>
  <c r="AA308" i="9"/>
  <c r="AA309" i="9"/>
  <c r="AA310" i="9"/>
  <c r="AA311" i="9"/>
  <c r="AA312" i="9"/>
  <c r="AA313" i="9"/>
  <c r="AA314" i="9"/>
  <c r="AA315" i="9"/>
  <c r="AA316" i="9"/>
  <c r="AA317" i="9"/>
  <c r="AA318" i="9"/>
  <c r="AA319" i="9"/>
  <c r="AA320" i="9"/>
  <c r="AA321" i="9"/>
  <c r="AA322" i="9"/>
  <c r="AA323" i="9"/>
  <c r="AA2" i="9"/>
</calcChain>
</file>

<file path=xl/sharedStrings.xml><?xml version="1.0" encoding="utf-8"?>
<sst xmlns="http://schemas.openxmlformats.org/spreadsheetml/2006/main" count="12404" uniqueCount="2312">
  <si>
    <t>Scenario</t>
  </si>
  <si>
    <t>Username</t>
  </si>
  <si>
    <t>Password</t>
  </si>
  <si>
    <t>Number</t>
  </si>
  <si>
    <t>Holding ID</t>
  </si>
  <si>
    <t>Product</t>
  </si>
  <si>
    <t>Products</t>
  </si>
  <si>
    <t>Amount</t>
  </si>
  <si>
    <t>Allocate Full Amount Index</t>
  </si>
  <si>
    <t>POSB Account Number</t>
  </si>
  <si>
    <t>MethodType</t>
  </si>
  <si>
    <t>IBAN_Number</t>
  </si>
  <si>
    <t>IBAN_Added_Status</t>
  </si>
  <si>
    <t>MyAccount_2021</t>
  </si>
  <si>
    <t>Savings Certificate</t>
  </si>
  <si>
    <t>Savings Bond - 3 Year</t>
  </si>
  <si>
    <t>null</t>
  </si>
  <si>
    <t>Reinvest-Repay</t>
  </si>
  <si>
    <t>SIT-Test-User61@mailinator.com</t>
  </si>
  <si>
    <t>Saving Bond</t>
  </si>
  <si>
    <t>MyAccount_2022</t>
  </si>
  <si>
    <t>NSB 4 Year</t>
  </si>
  <si>
    <t>NSB 10 Year</t>
  </si>
  <si>
    <t>National Solidarity Bond - 10 Year</t>
  </si>
  <si>
    <t>Prize Bonds</t>
  </si>
  <si>
    <t>Childcare Plus</t>
  </si>
  <si>
    <t>TC_67</t>
  </si>
  <si>
    <t>020-8000076</t>
  </si>
  <si>
    <t>Installment Savings</t>
  </si>
  <si>
    <t>Savings Certificate - 5 Year</t>
  </si>
  <si>
    <t>2107547912</t>
  </si>
  <si>
    <t>2310657786</t>
  </si>
  <si>
    <t>TC_77</t>
  </si>
  <si>
    <t>Savings Bond - 3 Year,Savings Certificate - 5 Year</t>
  </si>
  <si>
    <t xml:space="preserve">null </t>
  </si>
  <si>
    <t>Cash-In</t>
  </si>
  <si>
    <t>Yes</t>
  </si>
  <si>
    <t>Journey</t>
  </si>
  <si>
    <t>visible</t>
  </si>
  <si>
    <t>IbanDetails</t>
  </si>
  <si>
    <t>NSB Repay_Reinvest_Indicator</t>
  </si>
  <si>
    <t>Prize Bond Range</t>
  </si>
  <si>
    <t>Prize Amount</t>
  </si>
  <si>
    <t>Delay</t>
  </si>
  <si>
    <t>TC_18</t>
  </si>
  <si>
    <t>GB33BUKB20201555555555</t>
  </si>
  <si>
    <t>Change_IBAN-Profile_And_Setting</t>
  </si>
  <si>
    <t>valid</t>
  </si>
  <si>
    <t>yes</t>
  </si>
  <si>
    <t>TC_04</t>
  </si>
  <si>
    <t>SIT-Test-User63@mailinator.com</t>
  </si>
  <si>
    <t>200</t>
  </si>
  <si>
    <t>TC_05</t>
  </si>
  <si>
    <t>TC_31</t>
  </si>
  <si>
    <t>no</t>
  </si>
  <si>
    <t>Reinvest</t>
  </si>
  <si>
    <t>TC_02</t>
  </si>
  <si>
    <t>nulll</t>
  </si>
  <si>
    <t>TC_01</t>
  </si>
  <si>
    <t>Prize Bond</t>
  </si>
  <si>
    <t>100</t>
  </si>
  <si>
    <t>TC_03</t>
  </si>
  <si>
    <t>TC_17</t>
  </si>
  <si>
    <t>ChangeIBAN</t>
  </si>
  <si>
    <t>Dummy!2022</t>
  </si>
  <si>
    <t>IE64IRCE92050112345678</t>
  </si>
  <si>
    <t>AddIBAN</t>
  </si>
  <si>
    <t>Dummy!0000</t>
  </si>
  <si>
    <t>Add_IBAN-Prompt</t>
  </si>
  <si>
    <t>TC_04_SSA</t>
  </si>
  <si>
    <t>UATAUTOCHANGED-WF-User2@mailinator.com</t>
  </si>
  <si>
    <t>020-8030002</t>
  </si>
  <si>
    <t xml:space="preserve">DK9520000123456789
</t>
  </si>
  <si>
    <t>SSA</t>
  </si>
  <si>
    <t>50</t>
  </si>
  <si>
    <t xml:space="preserve">AT483200000012345864
</t>
  </si>
  <si>
    <t>ADDIBANCASHINMATURED</t>
  </si>
  <si>
    <t>020-8030031</t>
  </si>
  <si>
    <t>4016883610</t>
  </si>
  <si>
    <t>No</t>
  </si>
  <si>
    <t>TC_06</t>
  </si>
  <si>
    <t>UAT-WF-User41@mailinator.com</t>
  </si>
  <si>
    <t>020-8030041</t>
  </si>
  <si>
    <t>4020036527</t>
  </si>
  <si>
    <t>Dummy!2024</t>
  </si>
  <si>
    <t>4018880421</t>
  </si>
  <si>
    <t>IE64IRCE920501123456789</t>
  </si>
  <si>
    <t>Savings Certificate - 5 Year,Savings Bond - 3 Year</t>
  </si>
  <si>
    <t>TC_31_No_IBAN</t>
  </si>
  <si>
    <t>020-8030024</t>
  </si>
  <si>
    <t>4014871100</t>
  </si>
  <si>
    <t>TC_02Multiple</t>
  </si>
  <si>
    <t>500</t>
  </si>
  <si>
    <t>TC_09</t>
  </si>
  <si>
    <t>Perf-Test-User-10183@mailinator.com</t>
  </si>
  <si>
    <t>95.25</t>
  </si>
  <si>
    <t>PB_Range_1</t>
  </si>
  <si>
    <t>PB_Range_2</t>
  </si>
  <si>
    <t>TC_10</t>
  </si>
  <si>
    <t>TC_11</t>
  </si>
  <si>
    <t>TC_13</t>
  </si>
  <si>
    <t>TC_14</t>
  </si>
  <si>
    <t>TC_15</t>
  </si>
  <si>
    <t>TC_16</t>
  </si>
  <si>
    <t>1</t>
  </si>
  <si>
    <t>TC_07</t>
  </si>
  <si>
    <t>3000</t>
  </si>
  <si>
    <t>TC_32</t>
  </si>
  <si>
    <t>TC_38</t>
  </si>
  <si>
    <t>TC_40</t>
  </si>
  <si>
    <t>TC_001</t>
  </si>
  <si>
    <t>TC_002</t>
  </si>
  <si>
    <t>Blank</t>
  </si>
  <si>
    <t>Expired</t>
  </si>
  <si>
    <t>Dummy!2025</t>
  </si>
  <si>
    <t>AddIBAN(P&amp;S)</t>
  </si>
  <si>
    <t>Add_IBAN-Profile_And_Setting</t>
  </si>
  <si>
    <t>ForgotPassword</t>
  </si>
  <si>
    <t>ChangePassword</t>
  </si>
  <si>
    <t>Savings Certificate - 5 Year,Savings Bond - 3 Year,Prize Bonds,National Solidarity Bond - 10 Year,Deposit Account</t>
  </si>
  <si>
    <t>ChooseAmountEditOrderReinvest</t>
  </si>
  <si>
    <t>RangeEditOrder</t>
  </si>
  <si>
    <t>GB33BUKB2020155555864</t>
  </si>
  <si>
    <t>TC_31Multiple</t>
  </si>
  <si>
    <t>3</t>
  </si>
  <si>
    <t>TC_05AllocateModal</t>
  </si>
  <si>
    <t>TC_31Allocate</t>
  </si>
  <si>
    <t xml:space="preserve">MC5810096180790123456789085
</t>
  </si>
  <si>
    <t>2</t>
  </si>
  <si>
    <t>ChooseAmountEditOrder</t>
  </si>
  <si>
    <t>Perf-Test-User-10242@mailinator.com</t>
  </si>
  <si>
    <t>020-8010236</t>
  </si>
  <si>
    <t>2106119941</t>
  </si>
  <si>
    <t>67532212</t>
  </si>
  <si>
    <t>BondRangeeditorder</t>
  </si>
  <si>
    <t>Perf-Test-User-9917@mailinator.com</t>
  </si>
  <si>
    <t>020-8009917</t>
  </si>
  <si>
    <t>2105797539</t>
  </si>
  <si>
    <t>LU120010001234567891</t>
  </si>
  <si>
    <t>ACT680689 - ACT680700</t>
  </si>
  <si>
    <t>TC_02Allocatetocash</t>
  </si>
  <si>
    <t>70,50</t>
  </si>
  <si>
    <t>TC_02AllocateFullamount</t>
  </si>
  <si>
    <t>GB33BUKB20201555550203</t>
  </si>
  <si>
    <t>ADDIBANREPAYREINVEST</t>
  </si>
  <si>
    <t>2000.02</t>
  </si>
  <si>
    <t>Notice_UAT_NSB_4_Matured</t>
  </si>
  <si>
    <t>GB33BUKB202015555678</t>
  </si>
  <si>
    <t>Notice_UAT_NSB_4_Non_Matured</t>
  </si>
  <si>
    <t>Notice_UAT_NSB_4_Flushed</t>
  </si>
  <si>
    <t>Dummy!2021</t>
  </si>
  <si>
    <t>4202083407</t>
  </si>
  <si>
    <t>Notice_UAT_NSB_10_Matured</t>
  </si>
  <si>
    <t>Notice_UAT_NSB_10_Non_Matured</t>
  </si>
  <si>
    <t>Notice_UAT_NSB_10_Flushed</t>
  </si>
  <si>
    <t>Notice_UAT_NSB_10_Non_Matured_Other</t>
  </si>
  <si>
    <t>UAT-WF-User26@mailinator.com</t>
  </si>
  <si>
    <t>020-8030026</t>
  </si>
  <si>
    <t>4201237800</t>
  </si>
  <si>
    <t>Notice_UAT_Child_Donor</t>
  </si>
  <si>
    <t>1002880</t>
  </si>
  <si>
    <t>Notice_UAT_Child_Matured</t>
  </si>
  <si>
    <t>2106653611</t>
  </si>
  <si>
    <t>10378293</t>
  </si>
  <si>
    <t>Notice_UAT_Child_Non_Matured</t>
  </si>
  <si>
    <t>2108035753</t>
  </si>
  <si>
    <t>10028808</t>
  </si>
  <si>
    <t>Notice_UAT_Install_Donor</t>
  </si>
  <si>
    <t>67528977</t>
  </si>
  <si>
    <t>67278541</t>
  </si>
  <si>
    <t>Notice_UAT_Install_Matured</t>
  </si>
  <si>
    <t>UAT-WF-User45@mailinator.com</t>
  </si>
  <si>
    <t>020-8030045</t>
  </si>
  <si>
    <t>Notice_UAT_Install_Non_Matured</t>
  </si>
  <si>
    <t>020-8030013</t>
  </si>
  <si>
    <t>Notice_UAT_Install_Flushed</t>
  </si>
  <si>
    <t>2313718409</t>
  </si>
  <si>
    <t>Notice_Saving_Bond_Matured</t>
  </si>
  <si>
    <t>Notice_Saving_Bond_Non_Matured</t>
  </si>
  <si>
    <t>Notice_Savings_Certificate_Matured</t>
  </si>
  <si>
    <t>Notice_Savings_Ceritificate_Non_Matured</t>
  </si>
  <si>
    <t>Notice_SSA</t>
  </si>
  <si>
    <t>Notice_Prior_2014</t>
  </si>
  <si>
    <t>Perf-Test-User-9986@mailinator.com</t>
  </si>
  <si>
    <t>Dummy!2032</t>
  </si>
  <si>
    <t>020-8009986</t>
  </si>
  <si>
    <t>2216484285</t>
  </si>
  <si>
    <t>UAT-WF-User6@mailinator.com</t>
  </si>
  <si>
    <t>020-8030006</t>
  </si>
  <si>
    <t>UAT-WF-User33@mailinator.com</t>
  </si>
  <si>
    <t>020-8030033</t>
  </si>
  <si>
    <t>AddIBANError</t>
  </si>
  <si>
    <t>Perf-Test-User-9904@mailinator.com</t>
  </si>
  <si>
    <t>020-8010904</t>
  </si>
  <si>
    <t>Perf-Test-User-10014@mailinator.com</t>
  </si>
  <si>
    <t>020-8010014</t>
  </si>
  <si>
    <t>Generic User</t>
  </si>
  <si>
    <t>Perf-Test-User-10224@mailinator.com</t>
  </si>
  <si>
    <t>020-8010218</t>
  </si>
  <si>
    <t>RepayReinvest User</t>
  </si>
  <si>
    <t>AMLOnlineUser5-CDEN@mailinator.com</t>
  </si>
  <si>
    <t>020-8080046</t>
  </si>
  <si>
    <t>4018623267</t>
  </si>
  <si>
    <t>Reinvest User</t>
  </si>
  <si>
    <t>2108.24</t>
  </si>
  <si>
    <t>Reinvest User(Less Amount)</t>
  </si>
  <si>
    <t>108.24</t>
  </si>
  <si>
    <t>Reinvest User(More Amount)</t>
  </si>
  <si>
    <t>11108.24</t>
  </si>
  <si>
    <t>CashIn User</t>
  </si>
  <si>
    <t>Generic Non Matured User</t>
  </si>
  <si>
    <t>4020035512</t>
  </si>
  <si>
    <t>UAT-Target-Regression-9011@mailinator.com</t>
  </si>
  <si>
    <t>020-8009011</t>
  </si>
  <si>
    <t>Perf-Test-User-10314@mailinator.com</t>
  </si>
  <si>
    <t>020-8010306</t>
  </si>
  <si>
    <t>ChangeEmail</t>
  </si>
  <si>
    <t>UATAuto-WF-User44@mailinator.com</t>
  </si>
  <si>
    <t>Perf-Test-User-112803@mailinator.com</t>
  </si>
  <si>
    <t>50122575</t>
  </si>
  <si>
    <t>UAT-WF-User77@mailinator.com</t>
  </si>
  <si>
    <t>4020040206</t>
  </si>
  <si>
    <t>TC_20</t>
  </si>
  <si>
    <t>Auto-Test-User-24@mailinator.com</t>
  </si>
  <si>
    <t>2108354778</t>
  </si>
  <si>
    <t>UAT-WF-User20@mailinator.com</t>
  </si>
  <si>
    <t>020-8030020</t>
  </si>
  <si>
    <t>2108304703</t>
  </si>
  <si>
    <t>TC_23</t>
  </si>
  <si>
    <t>UAT-WF-User13c@mailinator.com</t>
  </si>
  <si>
    <t>2108321730</t>
  </si>
  <si>
    <t>UAT-WF-User48@mailinator.com</t>
  </si>
  <si>
    <t>020-8010048</t>
  </si>
  <si>
    <t>4020023859</t>
  </si>
  <si>
    <t>202</t>
  </si>
  <si>
    <t>Less_amount_cash_in</t>
  </si>
  <si>
    <t>4020023913</t>
  </si>
  <si>
    <t>4019290121</t>
  </si>
  <si>
    <t>754.01</t>
  </si>
  <si>
    <t>2108164677</t>
  </si>
  <si>
    <t>Deposit Account,National Solidarity Bond - 10 Year</t>
  </si>
  <si>
    <t>1477</t>
  </si>
  <si>
    <t>ADD_IBAN_PB</t>
  </si>
  <si>
    <t>Perf-Test-User-9915@mailinator.com</t>
  </si>
  <si>
    <t>020-8009915</t>
  </si>
  <si>
    <t>635</t>
  </si>
  <si>
    <t>4019678456</t>
  </si>
  <si>
    <t>9090,9090</t>
  </si>
  <si>
    <t>Perf-Test-User-10330@mailinator.com</t>
  </si>
  <si>
    <t>020-8009155</t>
  </si>
  <si>
    <t>17482.50</t>
  </si>
  <si>
    <t>4017537057</t>
  </si>
  <si>
    <t>500,500</t>
  </si>
  <si>
    <t>4015202490</t>
  </si>
  <si>
    <t>Savings Bond - 3 Year,National Solidarity Bond - 10 Year</t>
  </si>
  <si>
    <t>2107859914</t>
  </si>
  <si>
    <t>3000,2486</t>
  </si>
  <si>
    <t>2107543364</t>
  </si>
  <si>
    <t>3000,2564</t>
  </si>
  <si>
    <t>Perf-Test-User-9965@mailinator.com</t>
  </si>
  <si>
    <t>020-8009965</t>
  </si>
  <si>
    <t>TC_90</t>
  </si>
  <si>
    <t>Perf-Test-User-10145@mailinator.com</t>
  </si>
  <si>
    <t>020-8010138</t>
  </si>
  <si>
    <t>TC_19</t>
  </si>
  <si>
    <t>UAT-target-Regression-9027@mailinator.com</t>
  </si>
  <si>
    <t>020-8009027</t>
  </si>
  <si>
    <t>National Solidarity Bond - 10 Year,Savings Certificate - 5 Year</t>
  </si>
  <si>
    <t>50,50</t>
  </si>
  <si>
    <t>Perf-Test-User-9959@mailinator.com</t>
  </si>
  <si>
    <t>020-8009959</t>
  </si>
  <si>
    <t>PB_TC_02</t>
  </si>
  <si>
    <t>Perf-Test-User-10126@mailinator.com</t>
  </si>
  <si>
    <t>020-8010119</t>
  </si>
  <si>
    <t>TC_91</t>
  </si>
  <si>
    <t>Perf-Test-User-10150@mailinator.com</t>
  </si>
  <si>
    <t>020-8010143</t>
  </si>
  <si>
    <t>75</t>
  </si>
  <si>
    <t>TC_92</t>
  </si>
  <si>
    <t>TC_21</t>
  </si>
  <si>
    <t>UAT-WF-User18@mailinator.com</t>
  </si>
  <si>
    <t>020-8030018</t>
  </si>
  <si>
    <t>ACH805545 - ACH805552</t>
  </si>
  <si>
    <t>Perf-Test-User-228701@mailinator.com</t>
  </si>
  <si>
    <t>020-8022871</t>
  </si>
  <si>
    <t>ACH637837 - ACH637844</t>
  </si>
  <si>
    <t>ACX618257 - ACX618320</t>
  </si>
  <si>
    <t>4014483363</t>
  </si>
  <si>
    <t>1000,1000,200,1000,401.42</t>
  </si>
  <si>
    <t>4020038295</t>
  </si>
  <si>
    <t>1283.62,1283.62</t>
  </si>
  <si>
    <t>TC_31AllocateToPBNoIBAN</t>
  </si>
  <si>
    <t>2320207716</t>
  </si>
  <si>
    <t>Savings Certificate - 5 Year,Prize Bonds</t>
  </si>
  <si>
    <t>660,600</t>
  </si>
  <si>
    <t>TC_31AllocateToPBIBANAdded</t>
  </si>
  <si>
    <t>4016600260</t>
  </si>
  <si>
    <t>3245.05,3000</t>
  </si>
  <si>
    <t>UAT-Target-Regression-1128@mailinator.com</t>
  </si>
  <si>
    <t>020-8001128</t>
  </si>
  <si>
    <t>4201058786</t>
  </si>
  <si>
    <t>Perf-Test-User-10239@mailinator.com</t>
  </si>
  <si>
    <t>020-8010233</t>
  </si>
  <si>
    <t>4016957290</t>
  </si>
  <si>
    <t>UAT-Target-Regression-9051@mailinator.com</t>
  </si>
  <si>
    <t>020-8009051</t>
  </si>
  <si>
    <t>4019722706</t>
  </si>
  <si>
    <t>Joint User</t>
  </si>
  <si>
    <t>4202513207</t>
  </si>
  <si>
    <t>4202589041</t>
  </si>
  <si>
    <t>4100541988</t>
  </si>
  <si>
    <t>3500006965</t>
  </si>
  <si>
    <t>4020038040</t>
  </si>
  <si>
    <t>4009452251</t>
  </si>
  <si>
    <t>3500006612</t>
  </si>
  <si>
    <t>SSCN</t>
  </si>
  <si>
    <t>FirstName</t>
  </si>
  <si>
    <t>SecondName</t>
  </si>
  <si>
    <t>DOB</t>
  </si>
  <si>
    <t>EmailAddress</t>
  </si>
  <si>
    <t>Re-EnterEmailAddress</t>
  </si>
  <si>
    <t>PIN</t>
  </si>
  <si>
    <t>MobileNumber</t>
  </si>
  <si>
    <t>prefix</t>
  </si>
  <si>
    <t>Re-EnterMobileNumber</t>
  </si>
  <si>
    <t>Prefix re-enter</t>
  </si>
  <si>
    <t>otpNumber</t>
  </si>
  <si>
    <t>addressLine1</t>
  </si>
  <si>
    <t>addressLine2</t>
  </si>
  <si>
    <t>town</t>
  </si>
  <si>
    <t>eircode</t>
  </si>
  <si>
    <t>countyCode</t>
  </si>
  <si>
    <t>countryCode</t>
  </si>
  <si>
    <t>Country_State_Region</t>
  </si>
  <si>
    <t>country</t>
  </si>
  <si>
    <t>registrationType</t>
  </si>
  <si>
    <t>otpIndicator</t>
  </si>
  <si>
    <t>Token</t>
  </si>
  <si>
    <t>PIN_Web</t>
  </si>
  <si>
    <t>SSCN1</t>
  </si>
  <si>
    <t>FirstName1</t>
  </si>
  <si>
    <t>SecondName1</t>
  </si>
  <si>
    <t>DOB1</t>
  </si>
  <si>
    <t>EmailAddress1</t>
  </si>
  <si>
    <t>Re-EnterEmailAddress1</t>
  </si>
  <si>
    <t>PIN1</t>
  </si>
  <si>
    <t>MobileNumber1</t>
  </si>
  <si>
    <t>prefix1</t>
  </si>
  <si>
    <t>Re-EnterMobileNumber1</t>
  </si>
  <si>
    <t>Prefix re-enter1</t>
  </si>
  <si>
    <t>otpNumber1</t>
  </si>
  <si>
    <t>Password1</t>
  </si>
  <si>
    <t>addressLine11</t>
  </si>
  <si>
    <t>addressLine22</t>
  </si>
  <si>
    <t>town1</t>
  </si>
  <si>
    <t>eircode1</t>
  </si>
  <si>
    <t>countyCode1</t>
  </si>
  <si>
    <t>countryCode1</t>
  </si>
  <si>
    <t>Country_State_Region1</t>
  </si>
  <si>
    <t>country1</t>
  </si>
  <si>
    <t>registrationType1</t>
  </si>
  <si>
    <t>otpIndicator1</t>
  </si>
  <si>
    <t>Token1</t>
  </si>
  <si>
    <t>Usernameinvalid</t>
  </si>
  <si>
    <t>Passwordinvalid</t>
  </si>
  <si>
    <t>Username2</t>
  </si>
  <si>
    <t>Password2</t>
  </si>
  <si>
    <t>TC04</t>
  </si>
  <si>
    <t>242598854</t>
  </si>
  <si>
    <t>KALIE</t>
  </si>
  <si>
    <t>CLEARIE</t>
  </si>
  <si>
    <t>16-10-1984</t>
  </si>
  <si>
    <t>UAT-WF-User32@mailinator.com</t>
  </si>
  <si>
    <t>325470</t>
  </si>
  <si>
    <t>208030032</t>
  </si>
  <si>
    <t>+353</t>
  </si>
  <si>
    <t>20-8030032</t>
  </si>
  <si>
    <t>76688 MOCKINGBIRD JUNCTION</t>
  </si>
  <si>
    <t>LOUGHREA</t>
  </si>
  <si>
    <t>DONEGAL</t>
  </si>
  <si>
    <t>IRELAND</t>
  </si>
  <si>
    <t>expeditedRegistration</t>
  </si>
  <si>
    <t>5050,5050</t>
  </si>
  <si>
    <t>IDA</t>
  </si>
  <si>
    <t>MAAS</t>
  </si>
  <si>
    <t>03-05-1954</t>
  </si>
  <si>
    <t>UAT-User8@mailinator.com</t>
  </si>
  <si>
    <t>208007008</t>
  </si>
  <si>
    <t>20-8007008</t>
  </si>
  <si>
    <t>5 BUELL CIRCLE</t>
  </si>
  <si>
    <t>SKERRIES</t>
  </si>
  <si>
    <t>D16 Y7X9</t>
  </si>
  <si>
    <t>WATERFORD</t>
  </si>
  <si>
    <t>AMLOnlineUser14-CDEN@mailinator.com</t>
  </si>
  <si>
    <t>OTP</t>
  </si>
  <si>
    <t>Error Message</t>
  </si>
  <si>
    <t>Blank Username Pwd</t>
  </si>
  <si>
    <t>Please enter your email address,Please enter your password</t>
  </si>
  <si>
    <t>Invalid Username Pwd</t>
  </si>
  <si>
    <t>Perf-Test-User10224@mailinator.co</t>
  </si>
  <si>
    <t>Dummy!</t>
  </si>
  <si>
    <t>Incorrect email address and/or password. Please try again.</t>
  </si>
  <si>
    <t>Invalid Username Valid Pwd</t>
  </si>
  <si>
    <t>Valid Username Invalid Pwd</t>
  </si>
  <si>
    <t>Perf-Test-User10224@mailinator.com</t>
  </si>
  <si>
    <t>Dummy</t>
  </si>
  <si>
    <t>Warning! You have entered your details incorrectly once. Your account will be locked after three failed attempts.</t>
  </si>
  <si>
    <t>Pending Registration</t>
  </si>
  <si>
    <t>Perf-Test-User-10261@mailinator.com</t>
  </si>
  <si>
    <t>A registration is in progress for these details.</t>
  </si>
  <si>
    <t>Blank Verification Code</t>
  </si>
  <si>
    <t>Please enter your verification code</t>
  </si>
  <si>
    <t>Wrong Verification Code</t>
  </si>
  <si>
    <t>020-8010219</t>
  </si>
  <si>
    <t>dffdfd</t>
  </si>
  <si>
    <t>Verification code is invalid or has expired. Please try again.</t>
  </si>
  <si>
    <t>Expired Verification Code</t>
  </si>
  <si>
    <t>020-8010220</t>
  </si>
  <si>
    <t>020-8010221</t>
  </si>
  <si>
    <t>Please enter the six-digit verification code sent to your registered mobile number</t>
  </si>
  <si>
    <t>Multiple Failed Logins</t>
  </si>
  <si>
    <t>Perf-Test-User-10132@mailinator.com</t>
  </si>
  <si>
    <t>FWP-Blank Email</t>
  </si>
  <si>
    <t>Please enter your email address</t>
  </si>
  <si>
    <t>FWP-Invalid Email</t>
  </si>
  <si>
    <t>PerfTestUSer</t>
  </si>
  <si>
    <t>Please enter a valid email address</t>
  </si>
  <si>
    <t>FWP-Pending Registration</t>
  </si>
  <si>
    <t>A registration is still in progress for these details. If you believe this to be incorrect, or if you did not register your details, please contact Ireland State Savings by calling 0818 20 50 60 or 01 705 7200 and we will assist you.</t>
  </si>
  <si>
    <t>FWP-Locked User</t>
  </si>
  <si>
    <t>Perf-Test-User-10133@mailinator.com</t>
  </si>
  <si>
    <t>Your account has been temporarily locked. Please try again later.</t>
  </si>
  <si>
    <t>CE-Blank</t>
  </si>
  <si>
    <t>Please enter your new email address</t>
  </si>
  <si>
    <t>CE-SameEmail</t>
  </si>
  <si>
    <t>The email address needs to be different from your current email address</t>
  </si>
  <si>
    <t>CE-Invalid</t>
  </si>
  <si>
    <t>AnpostNTMA</t>
  </si>
  <si>
    <t>Please enter a valid email</t>
  </si>
  <si>
    <t>CE-AlreadyRegistered</t>
  </si>
  <si>
    <t>Change of email cannot be completed using the email address you have entered. Please use another one.</t>
  </si>
  <si>
    <t>CP-InvalidOldPassword</t>
  </si>
  <si>
    <t>You have entered your details incorrectly once. Your account will be locked after three failed attempts.</t>
  </si>
  <si>
    <t>CP-SamePassword</t>
  </si>
  <si>
    <t>Please choose a password that you haven't used before.</t>
  </si>
  <si>
    <t>CP-BlankOldPassword</t>
  </si>
  <si>
    <t>Please enter your old password</t>
  </si>
  <si>
    <t>IBAN-Blank</t>
  </si>
  <si>
    <t>MigrationWorkflowTest1Changed@mailinator.com</t>
  </si>
  <si>
    <t>020-8030038</t>
  </si>
  <si>
    <t>Please enter a value for your IBAN.</t>
  </si>
  <si>
    <t>IBAN-Invalid</t>
  </si>
  <si>
    <t>GB94BARC20201530093459 </t>
  </si>
  <si>
    <t>This is not a valid IBAN. A valid IBAN consists of a two letter country code followed by two check digits and up to 35 alphanumeric characters.</t>
  </si>
  <si>
    <t>IBAN-Non Sepa</t>
  </si>
  <si>
    <t>AL35202111090000000001234567</t>
  </si>
  <si>
    <t>The IBAN entered is a not a SEPA IBAN. Only SEPA IBAN can be used for cash in from Ireland State Savings. Please contact the Ireland State Savings Team to arrange international payment</t>
  </si>
  <si>
    <t>IBAN-ConsentError</t>
  </si>
  <si>
    <t>Please Confirm</t>
  </si>
  <si>
    <t>no product selected</t>
  </si>
  <si>
    <t>Please Select a Product to add to your account</t>
  </si>
  <si>
    <t>PB-no amount entered</t>
  </si>
  <si>
    <t>Please enter amount for investment.</t>
  </si>
  <si>
    <t>FT-no amount entered</t>
  </si>
  <si>
    <t>FT-below minimum purchase</t>
  </si>
  <si>
    <t>The minimum purchase value for this Ireland State Savings Product is €50.</t>
  </si>
  <si>
    <t>PB-below minimum purchase</t>
  </si>
  <si>
    <t>The minimum purchase value for Prize Bonds is €25.</t>
  </si>
  <si>
    <t>DA-below minimum purchase</t>
  </si>
  <si>
    <t>The minimum purchase value for this Ireland State Savings Product is €0.01.</t>
  </si>
  <si>
    <t>DA-account number and amount error</t>
  </si>
  <si>
    <t>Please enter account number.,Please enter amount for investment.</t>
  </si>
  <si>
    <t>DA-account number error</t>
  </si>
  <si>
    <t>The account number is, one letter followed by a 6-digit number OR a 10-digit number</t>
  </si>
  <si>
    <t>Repayment-Blank</t>
  </si>
  <si>
    <t>Enter an amount or select 'Allocate full amount'.</t>
  </si>
  <si>
    <t>Repayment-Invalid</t>
  </si>
  <si>
    <t>Invalid amount entered.</t>
  </si>
  <si>
    <t>ChooseAmount-Blank</t>
  </si>
  <si>
    <t>ChooseAmount-MoreThanAvailable</t>
  </si>
  <si>
    <t>BondRange-Checkbox</t>
  </si>
  <si>
    <t>Please select the bond range(s) from the list below.</t>
  </si>
  <si>
    <t>SIT-Test-User76@mailinator.com</t>
  </si>
  <si>
    <t>Results</t>
  </si>
  <si>
    <t>TC01</t>
  </si>
  <si>
    <t>WOODMAN</t>
  </si>
  <si>
    <t>KASTING</t>
  </si>
  <si>
    <t>04-03-1958</t>
  </si>
  <si>
    <t>SIT-ECR-001@mailinator.com</t>
  </si>
  <si>
    <t>20-8000201</t>
  </si>
  <si>
    <t>384 MOOSE CROSSING</t>
  </si>
  <si>
    <t>NEW ROSS</t>
  </si>
  <si>
    <t>A94 WC93</t>
  </si>
  <si>
    <t>MONAGHAN</t>
  </si>
  <si>
    <t>TC02</t>
  </si>
  <si>
    <t>CLARITA</t>
  </si>
  <si>
    <t>ELMORE</t>
  </si>
  <si>
    <t>31-12-1963</t>
  </si>
  <si>
    <t>SIT-ER-002@mailinator.com</t>
  </si>
  <si>
    <t>20-9000202</t>
  </si>
  <si>
    <t>7 BADEAU CROSSING</t>
  </si>
  <si>
    <t>PORTARLINGTON</t>
  </si>
  <si>
    <t>WESTMEATH</t>
  </si>
  <si>
    <t>TC03</t>
  </si>
  <si>
    <t>CARROLL</t>
  </si>
  <si>
    <t>WILLWOOD</t>
  </si>
  <si>
    <t>30-06-1956</t>
  </si>
  <si>
    <t>SIT-ER-003@mailinator.com</t>
  </si>
  <si>
    <t>20-8000203</t>
  </si>
  <si>
    <t>39 MANDRAKE PLAZA</t>
  </si>
  <si>
    <t>ARDEE</t>
  </si>
  <si>
    <t>D18 VY40</t>
  </si>
  <si>
    <t>CARLOW</t>
  </si>
  <si>
    <t>WILEY</t>
  </si>
  <si>
    <t>BUZIN</t>
  </si>
  <si>
    <t>12-05-1977</t>
  </si>
  <si>
    <t>Perf-Test-User-10217@mailinator.com</t>
  </si>
  <si>
    <t>20-8010211</t>
  </si>
  <si>
    <t>3 BARNETT PASS</t>
  </si>
  <si>
    <t>CELBRIDGE</t>
  </si>
  <si>
    <t>TC05</t>
  </si>
  <si>
    <t>BRITTNE</t>
  </si>
  <si>
    <t>SOUTHERS</t>
  </si>
  <si>
    <t>SIT-ECR-005@mailinator.com</t>
  </si>
  <si>
    <t>062919</t>
  </si>
  <si>
    <t>20-8100205</t>
  </si>
  <si>
    <t>0954 LONDONDERRY LANE</t>
  </si>
  <si>
    <t>ORANMORE</t>
  </si>
  <si>
    <t>SLIGO</t>
  </si>
  <si>
    <t>TC06</t>
  </si>
  <si>
    <t>RAINA</t>
  </si>
  <si>
    <t>FALCK</t>
  </si>
  <si>
    <t>09-09-1968</t>
  </si>
  <si>
    <t>Perf-ECR-006@mailinator.com</t>
  </si>
  <si>
    <t>774009</t>
  </si>
  <si>
    <t>20-9000206</t>
  </si>
  <si>
    <t>56 BARNETT CROSSING</t>
  </si>
  <si>
    <t>ROSCREA</t>
  </si>
  <si>
    <t>N41 K132</t>
  </si>
  <si>
    <t>CLARE</t>
  </si>
  <si>
    <t>TC07</t>
  </si>
  <si>
    <t>GUIDO</t>
  </si>
  <si>
    <t>EBBING</t>
  </si>
  <si>
    <t>26-06-1964</t>
  </si>
  <si>
    <t>Perf-ECR-007@mailinator.com</t>
  </si>
  <si>
    <t>20-9000207</t>
  </si>
  <si>
    <t>77247 7TH CROSSING</t>
  </si>
  <si>
    <t>DUNDALK</t>
  </si>
  <si>
    <t>GALWAY</t>
  </si>
  <si>
    <t>TC08</t>
  </si>
  <si>
    <t>TC09</t>
  </si>
  <si>
    <t>NICOLIS</t>
  </si>
  <si>
    <t>BRUMHAM</t>
  </si>
  <si>
    <t>14-11-1978</t>
  </si>
  <si>
    <t>SIT-ECR-009@mailinator.com</t>
  </si>
  <si>
    <t>20-8000209</t>
  </si>
  <si>
    <t>5676 SLOAN CROSSING</t>
  </si>
  <si>
    <t>DUBLIN</t>
  </si>
  <si>
    <t>TC10</t>
  </si>
  <si>
    <t>TADES</t>
  </si>
  <si>
    <t>PASHAN</t>
  </si>
  <si>
    <t>30-06-1925</t>
  </si>
  <si>
    <t>SIT-ECR-010@mailinator.com</t>
  </si>
  <si>
    <t>20-8000210</t>
  </si>
  <si>
    <t>8153 KARSTENS TRAIL</t>
  </si>
  <si>
    <t>TRALEE</t>
  </si>
  <si>
    <t>H91 E77H</t>
  </si>
  <si>
    <t>LAOIS</t>
  </si>
  <si>
    <t>TC11</t>
  </si>
  <si>
    <t>DORIE</t>
  </si>
  <si>
    <t>DE LEEK</t>
  </si>
  <si>
    <t>09-07-1986</t>
  </si>
  <si>
    <t>SIT-ECR-012@mailinator.com</t>
  </si>
  <si>
    <t>20-8000212</t>
  </si>
  <si>
    <t>45 BARNETT ALLEY</t>
  </si>
  <si>
    <t>LISTOWEL</t>
  </si>
  <si>
    <t>A98 K184</t>
  </si>
  <si>
    <t>Web Registration</t>
  </si>
  <si>
    <t>BAUDOIN</t>
  </si>
  <si>
    <t>EASTGATE</t>
  </si>
  <si>
    <t>04-01-1996</t>
  </si>
  <si>
    <t>SIT-Web-Aut1@mailinator.com</t>
  </si>
  <si>
    <t>20-9000001</t>
  </si>
  <si>
    <t>1109 SUNFIELD ROAD</t>
  </si>
  <si>
    <t>MAYNOOTH</t>
  </si>
  <si>
    <t>W91 N2R2</t>
  </si>
  <si>
    <t>KERRY</t>
  </si>
  <si>
    <t>WebRegistration</t>
  </si>
  <si>
    <t>MARIELLEN</t>
  </si>
  <si>
    <t>BALDIN</t>
  </si>
  <si>
    <t>28-10-1958</t>
  </si>
  <si>
    <t>304174</t>
  </si>
  <si>
    <t>20-8000078</t>
  </si>
  <si>
    <t>MARGARETHA</t>
  </si>
  <si>
    <t>LANGSTRATH</t>
  </si>
  <si>
    <t>16-12-1987</t>
  </si>
  <si>
    <t>932580</t>
  </si>
  <si>
    <t>20-8000065</t>
  </si>
  <si>
    <t>Web1_11</t>
  </si>
  <si>
    <t>TIMOTEO</t>
  </si>
  <si>
    <t>MILSAP</t>
  </si>
  <si>
    <t>18-08-1918</t>
  </si>
  <si>
    <t>UAT-WEB-Aut1@mailinator.com</t>
  </si>
  <si>
    <t>20-8007916</t>
  </si>
  <si>
    <t>3136 MAYER LANE</t>
  </si>
  <si>
    <t>https://ss-uat.dev-anpost.com/your-savings/register/create-password?token=ZT1h0ww3rVEA71QXFYJhz4XV93%2FlutDQzrK9oT2qV7sv1LwMau9rgSL1428BXUgBH2r5Fx0KUlHCon27PjKgMn6ENF1Xl9icyjpUQrYTnSo%3D</t>
  </si>
  <si>
    <t>Candi</t>
  </si>
  <si>
    <t>Spinetti</t>
  </si>
  <si>
    <t>24-05-2006</t>
  </si>
  <si>
    <t>UAT-Web-Auth1@mailinator.com</t>
  </si>
  <si>
    <t>208008232</t>
  </si>
  <si>
    <t>20-8008232</t>
  </si>
  <si>
    <t>88766 Main Road</t>
  </si>
  <si>
    <t>Oranmore</t>
  </si>
  <si>
    <t>onlineRegistration</t>
  </si>
  <si>
    <t>Web_2</t>
  </si>
  <si>
    <t>Elna</t>
  </si>
  <si>
    <t>Killick</t>
  </si>
  <si>
    <t>12-10-1946</t>
  </si>
  <si>
    <t>UAT-Web-Auth2@mailinator.com</t>
  </si>
  <si>
    <t>208008002</t>
  </si>
  <si>
    <t>20-8008002</t>
  </si>
  <si>
    <t>90102 Anzinger Crossing</t>
  </si>
  <si>
    <t>Dublin</t>
  </si>
  <si>
    <t>https://statesavings-qa.dev-anpost.com/your-savings/register/create-password?token=G7xkduakTTxNRPQqt5PvJfqqSKHppyCD6cqB62bxyIIcJGw5u0j3np%2FwN9ETZVPobfkdSm4Q%2BXdgU%2FQMiZJ5D760Ghz6mdctVNeh8VUXcXw%3D</t>
  </si>
  <si>
    <t>116189</t>
  </si>
  <si>
    <t>Web_3</t>
  </si>
  <si>
    <t>Nikoletta</t>
  </si>
  <si>
    <t>Sankey</t>
  </si>
  <si>
    <t>19-01-1985</t>
  </si>
  <si>
    <t>UAT-Web-Auth3@mailinator.com</t>
  </si>
  <si>
    <t>208008003</t>
  </si>
  <si>
    <t>20-8008003</t>
  </si>
  <si>
    <t>65469 Schiller Circle</t>
  </si>
  <si>
    <t>Edenderry</t>
  </si>
  <si>
    <t>KILDARE</t>
  </si>
  <si>
    <t>https://ss-uat.dev-anpost.com/your-savings/register/create-password?token=lS7jglTeYEUhdtN%2BI3ev%2F5rXU5DU8LauWFxKq2x115ZBxQnjTbB%2BtewMAGYs3fnWkCT%2BWKeyBM7cB0AKzfOC6DOorbDvvgvNblPY1pneReo%3D</t>
  </si>
  <si>
    <t>484930</t>
  </si>
  <si>
    <t>Web_4</t>
  </si>
  <si>
    <t>Christie</t>
  </si>
  <si>
    <t>Jacquemy</t>
  </si>
  <si>
    <t>24-07-1976</t>
  </si>
  <si>
    <t>UAT-Web-Auth4@mailinator.com</t>
  </si>
  <si>
    <t>208008004</t>
  </si>
  <si>
    <t>20-8008004</t>
  </si>
  <si>
    <t>4148 Village Terrace</t>
  </si>
  <si>
    <t>Waterford</t>
  </si>
  <si>
    <t>https://ss-uat.dev-anpost.com/your-savings/register/create-password?token=NXsGpFZNlXVN9GjLQb5XyJK9JEH6ch%2FuBEVbFUD44XTRplT%2BI5H9YVcG%2F9gnZ%2FEv%2BKaX4A0gbe5XtMOFkFQxsjSoiHXIy1x3O39%2BfMk5mR8%3D</t>
  </si>
  <si>
    <t>277706</t>
  </si>
  <si>
    <t>Web_5</t>
  </si>
  <si>
    <t>Coletta</t>
  </si>
  <si>
    <t>Géttens</t>
  </si>
  <si>
    <t>25-06-1953</t>
  </si>
  <si>
    <t>UAT-Web-Auth5@mailinator.com</t>
  </si>
  <si>
    <t>208008005</t>
  </si>
  <si>
    <t>20-8008005</t>
  </si>
  <si>
    <t>839 Mockingbird Junction</t>
  </si>
  <si>
    <t>Kells</t>
  </si>
  <si>
    <t>MEATH</t>
  </si>
  <si>
    <t>https://ss-uat.dev-anpost.com/your-savings/register/create-password?token=fM1bszC8CWpHNERBIY5WWXVTztf2ANazrPsk6QgZyBJ3g6DycjmF8qCCkfLHPH6K407fsssxGiDn8kNG6BS%2BusTB%2FOui%2BLLf3L2%2BQ3ufyvo%3D</t>
  </si>
  <si>
    <t>275010</t>
  </si>
  <si>
    <t>Web_6</t>
  </si>
  <si>
    <t>Raina</t>
  </si>
  <si>
    <t>Falck</t>
  </si>
  <si>
    <t>UAT-Web-Auth6@mailinator.com</t>
  </si>
  <si>
    <t>208008006</t>
  </si>
  <si>
    <t>20-8008006</t>
  </si>
  <si>
    <t>56 Barnett Crossing</t>
  </si>
  <si>
    <t>Roscrea</t>
  </si>
  <si>
    <t>https://ss-uat.dev-anpost.com/your-savings/register/create-password?token=sIvfBgsdvvAT66zgcXxjyV3qc9O%2F%2BWPPMaKWPdILpYlmHAYb%2BjDiGiz%2BG2KHZ2aoCGaZ9k40DH%2FnHVCLLmPoSujPPMTpAauMSrXNokHDdAI%3D</t>
  </si>
  <si>
    <t>948737</t>
  </si>
  <si>
    <t>Ursula</t>
  </si>
  <si>
    <t>Paal</t>
  </si>
  <si>
    <t>24-05-1973</t>
  </si>
  <si>
    <t>UAT-Web-Auth7@mailinator.com</t>
  </si>
  <si>
    <t>20-8008007</t>
  </si>
  <si>
    <t>5758 Kim Road</t>
  </si>
  <si>
    <t>Dundalk</t>
  </si>
  <si>
    <t>https://ss-uat.dev-anpost.com/your-savings/register/create-password?token=YDJVOPp4hRUb2zWzmXjLx6OhHQZcjg4ydEckd0LkC54K%2FolTZUtjp1TI87%2B7mKt4NVbRghXkQtSot%2FPG5wd%2BiLLTLOls99lP%2B2BO2xr2W0Y%3D</t>
  </si>
  <si>
    <t>Web_8</t>
  </si>
  <si>
    <t>Carmel</t>
  </si>
  <si>
    <t>Drake</t>
  </si>
  <si>
    <t>26-03-1966</t>
  </si>
  <si>
    <t>UAT-Web-Auth8@mailinator.com</t>
  </si>
  <si>
    <t>208008008</t>
  </si>
  <si>
    <t>20-8008008</t>
  </si>
  <si>
    <t>2921 Meadow Vale Court</t>
  </si>
  <si>
    <t>Athy</t>
  </si>
  <si>
    <t>https://ss-uat.dev-anpost.com/your-savings/register/create-password?token=1fmh6AWeVCYX7RASubkGV64WDEkmgZGYiLOO4NNpTzrI6TD5BcZ6dxAt9tSDurojtXH8wVlqWQ4uLLcfkUdnWvoUQNOUN%2BTWmNWJ%2FHJPiF4%3D</t>
  </si>
  <si>
    <t>Web_9</t>
  </si>
  <si>
    <t>Cathryn</t>
  </si>
  <si>
    <t>Oiseau</t>
  </si>
  <si>
    <t>08-09-1984</t>
  </si>
  <si>
    <t>UAT-Web-Auth9@mailinator.com</t>
  </si>
  <si>
    <t>208008009</t>
  </si>
  <si>
    <t>20-8008009</t>
  </si>
  <si>
    <t>5972 Declaration Place</t>
  </si>
  <si>
    <t>Greystones</t>
  </si>
  <si>
    <t>MAYO</t>
  </si>
  <si>
    <t>https://ss-uat.dev-anpost.com/your-savings/register/create-password?token=Qh90CBDbyGKV2G2CPWtC2zhfPe%2F1VKTJLO0%2FBNAQDhXLmJCM%2Bakk%2BfJAjP2xalUQuPtwUAIijpp1JnFuH7Jnjpu8BdTPpveD8of75rO%2BRI0%3D</t>
  </si>
  <si>
    <t>994441</t>
  </si>
  <si>
    <t>Alisander</t>
  </si>
  <si>
    <t>Franks</t>
  </si>
  <si>
    <t>02-06-1963</t>
  </si>
  <si>
    <t>UAT-Web-Auth10@mailinator.com</t>
  </si>
  <si>
    <t>208008010</t>
  </si>
  <si>
    <t>20-8008010</t>
  </si>
  <si>
    <t>380 Harper Pass</t>
  </si>
  <si>
    <t>Ratoath</t>
  </si>
  <si>
    <t>https://ss-uat.dev-anpost.com/your-savings/register/create-password?token=RSLP5hhtg%2BBwL2FKMXuQXFXM62glswyMp7fhkzdHLYFKAvZ5mQ%2F4tOX3N0AD6IPwR8Y84F6wDu49Xop7MfRok7xXIlcdy%2BXUgJ8bCO0mkC0%3D</t>
  </si>
  <si>
    <t>Hyman</t>
  </si>
  <si>
    <t>Charge</t>
  </si>
  <si>
    <t>05-10-1967</t>
  </si>
  <si>
    <t>UAT-Web-Auth11@mailinator.com</t>
  </si>
  <si>
    <t>20-8008011</t>
  </si>
  <si>
    <t>5151 Elgar Trail</t>
  </si>
  <si>
    <t>https://ss-uat.dev-anpost.com/your-savings/register/create-password?token=%2FgqGNNeloESTrao7Gcs0lXXThWq%2B5aOKxZanPG1LPfZFwCqi0rk42APfGW7TRBj1c5lhMqlZFAiTJ5ky%2BpVEmiAlT23UqR2YlqOD04bQmJ0%3D</t>
  </si>
  <si>
    <t>211436</t>
  </si>
  <si>
    <t>Ingelbert</t>
  </si>
  <si>
    <t>Treswell</t>
  </si>
  <si>
    <t>29-12-1958</t>
  </si>
  <si>
    <t>UAT-Web-Auth12@mailinator.com</t>
  </si>
  <si>
    <t>20-8008012</t>
  </si>
  <si>
    <t>53 Rutledge Point</t>
  </si>
  <si>
    <t>Celbridge</t>
  </si>
  <si>
    <t>https://ss-uat.dev-anpost.com/your-savings/register/create-password?token=fRVXiLT07deRI%2B1hE1NIZjvN97Fu33DPYsj0LCAq2sa9WOLs74EfICgXEwHaNRiDjaiw3gd96PipnTX2t27CQGiF4%2FidhWlkkBPjAGRJQmU%3D</t>
  </si>
  <si>
    <t>223302</t>
  </si>
  <si>
    <t>Shaylah</t>
  </si>
  <si>
    <t>Sciacovelli</t>
  </si>
  <si>
    <t>13-08-1950</t>
  </si>
  <si>
    <t>UAT-Web-Auth13@mailinator.com</t>
  </si>
  <si>
    <t>20-8008013</t>
  </si>
  <si>
    <t>42 Gina Terrace</t>
  </si>
  <si>
    <t>https://ss-uat.dev-anpost.com/your-savings/register/create-password?token=7lM03rxTw6Naf0lgzZPHjRio7xJ4KetUAmqCMdLxnM7gSZunqYef13F0YgHGDMkZo%2BWmQl3HjKMYHjwraOlXvatzu%2BbkJ7jZW0JKnl3Z%2BVI%3D</t>
  </si>
  <si>
    <t>914560</t>
  </si>
  <si>
    <t>Clementius</t>
  </si>
  <si>
    <t>Lippatt</t>
  </si>
  <si>
    <t>27-11-1984</t>
  </si>
  <si>
    <t>UAT-Web-Auth14@mailinator.com</t>
  </si>
  <si>
    <t>208008014</t>
  </si>
  <si>
    <t>20-8008014</t>
  </si>
  <si>
    <t>13 Hallows Terrace</t>
  </si>
  <si>
    <t>https://ss-uat.dev-anpost.com/your-savings/register/create-password?token=gPv4TBEfMqOZZ5SaeFZbne2zBZFe25Q8WzUQ7OjyCsLeBslJIkr5WuAQW8IgtJacwyqayb5xB26p0dbU64nehSzGB5UNaMLHWDoLnM35j1s%3D</t>
  </si>
  <si>
    <t>734223</t>
  </si>
  <si>
    <t>Web_15</t>
  </si>
  <si>
    <t>Meggie</t>
  </si>
  <si>
    <t>Pollen</t>
  </si>
  <si>
    <t>27-02-1991</t>
  </si>
  <si>
    <t>UAT-Web-Auth15@mailinator.com</t>
  </si>
  <si>
    <t>208008015</t>
  </si>
  <si>
    <t>20-8008015</t>
  </si>
  <si>
    <t>40 Sullivan Center</t>
  </si>
  <si>
    <t>Laytown</t>
  </si>
  <si>
    <t>WEXFORD</t>
  </si>
  <si>
    <t>https://ss-uat.dev-anpost.com/your-savings/register/create-password?token=yVSxIdwScQZTT17ut6lf%2BkvZ5MlvZ4bs%2BVMY%2Bs%2BMMc%2Bos2UupoqmLj0CpbJdU6bvb2Eht8mhS7TKFCxgq9hgMrv8LLdRaDF0J%2B37CkNVm4Y%3D</t>
  </si>
  <si>
    <t>740916</t>
  </si>
  <si>
    <t>Web_16</t>
  </si>
  <si>
    <t>Austina</t>
  </si>
  <si>
    <t>MacCallister</t>
  </si>
  <si>
    <t>23-07-1976</t>
  </si>
  <si>
    <t>UAT-Web-Auth16@mailinator.com</t>
  </si>
  <si>
    <t>208008016</t>
  </si>
  <si>
    <t>20-8008016</t>
  </si>
  <si>
    <t>385 Gina Park</t>
  </si>
  <si>
    <t>Wicklow</t>
  </si>
  <si>
    <t>https://ss-uat.dev-anpost.com/your-savings/register/create-password?token=jmguHHa3nAY3q5zcrHE5MxIvYezLJq65ySIiLAtcO%2Bg9fGwjBLagBtPMTmUqy824HCcOM6vWcRUd815C9b%2FeAUW3t3b0nvvgDVoVK3k16og%3D</t>
  </si>
  <si>
    <t>944197</t>
  </si>
  <si>
    <t>Web_17</t>
  </si>
  <si>
    <t>Pate</t>
  </si>
  <si>
    <t>Dikels</t>
  </si>
  <si>
    <t>25-10-1951</t>
  </si>
  <si>
    <t>UAT-Web-Auth17@mailinator.com</t>
  </si>
  <si>
    <t>208008017</t>
  </si>
  <si>
    <t>20-8008017</t>
  </si>
  <si>
    <t>1524 Anniversary Lane</t>
  </si>
  <si>
    <t>https://ss-uat.dev-anpost.com/your-savings/register/create-password?token=uRplWtPJINjLNJls6SlrZv8hMLF9o%2FE%2BafxksKbDw4nkk%2FzLCkxXVXVDapZQ3hcCuXVPndj7p%2B0SrulTugoKKZ3ERBq5YCS%2BfZ%2B%2BNnr6U7c%3D</t>
  </si>
  <si>
    <t>210363</t>
  </si>
  <si>
    <t>Web_18</t>
  </si>
  <si>
    <t>Dorothy</t>
  </si>
  <si>
    <t>McSweeney</t>
  </si>
  <si>
    <t>09-05-1956</t>
  </si>
  <si>
    <t>UAT-Web-Auth18@mailinator.com</t>
  </si>
  <si>
    <t>208008018</t>
  </si>
  <si>
    <t>20-8008018</t>
  </si>
  <si>
    <t>6131 Dunning Crossing</t>
  </si>
  <si>
    <t>Port Laoise</t>
  </si>
  <si>
    <t>https://ss-uat.dev-anpost.com/your-savings/register/create-password?token=KCxEGFRh1IMYuKStJLUqlb%2FKISuKDPuXFqFtj9P93gAd%2FLosobYW7eObpHD%2BUDFUpkEXpzDqtNt44WRci04t3vDAxHU7EBzj6kVPnaKU8IU%3D</t>
  </si>
  <si>
    <t>168903</t>
  </si>
  <si>
    <t>Web_19</t>
  </si>
  <si>
    <t>Augustina</t>
  </si>
  <si>
    <t>Emptage</t>
  </si>
  <si>
    <t>19-11-1956</t>
  </si>
  <si>
    <t>UAT-Web-Auth19@mailinator.com</t>
  </si>
  <si>
    <t>208008019</t>
  </si>
  <si>
    <t>20-8008019</t>
  </si>
  <si>
    <t>8 Becker Terrace</t>
  </si>
  <si>
    <t>Tralee</t>
  </si>
  <si>
    <t>https://ss-uat.dev-anpost.com/your-savings/register/create-password?token=nVaYHIwHg1Yaah8PnDi%2B3H9%2FYbAasZ4FcgEO%2FaeNUgfppIFBSa3VTzsrn%2BZ%2BOxUSBrsDS7bX7Pi0FmgTSR6MVB3oP2IvOc3sqs6ZKQjnslk%3D</t>
  </si>
  <si>
    <t>837616</t>
  </si>
  <si>
    <t>Web_20</t>
  </si>
  <si>
    <t>Angelle</t>
  </si>
  <si>
    <t>Vagges</t>
  </si>
  <si>
    <t>16-06-1956</t>
  </si>
  <si>
    <t>UAT-Web-Auth20@mailinator.com</t>
  </si>
  <si>
    <t>208008020</t>
  </si>
  <si>
    <t>20-8008020</t>
  </si>
  <si>
    <t>16 Upham Road</t>
  </si>
  <si>
    <t>https://ss-uat.dev-anpost.com/your-savings/register/create-password?token=Toox0ccYv7kb%2BJwDDBOqavhqP6R8xp1zA7aPjSUtFgShjkcE%2BB%2BYy0banhRlpfTxQTetW0eSNiH0HtGF%2B0xiwf%2FbadRjDVGyHJzhRyVhdGw%3D</t>
  </si>
  <si>
    <t>175350</t>
  </si>
  <si>
    <t>Web_21</t>
  </si>
  <si>
    <t>Brigitta</t>
  </si>
  <si>
    <t>Flawn</t>
  </si>
  <si>
    <t>15-10-1957</t>
  </si>
  <si>
    <t>UAT-Web-Auth21@mailinator.com</t>
  </si>
  <si>
    <t>208008021</t>
  </si>
  <si>
    <t>20-8008021</t>
  </si>
  <si>
    <t>65469 Valley Edge Road</t>
  </si>
  <si>
    <t>Skerries</t>
  </si>
  <si>
    <t>https://ss-uat.dev-anpost.com/your-savings/register/create-password?token=3SAjnT83VzBCNrxU66sSzCfhZ3V1WFfm4Xt1s%2FyEtE3qGtj8PLmfsNDT%2FjEORs9spbWcRAOCsNX8J8s4lyCkglcZlHvhgnFk3FNReSaZ6Do%3D</t>
  </si>
  <si>
    <t>Web_22</t>
  </si>
  <si>
    <t>Timmie</t>
  </si>
  <si>
    <t>Clancey</t>
  </si>
  <si>
    <t>05-03-1989</t>
  </si>
  <si>
    <t>UAT-Web-Auth22@mailinator.com</t>
  </si>
  <si>
    <t>208008022</t>
  </si>
  <si>
    <t>20-8008022</t>
  </si>
  <si>
    <t>197 Hermina Pass</t>
  </si>
  <si>
    <t>Castlebar</t>
  </si>
  <si>
    <t>TIPPERARY</t>
  </si>
  <si>
    <t>https://ss-uat.dev-anpost.com/your-savings/register/create-password?token=3hd26TEfW9uC8qZFlIaDEC4paRmvc8ip8MndXUcZIPywdkPIeLVxve7fpuc6%2BP6vMzqi%2F%2BUDTRUGlJv565Tt%2FuLOFxgaxNSfNCPJI4sveso%3D</t>
  </si>
  <si>
    <t>583229</t>
  </si>
  <si>
    <t>Web_23</t>
  </si>
  <si>
    <t>Jaquelyn</t>
  </si>
  <si>
    <t>Fallis</t>
  </si>
  <si>
    <t>22-12-1962</t>
  </si>
  <si>
    <t>UAT-Web-Auth23@mailinator.com</t>
  </si>
  <si>
    <t>208008023</t>
  </si>
  <si>
    <t>20-8008023</t>
  </si>
  <si>
    <t>45011 Paget Pass</t>
  </si>
  <si>
    <t>Fermoy</t>
  </si>
  <si>
    <t>LIMERICK</t>
  </si>
  <si>
    <t>https://ss-uat.dev-anpost.com/your-savings/register/create-password?token=0W47JpyslgHBRNjkPLmCma26N8k0am4Cqr6EZFNoHNigbE3SYHlQRXJLeZDEI9HLlHoSyDQXgIdQKxQe%2Fo9zn%2FEK7lAjbMeKvJs8Rlg0QrY%3D</t>
  </si>
  <si>
    <t>692926</t>
  </si>
  <si>
    <t>Web_24</t>
  </si>
  <si>
    <t>Carlota</t>
  </si>
  <si>
    <t>Mc Meekin</t>
  </si>
  <si>
    <t>29-12-1085</t>
  </si>
  <si>
    <t>UAT-Web-Auth24@mailinator.com</t>
  </si>
  <si>
    <t>208008024</t>
  </si>
  <si>
    <t>20-8008024</t>
  </si>
  <si>
    <t>405 Coolidge Point</t>
  </si>
  <si>
    <t>Donabate</t>
  </si>
  <si>
    <t>CORK</t>
  </si>
  <si>
    <t>069788</t>
  </si>
  <si>
    <t>Web_25</t>
  </si>
  <si>
    <t>Zea</t>
  </si>
  <si>
    <t>Fortnon</t>
  </si>
  <si>
    <t>22-04-1983</t>
  </si>
  <si>
    <t>UAT-Web-Auth25@mailinator.com</t>
  </si>
  <si>
    <t>208008025</t>
  </si>
  <si>
    <t>20-8008025</t>
  </si>
  <si>
    <t>0833 Talisman Park</t>
  </si>
  <si>
    <t>Ballinasloe</t>
  </si>
  <si>
    <t>https://ss-uat.dev-anpost.com/your-savings/register/create-password?token=fPIa4gGBUiOumYDPWNBPrbqgJZ1az0yn0FwFU8dS0dq2iNm407qLcTvzYADXGKJBioauq8j1ejVxBI7gxbrHLptAvEk4E8cZF1nTTw%2FodM8%3D</t>
  </si>
  <si>
    <t>135066</t>
  </si>
  <si>
    <t>Web_26</t>
  </si>
  <si>
    <t>Dawn</t>
  </si>
  <si>
    <t>Pardue</t>
  </si>
  <si>
    <t>12-04-1979</t>
  </si>
  <si>
    <t>UAT-Web-Auth26@mailinator.com</t>
  </si>
  <si>
    <t>208008026</t>
  </si>
  <si>
    <t>20-8008026</t>
  </si>
  <si>
    <t>85 Hintze Crossing</t>
  </si>
  <si>
    <t>https://ss-uat.dev-anpost.com/your-savings/register/create-password?token=4yMFcF3qT5OsjLdVahBflSlavO6fnycuxqUbVEwCA1%2F5EUUiuQnbtxdPAk5HLhpEHJWB73GUwWP9WrKBlmaEdb%2BWH7Qf7ZOkhtTqM9lA65U%3D</t>
  </si>
  <si>
    <t>109186</t>
  </si>
  <si>
    <t>Web_27</t>
  </si>
  <si>
    <t>Corri</t>
  </si>
  <si>
    <t>Musterd</t>
  </si>
  <si>
    <t>18-09-1965</t>
  </si>
  <si>
    <t>UAT-Web-Auth27@mailinator.com</t>
  </si>
  <si>
    <t>208008027</t>
  </si>
  <si>
    <t>20-8008027</t>
  </si>
  <si>
    <t>2479 Sheridan Street</t>
  </si>
  <si>
    <t>Nenagh</t>
  </si>
  <si>
    <t>https://ss-uat.dev-anpost.com/your-savings/register/create-password?token=k%2F4W4ViCg6t5nFenqMB1Xw8tuXuVU0ejKWo1f%2F1BGe2SYON2hfgMuPiIvxXv40fpZOCb3f%2BakltjFrSkUFSu6RI1Mrf%2B6sduQ8K4h9GYpWs%3D</t>
  </si>
  <si>
    <t>506148</t>
  </si>
  <si>
    <t>Web_28</t>
  </si>
  <si>
    <t>Jobie</t>
  </si>
  <si>
    <t>Hansley</t>
  </si>
  <si>
    <t>07-02-1999</t>
  </si>
  <si>
    <t>UAT-Web-Auth28@mailinator.com</t>
  </si>
  <si>
    <t>208008028</t>
  </si>
  <si>
    <t>20-8008028</t>
  </si>
  <si>
    <t>084 Oak Valley Point</t>
  </si>
  <si>
    <t>Galway</t>
  </si>
  <si>
    <t>LONGFORD</t>
  </si>
  <si>
    <t>https://ss-uat.dev-anpost.com/your-savings/register/create-password?token=V6oShhJ%2FtyPjoQn8KTWOSZWikxWb5rY6Cbd7vmBT8fTWzx%2FvlnoTyf4ArSWMSYYzTcJNXa%2BWkq8Gj6cnpPX%2BqJoAZDC5oyVJqZx7KAxsVVY%3D</t>
  </si>
  <si>
    <t>642722</t>
  </si>
  <si>
    <t>Web_29</t>
  </si>
  <si>
    <t>Hewitt</t>
  </si>
  <si>
    <t>Sugar</t>
  </si>
  <si>
    <t>14-06-2012</t>
  </si>
  <si>
    <t>UAT-Web-Auth29@mailinator.com</t>
  </si>
  <si>
    <t>208008029</t>
  </si>
  <si>
    <t>20-8008029</t>
  </si>
  <si>
    <t>86 Mayfield Circle</t>
  </si>
  <si>
    <t>Lusk</t>
  </si>
  <si>
    <t>Web_30</t>
  </si>
  <si>
    <t>Deeanne</t>
  </si>
  <si>
    <t>Sturgeon</t>
  </si>
  <si>
    <t>04-01-1980</t>
  </si>
  <si>
    <t>UAT-Web-Auth30@mailinator.com</t>
  </si>
  <si>
    <t>208008030</t>
  </si>
  <si>
    <t>20-8008030</t>
  </si>
  <si>
    <t>1530 Fisk Parkway</t>
  </si>
  <si>
    <t>097626</t>
  </si>
  <si>
    <t>Web_31</t>
  </si>
  <si>
    <t>Hillary</t>
  </si>
  <si>
    <t>Sambedge</t>
  </si>
  <si>
    <t>25-04-2014</t>
  </si>
  <si>
    <t>UAT-Web-Auth31@mailinator.com</t>
  </si>
  <si>
    <t>208008031</t>
  </si>
  <si>
    <t>20-8008031</t>
  </si>
  <si>
    <t>7023 Pond Alley</t>
  </si>
  <si>
    <t>Web_32</t>
  </si>
  <si>
    <t>Helen elizabeth</t>
  </si>
  <si>
    <t>Titmuss</t>
  </si>
  <si>
    <t>12-02-1983</t>
  </si>
  <si>
    <t>UAT-Web-Auth32@mailinator.com</t>
  </si>
  <si>
    <t>208008032</t>
  </si>
  <si>
    <t>20-8008032</t>
  </si>
  <si>
    <t>46 Butterfield Crossing</t>
  </si>
  <si>
    <t>Clane</t>
  </si>
  <si>
    <t>915900</t>
  </si>
  <si>
    <t>Web_33</t>
  </si>
  <si>
    <t>Lise</t>
  </si>
  <si>
    <t>Arboin</t>
  </si>
  <si>
    <t>08-02-1983</t>
  </si>
  <si>
    <t>UAT-Web-Auth33@mailinator.com</t>
  </si>
  <si>
    <t>208008033</t>
  </si>
  <si>
    <t>20-8008033</t>
  </si>
  <si>
    <t>403 Bultman Plaza</t>
  </si>
  <si>
    <t>Web_34</t>
  </si>
  <si>
    <t>Jonell</t>
  </si>
  <si>
    <t>McBean</t>
  </si>
  <si>
    <t>22-02-1993</t>
  </si>
  <si>
    <t>UAT-Web-Auth34@mailinator.com</t>
  </si>
  <si>
    <t>208008034</t>
  </si>
  <si>
    <t>20-8008034</t>
  </si>
  <si>
    <t>59 Spaight Crossing</t>
  </si>
  <si>
    <t>Newcastle West</t>
  </si>
  <si>
    <t>ROSCOMMON</t>
  </si>
  <si>
    <t>https://ss-uat.dev-anpost.com/your-savings/register/create-password?token=PFl6KXHVXT7rI5iwbv%2F0iH9tuf4r23A4cH4iBGqnp8FclV6eVnr%2F%2FyRSfA5r0YEtU1MjXul3cyCRyEXab5n4eWZMYhFxYG1VAysTYJpOXjY%3D</t>
  </si>
  <si>
    <t>Web_35</t>
  </si>
  <si>
    <t>Allianora</t>
  </si>
  <si>
    <t>Lumber</t>
  </si>
  <si>
    <t>27-05-1987</t>
  </si>
  <si>
    <t>UAT-Web-Auth35@mailinator.com</t>
  </si>
  <si>
    <t>208008035</t>
  </si>
  <si>
    <t>20-8008035</t>
  </si>
  <si>
    <t>69059 Warrior Junction</t>
  </si>
  <si>
    <t>Portarlington</t>
  </si>
  <si>
    <t>https://ss-uat.dev-anpost.com/your-savings/register/create-password?token=xeumtsAVafKX7sv%2BIbDOs9jR9h30D%2BX8RoR4Q3NKBM87k52DdKed5THdPj2zqdC5r1F3gkwcGzbGBhxMGkQuyx62CShYabvCgxnYi9OTt9U%3D</t>
  </si>
  <si>
    <t>334376</t>
  </si>
  <si>
    <t>Web_36</t>
  </si>
  <si>
    <t>Meagan</t>
  </si>
  <si>
    <t>McCuthais</t>
  </si>
  <si>
    <t>29-08-2001</t>
  </si>
  <si>
    <t>UAT-Web-Auth36@mailinator.com</t>
  </si>
  <si>
    <t>208008036</t>
  </si>
  <si>
    <t>20-8008036</t>
  </si>
  <si>
    <t>6 Logan Street</t>
  </si>
  <si>
    <t>https://ss-uat.dev-anpost.com/your-savings/register/create-password?token=q6wL84kOhoHryyygIMvwBPnwhbxmvOwC2PzlBmmdUhDdB9YSrUTKr2H7eE1VX3YeCnBxLv2EChUDOE6W4tGa%2FflKl%2F5l7Z8Yx1%2FrzN1weWs%3D</t>
  </si>
  <si>
    <t>Web_37</t>
  </si>
  <si>
    <t>Nada</t>
  </si>
  <si>
    <t>Weight</t>
  </si>
  <si>
    <t>12-10-1971</t>
  </si>
  <si>
    <t>UAT-Web-Auth37@mailinator.com</t>
  </si>
  <si>
    <t>208008037</t>
  </si>
  <si>
    <t>20-8008037</t>
  </si>
  <si>
    <t>92 Vera Street</t>
  </si>
  <si>
    <t>https://ss-uat.dev-anpost.com/your-savings/register/create-password?token=C4JN27zeQynsQ9t0fnSApJ%2Bi2%2BUqY%2FgSEPmuw48mXaz7q1JUqQ9jUcM3CmOjDHOT0GpZ6g3NafN2TWOUGy5G%2BMjzOhTL8AO8lSl9QYjSMlU%3D</t>
  </si>
  <si>
    <t>787759</t>
  </si>
  <si>
    <t>Web_38</t>
  </si>
  <si>
    <t>Scarlet</t>
  </si>
  <si>
    <t>Bandy</t>
  </si>
  <si>
    <t>31-12-2011</t>
  </si>
  <si>
    <t>UAT-Web-Auth38@mailinator.com</t>
  </si>
  <si>
    <t>208008038</t>
  </si>
  <si>
    <t>20-8008038</t>
  </si>
  <si>
    <t>11532 Ramsey Way</t>
  </si>
  <si>
    <t>Youghal</t>
  </si>
  <si>
    <t>Web_39</t>
  </si>
  <si>
    <t>Edi</t>
  </si>
  <si>
    <t>Giacomoni</t>
  </si>
  <si>
    <t>21-09-1980</t>
  </si>
  <si>
    <t>UAT-Web-Auth39@mailinator.com</t>
  </si>
  <si>
    <t>208008039</t>
  </si>
  <si>
    <t>20-8008039</t>
  </si>
  <si>
    <t>78 Goodland Way</t>
  </si>
  <si>
    <t>Carrick-on-Suir</t>
  </si>
  <si>
    <t>https://ss-uat.dev-anpost.com/your-savings/register/create-password?token=%2FaKj6A8X8cGfzD716VyimxkvCgF4yVWJB3cArvbz3OVPCxkd6Tb%2FMlVuM6Rc%2FimEbK%2FJuBMo6Dx2gng7RrUZwWhkrKuizDLKN6NoEw3xUFg%3D</t>
  </si>
  <si>
    <t>Web_40</t>
  </si>
  <si>
    <t>Genovera</t>
  </si>
  <si>
    <t>Boolsen</t>
  </si>
  <si>
    <t>03-09-2007</t>
  </si>
  <si>
    <t>UAT-Web-Auth40@mailinator.com</t>
  </si>
  <si>
    <t>208008040</t>
  </si>
  <si>
    <t>20-8008040</t>
  </si>
  <si>
    <t>868 Forest Run Circle</t>
  </si>
  <si>
    <t>Web_41</t>
  </si>
  <si>
    <t>Merwin</t>
  </si>
  <si>
    <t>Allbones</t>
  </si>
  <si>
    <t>16-01-1955</t>
  </si>
  <si>
    <t>UAT-Web-Auth41@mailinator.com</t>
  </si>
  <si>
    <t>208008041</t>
  </si>
  <si>
    <t>20-8008041</t>
  </si>
  <si>
    <t>95 Eastwood Parkway</t>
  </si>
  <si>
    <t>https://ss-uat.dev-anpost.com/your-savings/register/create-password?token=H0mTBEOgw%2BVQzDqyCkreRGPqLVCIuqbqVmiUaC9gFjeAv89MvtGxHv5NylvuvBpR8oEZeA1UQoUflll6bivOyNkIF0wmHEzpD2hfxkHccfE%3D</t>
  </si>
  <si>
    <t>285320</t>
  </si>
  <si>
    <t>Web_42</t>
  </si>
  <si>
    <t>Petunia</t>
  </si>
  <si>
    <t>Yeeles</t>
  </si>
  <si>
    <t>27-06-1962</t>
  </si>
  <si>
    <t>UAT-Web-Auth42@mailinator.com</t>
  </si>
  <si>
    <t>208008042</t>
  </si>
  <si>
    <t>20-8008042</t>
  </si>
  <si>
    <t>58 Merry Street</t>
  </si>
  <si>
    <t>Naas</t>
  </si>
  <si>
    <t>LOUTH</t>
  </si>
  <si>
    <t>https://ss-uat.dev-anpost.com/your-savings/register/create-password?token=tU%2BgN9lzh7SijozVLTR8SmSVmQUyqmdtPcp%2Fe4MbYvP2iePZPNdM2Ki%2BmHphUWO4LWtiMMvH2%2BP98kM6wyFqa4WkkVfhTBiMvcftUdfGP0k%3D</t>
  </si>
  <si>
    <t>541228</t>
  </si>
  <si>
    <t>Web_43</t>
  </si>
  <si>
    <t>Mar</t>
  </si>
  <si>
    <t>Santore</t>
  </si>
  <si>
    <t>25-06-19606</t>
  </si>
  <si>
    <t>UAT-Web-Auth43@mailinator.com</t>
  </si>
  <si>
    <t>208008043</t>
  </si>
  <si>
    <t>20-8008043</t>
  </si>
  <si>
    <t>5 Russell Junction</t>
  </si>
  <si>
    <t>https://ss-uat.dev-anpost.com/your-savings/register/create-password?token=sFU38hNGfyO8BE8w3IZI%2BW7FbCnxIKxb5KJzcazhtXkZEo5xpdueLwmDhL50%2Fopl9JyK9TZi3B0oqz%2Fhdht1UYtuJBeK5mUCJyDZRLbmWY4%3D</t>
  </si>
  <si>
    <t>870864</t>
  </si>
  <si>
    <t>Web_44</t>
  </si>
  <si>
    <t>Drugi</t>
  </si>
  <si>
    <t>Hellikes</t>
  </si>
  <si>
    <t>11-10-2001</t>
  </si>
  <si>
    <t>UAT-Web-Auth44@mailinator.com</t>
  </si>
  <si>
    <t>208008044</t>
  </si>
  <si>
    <t>20-8008044</t>
  </si>
  <si>
    <t>54225 Blue Bill Park Park</t>
  </si>
  <si>
    <t>Thurles</t>
  </si>
  <si>
    <t>https://ss-uat.dev-anpost.com/your-savings/register/create-password?token=PceYdtYpOWKJ%2FOTcL3MzxPmEToyzdqGMstAwy0SGKKxXbmz2ncgTLRAwKC4%2BBBq6nrWH%2B0kqf6Myp%2BtSIubWy%2Fjtsh8bcydvqimU4zLR20k%3D</t>
  </si>
  <si>
    <t>909594</t>
  </si>
  <si>
    <t>Web_45</t>
  </si>
  <si>
    <t>Maggee</t>
  </si>
  <si>
    <t>Balfour</t>
  </si>
  <si>
    <t>12-08-2013</t>
  </si>
  <si>
    <t>UAT-Web-Auth45@mailinator.com</t>
  </si>
  <si>
    <t>208008045</t>
  </si>
  <si>
    <t>20-8008045</t>
  </si>
  <si>
    <t>1 Express Terrace</t>
  </si>
  <si>
    <t>Listowel</t>
  </si>
  <si>
    <t>Web_46</t>
  </si>
  <si>
    <t>Orson</t>
  </si>
  <si>
    <t>Chicchelli</t>
  </si>
  <si>
    <t>15-03-2015</t>
  </si>
  <si>
    <t>UAT-Web-Auth46@mailinator.com</t>
  </si>
  <si>
    <t>208008046</t>
  </si>
  <si>
    <t>20-8008046</t>
  </si>
  <si>
    <t>20118 Tony Way</t>
  </si>
  <si>
    <t>Web_47</t>
  </si>
  <si>
    <t>Koenraad</t>
  </si>
  <si>
    <t>Farncombe</t>
  </si>
  <si>
    <t>31-08-2004</t>
  </si>
  <si>
    <t>UAT-Web-Auth47@mailinator.com</t>
  </si>
  <si>
    <t>208008047</t>
  </si>
  <si>
    <t>20-8008047</t>
  </si>
  <si>
    <t>279 Clarendon Place</t>
  </si>
  <si>
    <t>Monaghan</t>
  </si>
  <si>
    <t>KILKENNY</t>
  </si>
  <si>
    <t>Web_48</t>
  </si>
  <si>
    <t>Aleen</t>
  </si>
  <si>
    <t>Burford</t>
  </si>
  <si>
    <t>20-12-2010</t>
  </si>
  <si>
    <t>UAT-Web-Auth48@mailinator.com</t>
  </si>
  <si>
    <t>208008048</t>
  </si>
  <si>
    <t>20-8008048</t>
  </si>
  <si>
    <t>67616 Westend Court</t>
  </si>
  <si>
    <t>Limerick</t>
  </si>
  <si>
    <t>CAVAN</t>
  </si>
  <si>
    <t>Web_49</t>
  </si>
  <si>
    <t>Gustav</t>
  </si>
  <si>
    <t>Hector</t>
  </si>
  <si>
    <t>22-09-1995</t>
  </si>
  <si>
    <t>UAT-Web-Auth49@mailinator.com</t>
  </si>
  <si>
    <t>208008049</t>
  </si>
  <si>
    <t>20-8008049</t>
  </si>
  <si>
    <t>08343 Veith Place</t>
  </si>
  <si>
    <t>https://ss-uat.dev-anpost.com/your-savings/register/create-password?token=z7DpAGEWZr3kHmdEuQZnR4HPbyHXRfhcKBS%2FIJWbiBGWnhPHX1Z3lRHvgFZexp8EO8cwpkq3lUUz2KdbekBkX134MLPfjSRrP7tRQxpN668%3D</t>
  </si>
  <si>
    <t>938862</t>
  </si>
  <si>
    <t>Web_50</t>
  </si>
  <si>
    <t>Nicola</t>
  </si>
  <si>
    <t>Laffling</t>
  </si>
  <si>
    <t>05-11-2003</t>
  </si>
  <si>
    <t>UAT-Web-Auth50@mailinator.com</t>
  </si>
  <si>
    <t>208008050</t>
  </si>
  <si>
    <t>20-8008050</t>
  </si>
  <si>
    <t>0 Rutledge Road</t>
  </si>
  <si>
    <t>Tuam</t>
  </si>
  <si>
    <t>Web_51</t>
  </si>
  <si>
    <t>Lazarus</t>
  </si>
  <si>
    <t>Lenox</t>
  </si>
  <si>
    <t>11-05-1990</t>
  </si>
  <si>
    <t>UAT-Web-Auth51@mailinator.com</t>
  </si>
  <si>
    <t>208008051</t>
  </si>
  <si>
    <t>20-8008051</t>
  </si>
  <si>
    <t>9 Ridgeway Park</t>
  </si>
  <si>
    <t>https://ss-uat.dev-anpost.com/your-savings/register/create-password?token=4EhlJOWgcS7g4LtVsiHophugKmO1xHGXTqEVSlKJizXhWjN%2FlqKdRg74JIZuJLMiNuA6gZKvsWYY9FW4yY7bMryhTRw84gLHUT42AWeKE3M%3D</t>
  </si>
  <si>
    <t>Web_52</t>
  </si>
  <si>
    <t>Shana</t>
  </si>
  <si>
    <t>Powdrill</t>
  </si>
  <si>
    <t>07-08-1972</t>
  </si>
  <si>
    <t>UAT-Web-Auth52@mailinator.com</t>
  </si>
  <si>
    <t>208008052</t>
  </si>
  <si>
    <t>20-8008052</t>
  </si>
  <si>
    <t>50 Village Crossing</t>
  </si>
  <si>
    <t>New Ross</t>
  </si>
  <si>
    <t>https://ss-uat.dev-anpost.com/your-savings/register/create-password?token=sQDSAyHsIR1ep0Xy5Ca%2B6rsS3ehEQlrK2zEXq%2Fg4q8%2FnxRo2zs5PCZ9GmTjE6ONdPbtFt5%2B5qQ021LjO935DdJ4XOp%2FCcFz3GisQB7qDrrk%3D</t>
  </si>
  <si>
    <t>Web_53</t>
  </si>
  <si>
    <t>Tadio</t>
  </si>
  <si>
    <t>Elcoate</t>
  </si>
  <si>
    <t>01-09-1970</t>
  </si>
  <si>
    <t>UAT-Web-Auth53@mailinator.com</t>
  </si>
  <si>
    <t>208008053</t>
  </si>
  <si>
    <t>20-8008053</t>
  </si>
  <si>
    <t>68740 Anthes Center</t>
  </si>
  <si>
    <t>https://ss-uat.dev-anpost.com/your-savings/register/create-password?token=ho%2B93Brm7TcOep%2FJZaRU1SsH6D0xCg%2BhKFGswPCC3HNgMAgisKbNT2Ik89h%2FZ3dwsfpt8OkHF%2FV7F4OhLhPxfNcZZgAJoDtZfsqJJwmtMq8%3D</t>
  </si>
  <si>
    <t>Web_54</t>
  </si>
  <si>
    <t>Elena</t>
  </si>
  <si>
    <t>Stowe</t>
  </si>
  <si>
    <t>15-08-1955</t>
  </si>
  <si>
    <t>UAT-Web-Auth54@mailinator.com</t>
  </si>
  <si>
    <t>208008054</t>
  </si>
  <si>
    <t>20-8008054</t>
  </si>
  <si>
    <t>36 Hooker Terrace</t>
  </si>
  <si>
    <t>Leixlip</t>
  </si>
  <si>
    <t>WICKLOW</t>
  </si>
  <si>
    <t>https://ss-uat.dev-anpost.com/your-savings/register/create-password?token=HxJOdkf%2Fwm%2BjXPXlD%2B8eXrsEy0mUir8%2BHBY1BsAjClQ4tOFDkpl%2BO2PYkjdmwooRUf7QGIo1p0S3KvOghV3xhLEZ5FeOzwO7Uep5IeVpuvc%3D</t>
  </si>
  <si>
    <t>628664</t>
  </si>
  <si>
    <t>Web_55</t>
  </si>
  <si>
    <t>Tuesday</t>
  </si>
  <si>
    <t>Daintrey</t>
  </si>
  <si>
    <t>21-08-1975</t>
  </si>
  <si>
    <t>UAT-Web-Auth55@mailinator.com</t>
  </si>
  <si>
    <t>208008055</t>
  </si>
  <si>
    <t>20-8008055</t>
  </si>
  <si>
    <t>6138 Dapin Lane</t>
  </si>
  <si>
    <t>https://ss-uat.dev-anpost.com/your-savings/register/create-password?token=1dMo7n0OOH5BvbgEj8QjsWTKZuIYaBHn6JABozCwVqDPo9SgwXhyPFvojewyqdwNew2pFIeg2tkiGw4PiaGodQToajHoeojj53enfS3wGOw%3D</t>
  </si>
  <si>
    <t>630240</t>
  </si>
  <si>
    <t>Web_56</t>
  </si>
  <si>
    <t>Swen</t>
  </si>
  <si>
    <t>Goodison</t>
  </si>
  <si>
    <t>13-06-2000</t>
  </si>
  <si>
    <t>UAT-Web-Auth56@mailinator.com</t>
  </si>
  <si>
    <t>208008056</t>
  </si>
  <si>
    <t>20-8008056</t>
  </si>
  <si>
    <t>3 Parkside Way</t>
  </si>
  <si>
    <t>Blessington</t>
  </si>
  <si>
    <t>https://ss-uat.dev-anpost.com/your-savings/register/create-password?token=nW%2BoBjQHQ32H8X%2BS%2FqeOX43mDtnUdw6KTvIgTvUEzOho4gX%2BjmscY1pUYBl3%2Byxfb81r4xlKhlbI8pCTHrryaVeWSO16LFkoJFgg2szY53Y%3D</t>
  </si>
  <si>
    <t>Web_57</t>
  </si>
  <si>
    <t>Clim</t>
  </si>
  <si>
    <t>Frenzel</t>
  </si>
  <si>
    <t>07-03-1975</t>
  </si>
  <si>
    <t>UAT-Web-Auth57@mailinator.com</t>
  </si>
  <si>
    <t>208008057</t>
  </si>
  <si>
    <t>20-8008057</t>
  </si>
  <si>
    <t>78 Heath Crossing</t>
  </si>
  <si>
    <t>Westport</t>
  </si>
  <si>
    <t>OFFALY</t>
  </si>
  <si>
    <t>https://ss-uat.dev-anpost.com/your-savings/register/create-password?token=Wmt7j3rbD%2BA8w%2FtXBhTWVrEV%2B5QkCKqwzweN8MSh4iL6lv%2BYERb%2BKZrj0kJ8fkKr23T5Om1h2IGCFD6x2Q8gpcdu7zblrrS6xBuJqgOnGEg%3D</t>
  </si>
  <si>
    <t>120427</t>
  </si>
  <si>
    <t>Web_58</t>
  </si>
  <si>
    <t>Thekla</t>
  </si>
  <si>
    <t>Iwanowicz</t>
  </si>
  <si>
    <t>06-09-1947</t>
  </si>
  <si>
    <t>UAT-Web-Auth58@mailinator.com</t>
  </si>
  <si>
    <t>208008058</t>
  </si>
  <si>
    <t>20-8008058</t>
  </si>
  <si>
    <t>9157 Kinsman Court</t>
  </si>
  <si>
    <t>https://ss-uat.dev-anpost.com/your-savings/register/create-password?token=LCzpyw50k9tSpjzu6gadVdozAYpZN3VyuA1U2dfwwf5ccnjbsg5sE3WXMY4CeFjq2nSa7CfXLSzQkJPxYFMClFhGWgLyrFarMZr6PHqYkVQ%3D</t>
  </si>
  <si>
    <t>323114</t>
  </si>
  <si>
    <t>Web_59</t>
  </si>
  <si>
    <t>Teirtza</t>
  </si>
  <si>
    <t>Root</t>
  </si>
  <si>
    <t>31-03-2012</t>
  </si>
  <si>
    <t>UAT-Web-Auth59@mailinator.com</t>
  </si>
  <si>
    <t>208008059</t>
  </si>
  <si>
    <t>20-8008059</t>
  </si>
  <si>
    <t>90 Kropf Hill</t>
  </si>
  <si>
    <t>Web_60</t>
  </si>
  <si>
    <t>Alf</t>
  </si>
  <si>
    <t>Poundford</t>
  </si>
  <si>
    <t>13-08-1956</t>
  </si>
  <si>
    <t>UAT-Web-Auth60@mailinator.com</t>
  </si>
  <si>
    <t>208008060</t>
  </si>
  <si>
    <t>20-8008060</t>
  </si>
  <si>
    <t>536 Mariners Cove Alley</t>
  </si>
  <si>
    <t>https://ss-uat.dev-anpost.com/your-savings/register/create-password?token=MEPgs0ptLPcokExrGLtdvIcVFdOvKSSK9f5VWZsUiE5ZGv65nT%2BaitLLoVDicVwP1z0nxU078nqIisIsYJsJbcR0nPO3O9qvGD4oXNaHA5Y%3D</t>
  </si>
  <si>
    <t>Web_61</t>
  </si>
  <si>
    <t>Shellie</t>
  </si>
  <si>
    <t>Zanassi</t>
  </si>
  <si>
    <t>16-07-1966</t>
  </si>
  <si>
    <t>UAT-Web-Auth61@mailinator.com</t>
  </si>
  <si>
    <t>208008061</t>
  </si>
  <si>
    <t>20-8008061</t>
  </si>
  <si>
    <t>87196 Stephen Plaza</t>
  </si>
  <si>
    <t>https://ss-uat.dev-anpost.com/your-savings/register/create-password?token=F8Fz6jVoj6BzO15zXy8Kto3FVP5KM6XB%2BlhwrffL89NgjF786L%2F%2B49VMGcSxoh2YAykNop4gji4hS%2FCjQGj%2FIXvahYeYG6goBceGjLOUbmM%3D</t>
  </si>
  <si>
    <t>194581</t>
  </si>
  <si>
    <t>Web_62</t>
  </si>
  <si>
    <t>Rafaello</t>
  </si>
  <si>
    <t>Squibb</t>
  </si>
  <si>
    <t>03-11-1996</t>
  </si>
  <si>
    <t>UAT-Web-Auth62@mailinator.com</t>
  </si>
  <si>
    <t>208008062</t>
  </si>
  <si>
    <t>20-8008062</t>
  </si>
  <si>
    <t>33 Autumn Leaf Junction</t>
  </si>
  <si>
    <t>https://ss-uat.dev-anpost.com/your-savings/register/create-password?token=Fwz3uCwZgJn5rKKM5l9guTl6CC0J%2BonB2cKiZSnSj%2F6a4ng2ZEDbCpWJP%2B%2B%2Bpn%2F6iO3reAOT33Q%2BLBz2DwJsFNi7UYLB%2B9EiPvDLQqRuRa4%3D</t>
  </si>
  <si>
    <t>057195</t>
  </si>
  <si>
    <t>Web_63</t>
  </si>
  <si>
    <t>Devinne</t>
  </si>
  <si>
    <t>Louder</t>
  </si>
  <si>
    <t>12-12-1967</t>
  </si>
  <si>
    <t>UAT-Web-Auth63@mailinator.com</t>
  </si>
  <si>
    <t>208008063</t>
  </si>
  <si>
    <t>20-8008063</t>
  </si>
  <si>
    <t>2 Ridgeway Center</t>
  </si>
  <si>
    <t>Loughrea</t>
  </si>
  <si>
    <t>https://ss-uat.dev-anpost.com/your-savings/register/create-password?token=9CjkthO9RdqBBxXtB0SZkXbulxpYJSZ%2BbswMX5M8kkJ8Ns2%2B1126GCO%2BBVOyXYAtk2HSS5%2ByAUCr7X2OzntFq4XlPdOQbuPJCCXPupB6i4I%3D</t>
  </si>
  <si>
    <t>127880</t>
  </si>
  <si>
    <t>Web_64</t>
  </si>
  <si>
    <t>Cathi</t>
  </si>
  <si>
    <t>Martinat</t>
  </si>
  <si>
    <t>29-07-1944</t>
  </si>
  <si>
    <t>UAT-Web-Auth64@mailinator.com</t>
  </si>
  <si>
    <t>208008064</t>
  </si>
  <si>
    <t>20-8008064</t>
  </si>
  <si>
    <t>835 Bartelt Point</t>
  </si>
  <si>
    <t>Balbriggan</t>
  </si>
  <si>
    <t>https://ss-uat.dev-anpost.com/your-savings/register/create-password?token=gV7V5YRcC5YUiuZeNJUMT7B7%2BXGuLL8ad%2FqmXc5p5fS0zpENzll8nH9VauRQ8PD3dTZBGzfS8qHwqCNI2Nw7S1xYIlyiRmh%2FHst%2FzA4XupA%3D</t>
  </si>
  <si>
    <t>542840</t>
  </si>
  <si>
    <t>Web_65</t>
  </si>
  <si>
    <t>Friedrick</t>
  </si>
  <si>
    <t>Beardon</t>
  </si>
  <si>
    <t>19-07-1974</t>
  </si>
  <si>
    <t>UAT-Web-Auth65@mailinator.com</t>
  </si>
  <si>
    <t>208008065</t>
  </si>
  <si>
    <t>20-8008065</t>
  </si>
  <si>
    <t>01638 Ludington Way</t>
  </si>
  <si>
    <t>Ennis</t>
  </si>
  <si>
    <t>https://ss-uat.dev-anpost.com/your-savings/register/create-password?token=xTpTpttUvsL4lh%2B15YoO84PSoDHbZS91Hyq6MrghiW8pVXy1M4I0Cyc2nItbL2ea5tXhl3MMp9ke%2F54mT0MsThw6%2Fo%2BzFmXO44mplG4sw68%3D</t>
  </si>
  <si>
    <t>Web_66</t>
  </si>
  <si>
    <t>Bevvy</t>
  </si>
  <si>
    <t>Casaccia</t>
  </si>
  <si>
    <t>25-03-1975</t>
  </si>
  <si>
    <t>UAT-Web-Auth66@mailinator.com</t>
  </si>
  <si>
    <t>208008066</t>
  </si>
  <si>
    <t>20-8008066</t>
  </si>
  <si>
    <t>9351 Merry Hill</t>
  </si>
  <si>
    <t>Monasterevin</t>
  </si>
  <si>
    <t>https://ss-uat.dev-anpost.com/your-savings/register/create-password?token=Zpob7%2BQGdtck2PwSt%2BCuUA5MRlwR8%2FdEWKzTaTZ9ZB6hPIv4LMkTUqBe1sBHM5w7GkSzUA2zfOMEhpR7jpxaBVe5OyTK3bx3gUl51v9xziQ%3D</t>
  </si>
  <si>
    <t>450213</t>
  </si>
  <si>
    <t>Web_67</t>
  </si>
  <si>
    <t>Jerry</t>
  </si>
  <si>
    <t>Drohun</t>
  </si>
  <si>
    <t>02-02-1978</t>
  </si>
  <si>
    <t>UAT-Web-Auth67@mailinator.com</t>
  </si>
  <si>
    <t>208008067</t>
  </si>
  <si>
    <t>20-8008067</t>
  </si>
  <si>
    <t>7 Oriole Hill</t>
  </si>
  <si>
    <t>https://ss-uat.dev-anpost.com/your-savings/register/create-password?token=AjcBY3lDOcrZepItfakzZZayRsvWKkWHLqwJYYSok8%2F55dsnSpin7uQzmNnwIcI0MK516icV4ZdQqykON7DZistM5Xd5LbRSh6q8b%2B%2BaeKE%3D</t>
  </si>
  <si>
    <t>313590</t>
  </si>
  <si>
    <t>Web_68</t>
  </si>
  <si>
    <t>Nisse</t>
  </si>
  <si>
    <t>Lyard</t>
  </si>
  <si>
    <t>24-12-1967</t>
  </si>
  <si>
    <t>UAT-Web-Auth68@mailinator.com</t>
  </si>
  <si>
    <t>208008068</t>
  </si>
  <si>
    <t>20-8008068</t>
  </si>
  <si>
    <t>8 Rieder Circle</t>
  </si>
  <si>
    <t>https://ss-uat.dev-anpost.com/your-savings/register/create-password?token=m6uTa0YuQ45LrGc28LFEEOxZJBlsINTXv9AMIDzIGfR%2F9aC8irRW7%2FdyKgfsyIjNxG%2BWM78Clyi9VLl0oES%2BjizIs0JEZ6WsqJ57%2B8CVCCs%3D</t>
  </si>
  <si>
    <t>698701</t>
  </si>
  <si>
    <t>Web_69</t>
  </si>
  <si>
    <t>Artemas</t>
  </si>
  <si>
    <t>Blackaller</t>
  </si>
  <si>
    <t>01-03-1968</t>
  </si>
  <si>
    <t>UAT-Web-Auth69@mailinator.com</t>
  </si>
  <si>
    <t>208008069</t>
  </si>
  <si>
    <t>20-8008069</t>
  </si>
  <si>
    <t>11201 Crest Line Plaza</t>
  </si>
  <si>
    <t>https://ss-uat.dev-anpost.com/your-savings/register/create-password?token=Ll5HN4NWO%2FCju810%2BKjQohpkbqPiFCDfDw62NZNcgMWH6wNfghXGLD9M35kZ1jLxcGD%2BzS6IfZ%2FJriHn5wwTzZTJbCSydoYrEfPrqRpYJDA%3D</t>
  </si>
  <si>
    <t>017309</t>
  </si>
  <si>
    <t>Tucky</t>
  </si>
  <si>
    <t>Buddington</t>
  </si>
  <si>
    <t>03-08-1940</t>
  </si>
  <si>
    <t>208008070</t>
  </si>
  <si>
    <t>20-8008070</t>
  </si>
  <si>
    <t>20 Autumn Leaf Crossing</t>
  </si>
  <si>
    <t>Mallow</t>
  </si>
  <si>
    <t>https://ss-uat.dev-anpost.com/your-savings/register/create-password?token=3tBKxKJnl6MJeJCkomCVJUSkEK9qH42MCPBCPjHId0q8B%2B1%2BGou3d8bE429rV%2FBPlKxOKurzudo3RldEk%2BGJX5JI2P5bXigeoGIIJ7FjzVc%3D</t>
  </si>
  <si>
    <t>940345</t>
  </si>
  <si>
    <t>Lotti</t>
  </si>
  <si>
    <t>Jeavons</t>
  </si>
  <si>
    <t>06-12-1958</t>
  </si>
  <si>
    <t>UAT-Web-Auth71@mailinator.com</t>
  </si>
  <si>
    <t>208008071</t>
  </si>
  <si>
    <t>20-8008071</t>
  </si>
  <si>
    <t>9595 Daystar Junction</t>
  </si>
  <si>
    <t>https://ss-uat.dev-anpost.com/your-savings/register/create-password?token=e6OA9YCRvV6PShCdlcZH7WxOJpkys3exZGhrbJZz%2B6%2Fe0x4RbNGBDlexA5odarF92fx4K4jBjRXsIS8%2FnZVQScR9btvbGGNS0fg1s408T0g%3D</t>
  </si>
  <si>
    <t>236870</t>
  </si>
  <si>
    <t>Molly</t>
  </si>
  <si>
    <t>Southerden</t>
  </si>
  <si>
    <t>UAT-Web-Auth72@mailinator.com</t>
  </si>
  <si>
    <t>208008072</t>
  </si>
  <si>
    <t>20-8008072</t>
  </si>
  <si>
    <t>1446 Menomonie Hill</t>
  </si>
  <si>
    <t>Web_73</t>
  </si>
  <si>
    <t>Hobey</t>
  </si>
  <si>
    <t>Jellyman</t>
  </si>
  <si>
    <t>12-12-1955</t>
  </si>
  <si>
    <t>UAT-Web-Auth73@mailinator.com</t>
  </si>
  <si>
    <t>208008073</t>
  </si>
  <si>
    <t>20-8008073</t>
  </si>
  <si>
    <t>5 Westport Park</t>
  </si>
  <si>
    <t>Web_UAT</t>
  </si>
  <si>
    <t>SIRENS</t>
  </si>
  <si>
    <t>BARTON</t>
  </si>
  <si>
    <t>06-06-1970</t>
  </si>
  <si>
    <t>Perf-Test-User-10016@mailinator.com</t>
  </si>
  <si>
    <t>720379</t>
  </si>
  <si>
    <t>208010016</t>
  </si>
  <si>
    <t>20-8010016</t>
  </si>
  <si>
    <t>58734 BOYD PARK</t>
  </si>
  <si>
    <t>UAT_2</t>
  </si>
  <si>
    <t>242598234</t>
  </si>
  <si>
    <t>MERRITT</t>
  </si>
  <si>
    <t>HELENA</t>
  </si>
  <si>
    <t>Perf-Test-User-10023@mailinator.com</t>
  </si>
  <si>
    <t>208010023</t>
  </si>
  <si>
    <t>20-8010023</t>
  </si>
  <si>
    <t>SSCN_Incorrect</t>
  </si>
  <si>
    <t>Email_Invalid</t>
  </si>
  <si>
    <t>Perf-Test-User-10217</t>
  </si>
  <si>
    <t>Email_MisMatch</t>
  </si>
  <si>
    <t>Perf-Test-User-10218@mailinator.com</t>
  </si>
  <si>
    <t>Mobile_Number_Blank</t>
  </si>
  <si>
    <t/>
  </si>
  <si>
    <t>TC12</t>
  </si>
  <si>
    <t>JONELL</t>
  </si>
  <si>
    <t>MCBEAN</t>
  </si>
  <si>
    <t>UAT-WF-User27@mailinator.com</t>
  </si>
  <si>
    <t>236709</t>
  </si>
  <si>
    <t>20-8030027</t>
  </si>
  <si>
    <t>59 SPAIGHT CROSSING</t>
  </si>
  <si>
    <t>NEWCASTLE WEST</t>
  </si>
  <si>
    <t>PIN_Reissue_Request_Exceeded</t>
  </si>
  <si>
    <t>NOAH</t>
  </si>
  <si>
    <t>SIPSON</t>
  </si>
  <si>
    <t>03-12-1977</t>
  </si>
  <si>
    <t>UAT-WF-Use34@mailinator.com</t>
  </si>
  <si>
    <t>20-8030034</t>
  </si>
  <si>
    <t>99 LA FOLLETTE JUNCTION</t>
  </si>
  <si>
    <t>LAYTOWN</t>
  </si>
  <si>
    <t>Password_Requirement_Not_Matched</t>
  </si>
  <si>
    <t>Dummy2021</t>
  </si>
  <si>
    <t>OTP_Blank</t>
  </si>
  <si>
    <t>OTP_Incorrect</t>
  </si>
  <si>
    <t>Incorrect</t>
  </si>
  <si>
    <t>OTP_LessThan6</t>
  </si>
  <si>
    <t>LessThan6</t>
  </si>
  <si>
    <t>OTP_Expired</t>
  </si>
  <si>
    <t>Expired_Pin</t>
  </si>
  <si>
    <t>SYDNEY</t>
  </si>
  <si>
    <t>SERVIS</t>
  </si>
  <si>
    <t>05-10-1958</t>
  </si>
  <si>
    <t>Perf-Test-User-112807@mailinator.com</t>
  </si>
  <si>
    <t>035510</t>
  </si>
  <si>
    <t>Dummy!2023</t>
  </si>
  <si>
    <t>20-8010894</t>
  </si>
  <si>
    <t>47670 Melody Center</t>
  </si>
  <si>
    <t>NoPBPortfolio</t>
  </si>
  <si>
    <t>Perf-Test-User-9916@mailinator.com</t>
  </si>
  <si>
    <t>020-8009916</t>
  </si>
  <si>
    <t>Incorrect Verification Code Length</t>
  </si>
  <si>
    <t>TC65</t>
  </si>
  <si>
    <t>TC66</t>
  </si>
  <si>
    <t>TC67</t>
  </si>
  <si>
    <t>TC62</t>
  </si>
  <si>
    <t>TC63</t>
  </si>
  <si>
    <t>TC70</t>
  </si>
  <si>
    <t>TC71</t>
  </si>
  <si>
    <t>TC37</t>
  </si>
  <si>
    <t>TC38</t>
  </si>
  <si>
    <t>TC31</t>
  </si>
  <si>
    <t>TC32</t>
  </si>
  <si>
    <t>TC33</t>
  </si>
  <si>
    <t>TC34</t>
  </si>
  <si>
    <t>TC35</t>
  </si>
  <si>
    <t>TC36</t>
  </si>
  <si>
    <t>TC40</t>
  </si>
  <si>
    <t>TC41</t>
  </si>
  <si>
    <t>TC42</t>
  </si>
  <si>
    <t>TC72</t>
  </si>
  <si>
    <t>NewTC_1</t>
  </si>
  <si>
    <t>NewTC_2</t>
  </si>
  <si>
    <t>NewTC_10</t>
  </si>
  <si>
    <t>NewTC_6</t>
  </si>
  <si>
    <t>TC24</t>
  </si>
  <si>
    <t>TC105</t>
  </si>
  <si>
    <t>TC249</t>
  </si>
  <si>
    <t>TC260</t>
  </si>
  <si>
    <t>TC267</t>
  </si>
  <si>
    <t>TC276</t>
  </si>
  <si>
    <t>TC283</t>
  </si>
  <si>
    <t>TC286</t>
  </si>
  <si>
    <t>TC305</t>
  </si>
  <si>
    <t>TC47</t>
  </si>
  <si>
    <t>TC300</t>
  </si>
  <si>
    <t>TC333</t>
  </si>
  <si>
    <t>TC317</t>
  </si>
  <si>
    <t>TC323</t>
  </si>
  <si>
    <t>TC324</t>
  </si>
  <si>
    <t>TC329</t>
  </si>
  <si>
    <t>TC255</t>
  </si>
  <si>
    <t>TC269</t>
  </si>
  <si>
    <t>TC288</t>
  </si>
  <si>
    <t>TC289</t>
  </si>
  <si>
    <t>TC291</t>
  </si>
  <si>
    <t>TC296</t>
  </si>
  <si>
    <t>TC1</t>
  </si>
  <si>
    <t>TC2</t>
  </si>
  <si>
    <t>TC3</t>
  </si>
  <si>
    <t>TC4</t>
  </si>
  <si>
    <t>TC5</t>
  </si>
  <si>
    <t>TC6</t>
  </si>
  <si>
    <t>TC8</t>
  </si>
  <si>
    <t>TC21</t>
  </si>
  <si>
    <t>TC22</t>
  </si>
  <si>
    <t>TC23</t>
  </si>
  <si>
    <t>TC25</t>
  </si>
  <si>
    <t>TC26</t>
  </si>
  <si>
    <t>TC27</t>
  </si>
  <si>
    <t>TC28</t>
  </si>
  <si>
    <t>TC48</t>
  </si>
  <si>
    <t>TC115</t>
  </si>
  <si>
    <t>TC116</t>
  </si>
  <si>
    <t>TC120</t>
  </si>
  <si>
    <t>TC122</t>
  </si>
  <si>
    <t>TC123</t>
  </si>
  <si>
    <t>TC126</t>
  </si>
  <si>
    <t>TC127</t>
  </si>
  <si>
    <t>TC128</t>
  </si>
  <si>
    <t>TC129</t>
  </si>
  <si>
    <t>NewTC_7</t>
  </si>
  <si>
    <t>TC76</t>
  </si>
  <si>
    <t>TC332</t>
  </si>
  <si>
    <t>TC251</t>
  </si>
  <si>
    <t>TC252</t>
  </si>
  <si>
    <t>TC264</t>
  </si>
  <si>
    <t>TC13</t>
  </si>
  <si>
    <t>TC118</t>
  </si>
  <si>
    <t>TC117</t>
  </si>
  <si>
    <t>TC43</t>
  </si>
  <si>
    <t>TC45</t>
  </si>
  <si>
    <t>TC53</t>
  </si>
  <si>
    <t>TC68</t>
  </si>
  <si>
    <t>TC52</t>
  </si>
  <si>
    <t>TC54</t>
  </si>
  <si>
    <t>TC124</t>
  </si>
  <si>
    <t>3500006248</t>
  </si>
  <si>
    <t>2320042938</t>
  </si>
  <si>
    <t>2107081328</t>
  </si>
  <si>
    <t>4202600681</t>
  </si>
  <si>
    <t>51139993</t>
  </si>
  <si>
    <t>4100949537</t>
  </si>
  <si>
    <t>TC1_NV</t>
  </si>
  <si>
    <t>020-8030000</t>
  </si>
  <si>
    <t>TC2_NV</t>
  </si>
  <si>
    <t>TC12_NV</t>
  </si>
  <si>
    <t>TC57_NV</t>
  </si>
  <si>
    <t>TC16_NV</t>
  </si>
  <si>
    <t>TC17_NV</t>
  </si>
  <si>
    <t>TC10_NV</t>
  </si>
  <si>
    <t>TC14_NV</t>
  </si>
  <si>
    <t>TC41_NV</t>
  </si>
  <si>
    <t>TC26_NV</t>
  </si>
  <si>
    <t>TC43_NV_NSB4</t>
  </si>
  <si>
    <t>TC43_NV_NSB10</t>
  </si>
  <si>
    <t>TC3_NV</t>
  </si>
  <si>
    <t>TC7_NV_SB</t>
  </si>
  <si>
    <t>TC20_NV</t>
  </si>
  <si>
    <t>TC7_NV_SC</t>
  </si>
  <si>
    <t>TC52_NV</t>
  </si>
  <si>
    <t>TC51</t>
  </si>
  <si>
    <t>TC_21_PB</t>
  </si>
  <si>
    <t>TC_21_Pbcheck</t>
  </si>
  <si>
    <t>TC28_ForgotPassword</t>
  </si>
  <si>
    <t>TC48_ReinvestSingle</t>
  </si>
  <si>
    <t>TC49_ReinvestNoIban</t>
  </si>
  <si>
    <t>TC58_AllocateToCash</t>
  </si>
  <si>
    <t>TC39_AddIban</t>
  </si>
  <si>
    <t>TC114_ChangeIbanError</t>
  </si>
  <si>
    <t>TC17_Blank</t>
  </si>
  <si>
    <t>TC18_SameEmail</t>
  </si>
  <si>
    <t>TC19_Invalid</t>
  </si>
  <si>
    <t>TC46_PBCashin</t>
  </si>
  <si>
    <t>TC55_Edit</t>
  </si>
  <si>
    <t>TC57_Multiple</t>
  </si>
  <si>
    <t>TC325(More Amount)</t>
  </si>
  <si>
    <t>TC47_Error</t>
  </si>
  <si>
    <t>TC47_Range</t>
  </si>
  <si>
    <t>TC30_AllProduct</t>
  </si>
  <si>
    <t>TC59 FullAmount</t>
  </si>
  <si>
    <t>SingleTC56</t>
  </si>
  <si>
    <t>2314369513</t>
  </si>
  <si>
    <t>TC50_ReinvestMultiple</t>
  </si>
  <si>
    <t>TC49</t>
  </si>
  <si>
    <t>Perf-Test-User-10178@mailinator.com</t>
  </si>
  <si>
    <t>020-8010172</t>
  </si>
  <si>
    <t>UAT-WF-User7@mailinator.com</t>
  </si>
  <si>
    <t>020-8030007</t>
  </si>
  <si>
    <t>4020040834</t>
  </si>
  <si>
    <t>TC119</t>
  </si>
  <si>
    <t>TC121_ECR</t>
  </si>
  <si>
    <t>HARTZOGS</t>
  </si>
  <si>
    <t>25-04-1989</t>
  </si>
  <si>
    <t>UATAUTO-WF-User39@mailinator.com</t>
  </si>
  <si>
    <t>29 DRYDEN CROSSING</t>
  </si>
  <si>
    <t>BIRR</t>
  </si>
  <si>
    <t>Mobile_Number_Incorrect_ECR</t>
  </si>
  <si>
    <t>SHANNA</t>
  </si>
  <si>
    <t>BANGS</t>
  </si>
  <si>
    <t>04-03-1963</t>
  </si>
  <si>
    <t>Perf-Test-User-10029@mailinator.com</t>
  </si>
  <si>
    <t>36926 NAMEKAGON ROAD</t>
  </si>
  <si>
    <t>Mobile_Number_MisMatch_ECR</t>
  </si>
  <si>
    <t>BEVERLEE</t>
  </si>
  <si>
    <t>EUL</t>
  </si>
  <si>
    <t>31-10-1984</t>
  </si>
  <si>
    <t>Perf-Test-User-9906@mailinator.com</t>
  </si>
  <si>
    <t>BALLAGHLEA</t>
  </si>
  <si>
    <t>BALLYGAR</t>
  </si>
  <si>
    <t>ROMANIA</t>
  </si>
  <si>
    <t>Mobile_Number_Prefix_ECR</t>
  </si>
  <si>
    <t>ROMOLA</t>
  </si>
  <si>
    <t>LAMBORNE</t>
  </si>
  <si>
    <t>02-04-1974</t>
  </si>
  <si>
    <t>Perf-Test-User-10268@mailinator.com</t>
  </si>
  <si>
    <t>86928 PORTAGE HILL</t>
  </si>
  <si>
    <t>STRANORLAR</t>
  </si>
  <si>
    <t>OTP_Blank_ECR</t>
  </si>
  <si>
    <t>OTP_Incorrect_ECR</t>
  </si>
  <si>
    <t>AVIGDOR</t>
  </si>
  <si>
    <t>BIRT</t>
  </si>
  <si>
    <t>24-06-1965</t>
  </si>
  <si>
    <t>Perf-Test-User-10313@mailinator.com</t>
  </si>
  <si>
    <t>27 SCHOOL PASS</t>
  </si>
  <si>
    <t>OTP_LessThan6_ECR</t>
  </si>
  <si>
    <t>BICHENER</t>
  </si>
  <si>
    <t>KEELBY</t>
  </si>
  <si>
    <t>10-09-1964</t>
  </si>
  <si>
    <t>UATAUTO-PT-User42@mailinator.com</t>
  </si>
  <si>
    <t>587 COLORADO LANE</t>
  </si>
  <si>
    <t>TC128_ECR</t>
  </si>
  <si>
    <t>CYNTHIE</t>
  </si>
  <si>
    <t>SHUTER</t>
  </si>
  <si>
    <t>11-12-1974</t>
  </si>
  <si>
    <t>UAT-WF-User49@mailinator.com</t>
  </si>
  <si>
    <t>89359 DECLARATION ROAD</t>
  </si>
  <si>
    <t>YOUGHAL</t>
  </si>
  <si>
    <t>TC29</t>
  </si>
  <si>
    <t>TC30</t>
  </si>
  <si>
    <t>TC39</t>
  </si>
  <si>
    <t>TC44</t>
  </si>
  <si>
    <t>TC9_NV</t>
  </si>
  <si>
    <t>2108262270</t>
  </si>
  <si>
    <t>TC14_NVCashin</t>
  </si>
  <si>
    <t>4101858659</t>
  </si>
  <si>
    <t>TC33_NV</t>
  </si>
  <si>
    <t>TC34_NV</t>
  </si>
  <si>
    <t>4100779496</t>
  </si>
  <si>
    <t>TC37_NV</t>
  </si>
  <si>
    <t>4202587600</t>
  </si>
  <si>
    <t>TC44_NV</t>
  </si>
  <si>
    <t>4202594541</t>
  </si>
  <si>
    <t>TC48_NV</t>
  </si>
  <si>
    <t>TC49_NV</t>
  </si>
  <si>
    <t>TC50_NV</t>
  </si>
  <si>
    <t>4202593499</t>
  </si>
  <si>
    <t>TC51_NV</t>
  </si>
  <si>
    <t>TC53_NV</t>
  </si>
  <si>
    <t>50439062</t>
  </si>
  <si>
    <t>50067908</t>
  </si>
  <si>
    <t>TC54_NV</t>
  </si>
  <si>
    <t>TC56_NV</t>
  </si>
  <si>
    <t>10520587</t>
  </si>
  <si>
    <t>4020034508</t>
  </si>
  <si>
    <t>Savings Bond</t>
  </si>
  <si>
    <t>TC4_NV</t>
  </si>
  <si>
    <t>TC8_NV</t>
  </si>
  <si>
    <t>3500009387</t>
  </si>
  <si>
    <t>TC11_NV</t>
  </si>
  <si>
    <t>2108347658</t>
  </si>
  <si>
    <t>2108196366</t>
  </si>
  <si>
    <t>TC13_NV</t>
  </si>
  <si>
    <t>TC18_NV</t>
  </si>
  <si>
    <t>TC27_NV</t>
  </si>
  <si>
    <t>TC253_EditCashIn</t>
  </si>
  <si>
    <t>4020040265</t>
  </si>
  <si>
    <t>100,200</t>
  </si>
  <si>
    <t>TC290_EditProdAndAmount</t>
  </si>
  <si>
    <t>4019693340</t>
  </si>
  <si>
    <t>4017237517</t>
  </si>
  <si>
    <t>TC306_Posb</t>
  </si>
  <si>
    <t>Savings Certificate - 5 Year,Deposit Account</t>
  </si>
  <si>
    <t>TC310_AllProduct</t>
  </si>
  <si>
    <t>4015880757</t>
  </si>
  <si>
    <t>Savings Bond - 3 Year,Savings Certificate - 5 Year,National Solidarity Bond - 10 Year,Deposit Account,Prize Bonds</t>
  </si>
  <si>
    <t>NewTC_1_Cash In</t>
  </si>
  <si>
    <t>50,50,50,50,50</t>
  </si>
  <si>
    <t>NewTC_4_PB</t>
  </si>
  <si>
    <t>TC70_MessageDisabled</t>
  </si>
  <si>
    <t>Perf-Test-User-10190@mailinator.com</t>
  </si>
  <si>
    <t>020-8010184</t>
  </si>
  <si>
    <t>217.08</t>
  </si>
  <si>
    <t>TC71_AlertDisabled</t>
  </si>
  <si>
    <t>NewTC11_BuynowDashboard</t>
  </si>
  <si>
    <t>4020039879</t>
  </si>
  <si>
    <t>TC318_InsufficientFund</t>
  </si>
  <si>
    <t>TC74_Slider</t>
  </si>
  <si>
    <t>Repayment-MoreThan</t>
  </si>
  <si>
    <t>4020040753</t>
  </si>
  <si>
    <t>0</t>
  </si>
  <si>
    <t>3500006639</t>
  </si>
  <si>
    <t>TC314_NSBReinvest</t>
  </si>
  <si>
    <t>4202589297</t>
  </si>
  <si>
    <t>TC292_Reinvest</t>
  </si>
  <si>
    <t>TC315_NSBCashIn</t>
  </si>
  <si>
    <t>TC316_NSBLessAmount</t>
  </si>
  <si>
    <t>20</t>
  </si>
  <si>
    <t>FT-NSB-below minimum purchase</t>
  </si>
  <si>
    <t>TC266_FTLessAmount</t>
  </si>
  <si>
    <t>105,50</t>
  </si>
  <si>
    <t>TC319_NSBReinvestMultipleLessAmount</t>
  </si>
  <si>
    <t>TC265_CashInLessAmount</t>
  </si>
  <si>
    <t>TC264_MoreThan</t>
  </si>
  <si>
    <t>21000000</t>
  </si>
  <si>
    <t>TC318_ReinvestCashInError</t>
  </si>
  <si>
    <t>20,300,20,200</t>
  </si>
  <si>
    <t>TC37_ReviewCheckbox</t>
  </si>
  <si>
    <t>You must tick the box to proceed.</t>
  </si>
  <si>
    <t>TickContent</t>
  </si>
  <si>
    <t>TC46_PBCashin_Error</t>
  </si>
  <si>
    <t>TC49_PBReinvest_Error</t>
  </si>
  <si>
    <t>TC50_PBReinvestInvalid_Error</t>
  </si>
  <si>
    <t>TC51_ReinvestBondRange</t>
  </si>
  <si>
    <t>TC52_ReinvestSingleProd</t>
  </si>
  <si>
    <t>PB FT-below minimum purchase</t>
  </si>
  <si>
    <t>TC53_ReinvestNoProduct</t>
  </si>
  <si>
    <t>TC54_ReinvestNoAmount</t>
  </si>
  <si>
    <t>TC55_ReinvestInvalidAmount</t>
  </si>
  <si>
    <t>TC56_ReinvestPosbAccNo</t>
  </si>
  <si>
    <t>TC57_ReinvestInvalidAccNo</t>
  </si>
  <si>
    <t>DA-No account number and Invalid amount error</t>
  </si>
  <si>
    <t>Please enter account number.,The minimum purchase value for this Ireland State Savings Product is €0.01.</t>
  </si>
  <si>
    <t>TC58_ReinvestNoAccNoInvalidAmount</t>
  </si>
  <si>
    <t>TC59_ReinvestPBNoAmount</t>
  </si>
  <si>
    <t>TC60_ReinvestPBInvalidAmount</t>
  </si>
  <si>
    <t>FT-below minimum purchase amount</t>
  </si>
  <si>
    <t>Please enter a valid SSCN or PPSN number</t>
  </si>
  <si>
    <t>EnterRandomSSCN</t>
  </si>
  <si>
    <t>We cannot match your details.</t>
  </si>
  <si>
    <t>PPSN</t>
  </si>
  <si>
    <t>PPSN_SSCN</t>
  </si>
  <si>
    <t>JointApplicantSCD-N</t>
  </si>
  <si>
    <t>InvalidSSCNJoint</t>
  </si>
  <si>
    <t>InvalidSSCNPrimaryJoint</t>
  </si>
  <si>
    <t>MinorDOB</t>
  </si>
  <si>
    <t>According to your Date of Birth you are under 18. Please download and complete the standard application form evidencing parental/guardian consent.</t>
  </si>
  <si>
    <t>InvalidEmail</t>
  </si>
  <si>
    <t>InvalidSSCN</t>
  </si>
  <si>
    <t>InvalidEmailPbGift</t>
  </si>
  <si>
    <t>SameApplicants</t>
  </si>
  <si>
    <t>First and Second Applicant details cannot be the same customer</t>
  </si>
  <si>
    <t>InvalidDOB</t>
  </si>
  <si>
    <t>Please enter a valid date of birth</t>
  </si>
  <si>
    <t>InvalidEmailPrimarySec</t>
  </si>
  <si>
    <t>PrepopulatedAmount</t>
  </si>
  <si>
    <t>Minimum: €50.00 Maximum: €120000.00</t>
  </si>
  <si>
    <t>SameApplicantsJoint</t>
  </si>
  <si>
    <t>SecInvalidDOB</t>
  </si>
  <si>
    <t>SecInvalidEmail</t>
  </si>
  <si>
    <t>PrepopulatedAmountJoint</t>
  </si>
  <si>
    <t>Minimum: €50.00 Maximum: €240000.00</t>
  </si>
  <si>
    <t>PBInvalidDOB</t>
  </si>
  <si>
    <t>InvalidDOBPBTwoHolders</t>
  </si>
  <si>
    <t>PBMiniMax</t>
  </si>
  <si>
    <t>Minimum: 4 Maximum: 40000</t>
  </si>
  <si>
    <t>Minimum: 4 Maximum: 80000</t>
  </si>
  <si>
    <t>PBMiniMaxJoint</t>
  </si>
  <si>
    <t>Perf-Test-User-10025@mailinator.com</t>
  </si>
  <si>
    <t>020-8010025</t>
  </si>
  <si>
    <t>Your Ireland State Savings Online service has been temporarily locked.,
There have been consecutive failed login attempts, so we have locked your service temporarily for your security. If you have forgotten your password, click ‘Forgot your password?’ on the Sign in screen.,
Please try again in 20 minutes,
Back to Sign in,
Help &amp; Support</t>
  </si>
  <si>
    <t>Invalid DOB</t>
  </si>
  <si>
    <t>00-01-1986,
01-00-1986,
01-08-0000,
29-2-2024,
32-01-1987,
01-13-1989</t>
  </si>
  <si>
    <t>UATAUTO-WF-User40@mailinator.com</t>
  </si>
  <si>
    <t>020-8030040</t>
  </si>
  <si>
    <t>UAT-NEW-Test-User10274@mailinator.com</t>
  </si>
  <si>
    <t>020-8010275</t>
  </si>
  <si>
    <t>ChangePasswordNoOTP</t>
  </si>
  <si>
    <t>Dummy!2011</t>
  </si>
  <si>
    <t>UAT-WF-User21@mailinator.com</t>
  </si>
  <si>
    <t>020-8030021</t>
  </si>
  <si>
    <t>00-01-1986,
01-13-1989
01-00-1986,
32-01-1987,
01-08-0000,
29-2-2024</t>
  </si>
  <si>
    <t>TC30_ECR</t>
  </si>
  <si>
    <t>KRIS</t>
  </si>
  <si>
    <t>FISHLY</t>
  </si>
  <si>
    <t>03-01-1994</t>
  </si>
  <si>
    <t>Perf-Test-User-10198@mailinator.com</t>
  </si>
  <si>
    <t>325471</t>
  </si>
  <si>
    <t>3 SOUTH TERRACE</t>
  </si>
  <si>
    <t>KINSALE</t>
  </si>
  <si>
    <t>THEKLA</t>
  </si>
  <si>
    <t>IWANOWICZ</t>
  </si>
  <si>
    <t>TC338_ECR</t>
  </si>
  <si>
    <t>UAT-Target-Regression-9058@mailinator.com</t>
  </si>
  <si>
    <t>9157 KINSMAN COURT</t>
  </si>
  <si>
    <t>20-8009058</t>
  </si>
  <si>
    <t>108</t>
  </si>
  <si>
    <t>TC288_LessAmount</t>
  </si>
  <si>
    <t>n</t>
  </si>
  <si>
    <t>4019668591</t>
  </si>
  <si>
    <t>Dummy!2027</t>
  </si>
  <si>
    <t>3500019251</t>
  </si>
  <si>
    <t>UAT-WF-User47@mailinator.com</t>
  </si>
  <si>
    <t>020-8030047</t>
  </si>
  <si>
    <t>UAT-Target-Regression-9060@mailinator.com</t>
  </si>
  <si>
    <t>020-8009060</t>
  </si>
  <si>
    <t>Perf-Test-User-10189@mailinator.com</t>
  </si>
  <si>
    <t>020-8010183</t>
  </si>
  <si>
    <t>Perf-Test-User-9962@mailinator.com</t>
  </si>
  <si>
    <t>020-8009962</t>
  </si>
  <si>
    <t>UAT-Web-Auth72</t>
  </si>
  <si>
    <t>03-10-1973</t>
  </si>
  <si>
    <t>TC117Invalid</t>
  </si>
  <si>
    <t>TC118Invalid</t>
  </si>
  <si>
    <t>UAT-Web-Auth70</t>
  </si>
  <si>
    <t>TC116Blank</t>
  </si>
  <si>
    <t>TC120Incorrect</t>
  </si>
  <si>
    <t>Mobile_Number_Blank1</t>
  </si>
  <si>
    <t>9938123456</t>
  </si>
  <si>
    <t>Mobile_Number_Incorrect1</t>
  </si>
  <si>
    <t>Mobile_Number_MisMatch1</t>
  </si>
  <si>
    <t>208010211</t>
  </si>
  <si>
    <t>208010212</t>
  </si>
  <si>
    <t>TC126Invalid</t>
  </si>
  <si>
    <t>Perf-Test-User-9905@mailinator.com</t>
  </si>
  <si>
    <t>020-8009905</t>
  </si>
  <si>
    <t>Perf-Test-User-9948@mailinator.com</t>
  </si>
  <si>
    <t>020-8009948</t>
  </si>
  <si>
    <t>44.45</t>
  </si>
  <si>
    <t>020-8009906</t>
  </si>
  <si>
    <t>70</t>
  </si>
  <si>
    <t>DigReg_1</t>
  </si>
  <si>
    <t>Michal</t>
  </si>
  <si>
    <t>27-08-1998</t>
  </si>
  <si>
    <t>Perf-Test-User-9953@mailinator.com</t>
  </si>
  <si>
    <t>20-8009953</t>
  </si>
  <si>
    <t>Digital</t>
  </si>
  <si>
    <t>Cowley</t>
  </si>
  <si>
    <t>TC_31_PendingTrans</t>
  </si>
  <si>
    <t>14140,14140</t>
  </si>
  <si>
    <t>4019663530</t>
  </si>
  <si>
    <t>TC_31_PendingTrans_1</t>
  </si>
  <si>
    <t>25419.68,25419.68</t>
  </si>
  <si>
    <t>TC_02_PendingTrans</t>
  </si>
  <si>
    <t>4015556089</t>
  </si>
  <si>
    <t>TC_02_PendingTrans_1</t>
  </si>
  <si>
    <t>TC_04_PendingTrans</t>
  </si>
  <si>
    <t>4020040222</t>
  </si>
  <si>
    <t>TC_04_PendingTrans_1</t>
  </si>
  <si>
    <t>4020040231</t>
  </si>
  <si>
    <t>TC_07_PendingTrans</t>
  </si>
  <si>
    <t>4019291080</t>
  </si>
  <si>
    <t>TC_07_PendingTrans_1</t>
  </si>
  <si>
    <t>4019292833</t>
  </si>
  <si>
    <t>81.46</t>
  </si>
  <si>
    <t>Mobile_Number_Incorrect_ECRNew</t>
  </si>
  <si>
    <t>NewTC_4_PBFull</t>
  </si>
  <si>
    <t>9680.00</t>
  </si>
  <si>
    <t>2313145042</t>
  </si>
  <si>
    <t>Perf-Test-User-8811@mailinator.com</t>
  </si>
  <si>
    <t>020-8010999</t>
  </si>
  <si>
    <t>TestDataECRUser1@mailinator.com</t>
  </si>
  <si>
    <t>020-8030101</t>
  </si>
  <si>
    <t>Perf-Test-User-10296@mailinator.com</t>
  </si>
  <si>
    <t>CE-AlreadyRegistered_PP</t>
  </si>
  <si>
    <t>2314490738</t>
  </si>
  <si>
    <t>4200796660</t>
  </si>
  <si>
    <t>020-8011138</t>
  </si>
  <si>
    <t>Perf-Test-UserUAT-38@mailinator.com</t>
  </si>
  <si>
    <t>50,50,50,50,50,5800</t>
  </si>
  <si>
    <t>2314503261</t>
  </si>
  <si>
    <t>4020023905</t>
  </si>
  <si>
    <t>Dummy!2018</t>
  </si>
  <si>
    <t>UAT-WF-User22@mailinator.com</t>
  </si>
  <si>
    <t>020-8030022</t>
  </si>
  <si>
    <t>4019831181</t>
  </si>
  <si>
    <t>260,200</t>
  </si>
  <si>
    <t>Dummy!2033</t>
  </si>
  <si>
    <t>Mobile_Number_MisMatch_ECRNew</t>
  </si>
  <si>
    <t>Mobile_Number_BlankECR</t>
  </si>
  <si>
    <t>Mobile_Number_MisMatch_ECRNewO</t>
  </si>
  <si>
    <t>208008233</t>
  </si>
  <si>
    <t xml:space="preserve"> </t>
  </si>
  <si>
    <t>4019293121</t>
  </si>
  <si>
    <t>TestCaseName</t>
  </si>
  <si>
    <t>Entrypoint</t>
  </si>
  <si>
    <t>Aml_Indicator</t>
  </si>
  <si>
    <t>PB_Holder_Joint</t>
  </si>
  <si>
    <t>Source of Funds</t>
  </si>
  <si>
    <t>Purpose of Account</t>
  </si>
  <si>
    <t>Firstname</t>
  </si>
  <si>
    <t>Surname</t>
  </si>
  <si>
    <t>Surname2</t>
  </si>
  <si>
    <t>DOB2</t>
  </si>
  <si>
    <t>SSCN2</t>
  </si>
  <si>
    <t>PB_Holder_Fname</t>
  </si>
  <si>
    <t>PB_Holder_Surname</t>
  </si>
  <si>
    <t>PB_Holder_Address</t>
  </si>
  <si>
    <t>PB_Holder_Fname2</t>
  </si>
  <si>
    <t>PB_Holder_Surname2</t>
  </si>
  <si>
    <t>Address</t>
  </si>
  <si>
    <t>Email</t>
  </si>
  <si>
    <t>Email2</t>
  </si>
  <si>
    <t>Mobilenumber</t>
  </si>
  <si>
    <t>CDE</t>
  </si>
  <si>
    <t>Paymnt_Details</t>
  </si>
  <si>
    <t>Carousel</t>
  </si>
  <si>
    <t>Savings Bonds</t>
  </si>
  <si>
    <t>Guest</t>
  </si>
  <si>
    <t>Y</t>
  </si>
  <si>
    <t>Charity / Fund Raising</t>
  </si>
  <si>
    <t>Savings</t>
  </si>
  <si>
    <t>Automation Test,4539791001730106,1226,000,BROCKY,BILLSON,1 HANSON AVENUE,ENNIS,UAT-WF-User28@mailinator.com</t>
  </si>
  <si>
    <t>CDE-N</t>
  </si>
  <si>
    <t>Perf-Test-User-112801@mailinator.com</t>
  </si>
  <si>
    <t>242597653</t>
  </si>
  <si>
    <t>020-8010888</t>
  </si>
  <si>
    <t>OurProducts</t>
  </si>
  <si>
    <t>Gambling Winnings</t>
  </si>
  <si>
    <t>Perf-Test-User-10208@mailinator.com</t>
  </si>
  <si>
    <t>242597947</t>
  </si>
  <si>
    <t>TERRELLY</t>
  </si>
  <si>
    <t>National Solidarity Bonds,Savings Bonds,Savings Certificates</t>
  </si>
  <si>
    <t>Gift</t>
  </si>
  <si>
    <t>Rainy Day Account</t>
  </si>
  <si>
    <t>1000,2500,1500</t>
  </si>
  <si>
    <t>CDE-Y</t>
  </si>
  <si>
    <t>242597904</t>
  </si>
  <si>
    <t>HIDDERLEY</t>
  </si>
  <si>
    <t>Savings Bonds,Prize Bonds</t>
  </si>
  <si>
    <t>Inheritance</t>
  </si>
  <si>
    <t>Bills</t>
  </si>
  <si>
    <t>20000,100</t>
  </si>
  <si>
    <t>242597408</t>
  </si>
  <si>
    <t>SATTERTHWAITE</t>
  </si>
  <si>
    <t>Prize Bonds as a Gift</t>
  </si>
  <si>
    <t>Pension / Gov. / Welfare</t>
  </si>
  <si>
    <t>Jenifer</t>
  </si>
  <si>
    <t>Lopez</t>
  </si>
  <si>
    <t>Alan</t>
  </si>
  <si>
    <t>Walker</t>
  </si>
  <si>
    <t>6 Eliot Street,Downtown</t>
  </si>
  <si>
    <t>Dimitri</t>
  </si>
  <si>
    <t>Vegas</t>
  </si>
  <si>
    <t>62 downtown,loyola street</t>
  </si>
  <si>
    <t>National Solidarity Bonds,Prize Bonds as a Gift,Savings Bonds,Savings Certificates,Prize Bonds</t>
  </si>
  <si>
    <t>Proceeds of Sale</t>
  </si>
  <si>
    <t>Aisling</t>
  </si>
  <si>
    <t>Kelly</t>
  </si>
  <si>
    <t>9th Main Street,Green Estate</t>
  </si>
  <si>
    <t>TC7</t>
  </si>
  <si>
    <t>Prize Bonds,Prize Bonds as a Gift</t>
  </si>
  <si>
    <t>Property / Rental Inc</t>
  </si>
  <si>
    <t>Nenny</t>
  </si>
  <si>
    <t>Paul</t>
  </si>
  <si>
    <t>Savings Bonds,Prize Bonds as a Gift</t>
  </si>
  <si>
    <t>Salary</t>
  </si>
  <si>
    <t>20000,8</t>
  </si>
  <si>
    <t>TC9</t>
  </si>
  <si>
    <t>N</t>
  </si>
  <si>
    <t>Afghanistan,Afghanistan,Full Time Employee,Accountant / Solicitor,17771</t>
  </si>
  <si>
    <t>Åland Islands,Åland Islands,Homemaker,Adult Entertainment,25393</t>
  </si>
  <si>
    <t>TC14</t>
  </si>
  <si>
    <t>Albania,Albania,Part Time Employee,Agriculture,36884</t>
  </si>
  <si>
    <t>TC15</t>
  </si>
  <si>
    <t>Algeria,Algeria,Retired,Arms Related,21605</t>
  </si>
  <si>
    <t>TC16</t>
  </si>
  <si>
    <t>American Samoa,American Samoa,Self Employed,Aviation Leasing,14443</t>
  </si>
  <si>
    <t>TC17</t>
  </si>
  <si>
    <t>Andorra,Andorra,Student,Bureau de Change,38846</t>
  </si>
  <si>
    <t>TC18</t>
  </si>
  <si>
    <t>4 Eliot Street,Downtown</t>
  </si>
  <si>
    <t>Angola,Angola,Unemployed,Charity - Registered,53939</t>
  </si>
  <si>
    <t>TC19</t>
  </si>
  <si>
    <t>5 Eliot Street,Downtown</t>
  </si>
  <si>
    <t>Anguilla,Anguilla,Full Time Employee,Charity - Registered Overseas,19895</t>
  </si>
  <si>
    <t>TC20</t>
  </si>
  <si>
    <t>Antarctica,Antarctica,Homemaker,Charity - Unregistered,14629</t>
  </si>
  <si>
    <t>7 Eliot Street,Downtown</t>
  </si>
  <si>
    <t>Antigua &amp; Barbuda,Antigua &amp; Barbuda,Part Time Employee,Construction Industry / Builders Providers,30326</t>
  </si>
  <si>
    <t>8 Eliot Street,Downtown</t>
  </si>
  <si>
    <t>Argentina,Argentina,Retired,Cultural and Sporting Organisations,25786</t>
  </si>
  <si>
    <t>SignIn</t>
  </si>
  <si>
    <t>Like</t>
  </si>
  <si>
    <t>Mike</t>
  </si>
  <si>
    <t>Armenia,Armenia,Self Employed,Delivery / Storage Services,48392</t>
  </si>
  <si>
    <t>Aruba,Aruba,Student,Doctor / Dentist,29986</t>
  </si>
  <si>
    <t>Australia,Australia,Unemployed,Education,30824</t>
  </si>
  <si>
    <t>Austria,Austria,Full Time Employee,Embassy / Consular Services,19007</t>
  </si>
  <si>
    <t>Azerbaijan,Azerbaijan,Homemaker,Energy and Water Supply,26972</t>
  </si>
  <si>
    <t>Bahamas,Bahamas,Part Time Employee,Engineering Services,16457</t>
  </si>
  <si>
    <t>Bahrain,Bahrain,Retired,Estate Agents and Auctioneers,14644</t>
  </si>
  <si>
    <t>Bangladesh,Bangladesh,Self Employed,Financial - Banking / Insurance,46991</t>
  </si>
  <si>
    <t>Barbados,Barbados,Student,Financial - Debt Collection / Factoring,50904</t>
  </si>
  <si>
    <t>Belarus,Belarus,Unemployed,Financial - Fund Management,48918</t>
  </si>
  <si>
    <t>Belgium,Belgium,Full Time Employee,Financial - Money Lenders,56662</t>
  </si>
  <si>
    <t>SignInJoint</t>
  </si>
  <si>
    <t>Y,Y</t>
  </si>
  <si>
    <t>TC46</t>
  </si>
  <si>
    <t>TC50</t>
  </si>
  <si>
    <t>N,N</t>
  </si>
  <si>
    <t>Ghana,Ghana,Part Time Employee,Energy and Water Supply,Gibraltar,Gibraltar,Retired,Engineering Services,58163,15346</t>
  </si>
  <si>
    <t>TC55</t>
  </si>
  <si>
    <t>Greece,Greece,Self Employed,Estate Agents and Auctioneers,Greenland,Greenland,Student,Financial - Banking / Insurance,29288,21218</t>
  </si>
  <si>
    <t>TC56</t>
  </si>
  <si>
    <t>Grenada,Grenada,Unemployed,Financial - Debt Collection / Factoring,Guadeloupe,Guadeloupe,Full Time Employee,Financial - Fund Management,57865,24662</t>
  </si>
  <si>
    <t>TC57</t>
  </si>
  <si>
    <t>Guam,Guam,Homemaker,Financial - Money Lenders,Guatemala,Guatemala,Part Time Employee,Financial - Money Services Businesses,14635,23250</t>
  </si>
  <si>
    <t>TC58</t>
  </si>
  <si>
    <t>Guernsey,Guernsey,Retired,Financial - Mortgage and Deposit Intermediaries,Guinea,Guinea,Self Employed,Financial - Pay Day Loans,24725,37498</t>
  </si>
  <si>
    <t>TC59</t>
  </si>
  <si>
    <t>Guinea-Bissau,Guinea-Bissau,Student,Financial - Retail Credit Firms,Guyana,Guyana,Unemployed,Fishing and Forestry ,11737,38495</t>
  </si>
  <si>
    <t>TC60</t>
  </si>
  <si>
    <t>Haiti,Haiti,Full Time Employee,Freight and Haulage ,Heard &amp; McDonald Islands,Heard &amp; McDonald Islands,Homemaker,Fuel Distributors / Retailers,13004,49343</t>
  </si>
  <si>
    <t>TC61</t>
  </si>
  <si>
    <t>Honduras,Honduras,Part Time Employee,Gambling - Casinos &amp; Gaming,Hong Kong SAR China,Hong Kong SAR China,Retired,Gambling - Online Gambling &amp; Betting,31965,37747</t>
  </si>
  <si>
    <t>Hungary,Hungary,Self Employed,Garda and Defence Forces,Iceland,Iceland,Student,Gold Jewellery Recycling,42888,28850</t>
  </si>
  <si>
    <t>Y,N</t>
  </si>
  <si>
    <t>Belize,Belize,Homemaker,Financial - Money Services Businesses,28152</t>
  </si>
  <si>
    <t>TC64</t>
  </si>
  <si>
    <t>Benin,Benin,Part Time Employee,Financial - Mortgage and Deposit Intermediaries,56609</t>
  </si>
  <si>
    <t>Bermuda,Bermuda,Retired,Financial - Pay Day Loans,11936</t>
  </si>
  <si>
    <t>Bhutan,Bhutan,Self Employed,Financial - Retail Credit Firms,30917</t>
  </si>
  <si>
    <t>Bolivia,Bolivia,Student,Fishing and Forestry ,15102</t>
  </si>
  <si>
    <t>Bosnia &amp; Herzegovina,Bosnia &amp; Herzegovina,Unemployed,Freight and Haulage ,45482</t>
  </si>
  <si>
    <t>TC69</t>
  </si>
  <si>
    <t>Botswana,Botswana,Full Time Employee,Fuel Distributors / Retailers,20424</t>
  </si>
  <si>
    <t>Bouvet Island,Bouvet Island,Homemaker,Gambling - Casinos &amp; Gaming,48892</t>
  </si>
  <si>
    <t>Brazil,Brazil,Part Time Employee,Gambling - Online Gambling &amp; Betting,12873</t>
  </si>
  <si>
    <t>N,Y</t>
  </si>
  <si>
    <t>British Indian Ocean Territory,British Indian Ocean Territory,Retired,Garda and Defence Forces,55640</t>
  </si>
  <si>
    <t>TC73</t>
  </si>
  <si>
    <t>British Virgin Islands,British Virgin Islands,Self Employed,Gold Jewellery Recycling,20262</t>
  </si>
  <si>
    <t>TC74</t>
  </si>
  <si>
    <t>Brunei,Brunei,Student,Goods Import / Export Co,50651</t>
  </si>
  <si>
    <t>TC75</t>
  </si>
  <si>
    <t>Bulgaria,Bulgaria,Unemployed,Government (Central and Local),53877</t>
  </si>
  <si>
    <t>Burkina Faso,Burkina Faso,Full Time Employee,Green Energy / Environmental Services,34532</t>
  </si>
  <si>
    <t>TC77</t>
  </si>
  <si>
    <t>Burundi,Burundi,Homemaker,Health Services,26602</t>
  </si>
  <si>
    <t>TC78</t>
  </si>
  <si>
    <t>Cambodia,Cambodia,Part Time Employee,Homemaker,21761</t>
  </si>
  <si>
    <t>TC79</t>
  </si>
  <si>
    <t>Cameroon,Cameroon,Retired,Hotels and Restaurants,36063</t>
  </si>
  <si>
    <t>TC80</t>
  </si>
  <si>
    <t>Canada,Canada,Self Employed,Health Services,54176</t>
  </si>
  <si>
    <t>TC81</t>
  </si>
  <si>
    <t>GuestJoint</t>
  </si>
  <si>
    <t>TC82</t>
  </si>
  <si>
    <t>TC83</t>
  </si>
  <si>
    <t>TC84</t>
  </si>
  <si>
    <t>TC85</t>
  </si>
  <si>
    <t>TC86</t>
  </si>
  <si>
    <t>TC87</t>
  </si>
  <si>
    <t>TC88</t>
  </si>
  <si>
    <t>TC89</t>
  </si>
  <si>
    <t>TC90</t>
  </si>
  <si>
    <t>India,India,Unemployed,Goods Import / Export Co,Indonesia,Indonesia,Full Time Employee,Government (Central and Local),34098,27652</t>
  </si>
  <si>
    <t>TC91</t>
  </si>
  <si>
    <t>Iran,Iran,Homemaker,Green Energy / Environmental Services,Iraq,Iraq,Part Time Employee,Health Services,59073,11876</t>
  </si>
  <si>
    <t>TC92</t>
  </si>
  <si>
    <t>Ireland,Ireland,Retired,Homemaker,Isle of Man,Isle of Man,Self Employed,Hotels and Restaurants,28002,19189</t>
  </si>
  <si>
    <t>TC93</t>
  </si>
  <si>
    <t>Israel,Israel,Student,Health Services,Italy,Italy,Unemployed,Jewellers / Fine Art Auctioneers ,14032,22500</t>
  </si>
  <si>
    <t>TC94</t>
  </si>
  <si>
    <t>Jamaica,Jamaica,Full Time Employee,Pharmaceuticals,Japan,Japan,Homemaker,Manufacturing / Fabrication,17009,50633</t>
  </si>
  <si>
    <t>TC95</t>
  </si>
  <si>
    <t>Jersey,Jersey,Part Time Employee,Marketing,Jordan,Jordan,Retired,Pubs and Off-Licences,52028,50770</t>
  </si>
  <si>
    <t>TC96</t>
  </si>
  <si>
    <t>Kazakhstan,Kazakhstan,Self Employed,Mining, Quarrying, Oil and Logging,Kenya,Kenya,Student,Motor Vehicle Distribution, Sales and Repairs ,44165,47439</t>
  </si>
  <si>
    <t>TC97</t>
  </si>
  <si>
    <t>Kiribati,Kiribati,Unemployed,Non-for-Profit Organisations,Kosovo,Kosovo,Full Time Employee,Other High Risk Industry,37484,34237</t>
  </si>
  <si>
    <t>TC98</t>
  </si>
  <si>
    <t>Kuwait,Kuwait,Homemaker,Pawn Broker,Kyrgyzstan,Kyrgyzstan,Part Time Employee,Pharmaceuticals ,34288,59877</t>
  </si>
  <si>
    <t>TC99</t>
  </si>
  <si>
    <t>Cape Verde,Cape Verde,Student,Jewellers / Fine Art Auctioneers ,37748</t>
  </si>
  <si>
    <t>TC100</t>
  </si>
  <si>
    <t>Caribbean Netherlands,Caribbean Netherlands,Unemployed,Pharmaceuticals,39250</t>
  </si>
  <si>
    <t>TC101</t>
  </si>
  <si>
    <t>Cayman Islands,Cayman Islands,Full Time Employee,Manufacturing / Fabrication,10347</t>
  </si>
  <si>
    <t>TC102</t>
  </si>
  <si>
    <t>Central African Republic,Central African Republic,Homemaker,Marketing,30246</t>
  </si>
  <si>
    <t>TC103</t>
  </si>
  <si>
    <t>Chad,Chad,Part Time Employee,Pubs and Off-Licences,41940</t>
  </si>
  <si>
    <t>TC104</t>
  </si>
  <si>
    <t>Chile,Chile,Retired,Mining, Quarrying, Oil and Logging,53935</t>
  </si>
  <si>
    <t>China,China,Self Employed,Motor Vehicle Distribution, Sales and Repairs ,37259</t>
  </si>
  <si>
    <t>TC106</t>
  </si>
  <si>
    <t>Christmas Island,Christmas Island,Student,Non-for-Profit Organisations,22377</t>
  </si>
  <si>
    <t>TC107</t>
  </si>
  <si>
    <t>Cocos (Keeling) Islands,Cocos (Keeling) Islands,Unemployed,Other High Risk Industry,33849</t>
  </si>
  <si>
    <t>TC108</t>
  </si>
  <si>
    <t>Colombia,Colombia,Full Time Employee,Pawn Broker,29666</t>
  </si>
  <si>
    <t>TC109</t>
  </si>
  <si>
    <t>Comoros,Comoros,Homemaker,Pharmaceuticals ,13790</t>
  </si>
  <si>
    <t>TC110</t>
  </si>
  <si>
    <t>Congo - Brazzaville,Congo - Brazzaville,Part Time Employee,Printing and Signage,37599</t>
  </si>
  <si>
    <t>TC111</t>
  </si>
  <si>
    <t>Congo - Kinshasa,Congo - Kinshasa,Retired,Professional / Member Associations ,23098</t>
  </si>
  <si>
    <t>TC112</t>
  </si>
  <si>
    <t>Cook Islands,Cook Islands,Self Employed,Professional / Member Associations,16423</t>
  </si>
  <si>
    <t>TC113</t>
  </si>
  <si>
    <t>Costa Rica,Costa Rica,Student,Public Relations,45112</t>
  </si>
  <si>
    <t>TC114</t>
  </si>
  <si>
    <t>Côte d’Ivoire,Côte d’Ivoire,Unemployed,Pubs and Off-Licences,33232</t>
  </si>
  <si>
    <t>Croatia,Croatia,Full Time Employee,Real Estate Mgt. Company,29964</t>
  </si>
  <si>
    <t>Cuba,Cuba,Homemaker,Recruitment and HR Consultancy,22199</t>
  </si>
  <si>
    <t>TC121</t>
  </si>
  <si>
    <t>TC125</t>
  </si>
  <si>
    <t>Ethiopia,Ethiopia,Part Time Employee,Adult Entertainment,22086</t>
  </si>
  <si>
    <t>Cyprus,Cyprus,Retired,Retired,16452</t>
  </si>
  <si>
    <t>TC130</t>
  </si>
  <si>
    <t>Czechia,Czechia,Self Employed,Second Hand Dealer,29814</t>
  </si>
  <si>
    <t>TC131</t>
  </si>
  <si>
    <t>Denmark,Denmark,Student,Security Services,37569</t>
  </si>
  <si>
    <t>TC132</t>
  </si>
  <si>
    <t>Djibouti,Djibouti,Unemployed,Semi-State Organisation,49699</t>
  </si>
  <si>
    <t>TC133</t>
  </si>
  <si>
    <t>Dominica,Dominica,Full Time Employee,Sports and Leisure,21728</t>
  </si>
  <si>
    <t>TC134</t>
  </si>
  <si>
    <t>Dominican Republic,Dominican Republic,Homemaker,Student ,32215</t>
  </si>
  <si>
    <t>TC135</t>
  </si>
  <si>
    <t>Ecuador,Ecuador,Part Time Employee,Taxi / Hackney / Private Cars,45518</t>
  </si>
  <si>
    <t>TC136</t>
  </si>
  <si>
    <t>Egypt,Egypt,Retired,Transportation and Storage Services,59321</t>
  </si>
  <si>
    <t>TC137</t>
  </si>
  <si>
    <t>El Salvador,El Salvador,Self Employed,Trust and Company Service Providers,33355</t>
  </si>
  <si>
    <t>TC138</t>
  </si>
  <si>
    <t>Equatorial Guinea,Equatorial Guinea,Student,Unemployed,40353</t>
  </si>
  <si>
    <t>TC139</t>
  </si>
  <si>
    <t>TC140</t>
  </si>
  <si>
    <t>TC141</t>
  </si>
  <si>
    <t>TC142</t>
  </si>
  <si>
    <t>TC143</t>
  </si>
  <si>
    <t>TC144</t>
  </si>
  <si>
    <t>TC145</t>
  </si>
  <si>
    <t>TC146</t>
  </si>
  <si>
    <t>TC147</t>
  </si>
  <si>
    <t>TC148</t>
  </si>
  <si>
    <t>Laos,Laos,Retired,Printing and Signage,Latvia,Latvia,Self Employed,Professional / Member Associations ,16924,16695</t>
  </si>
  <si>
    <t>TC149</t>
  </si>
  <si>
    <t>Lebanon,Lebanon,Student,Professional, Scientific and Technical Activities,Lesotho,Lesotho,Unemployed,Public Relations,20504,47054</t>
  </si>
  <si>
    <t>TC150</t>
  </si>
  <si>
    <t>Liberia,Liberia,Full Time Employee,Pubs and Off-Licences,Libya,Libya,Homemaker,Real Estate Mgt. Company,39233,27426</t>
  </si>
  <si>
    <t>TC151</t>
  </si>
  <si>
    <t>Liechtenstein,Liechtenstein,Part Time Employee,Recruitment and HR Consultancy,Lithuania,Lithuania,Retired,Retail,18505,41894</t>
  </si>
  <si>
    <t>TC152</t>
  </si>
  <si>
    <t>Luxembourg,Luxembourg,Self Employed,Retired,Macao SAR China,Macao SAR China,Student,Second Hand Dealer,26660,53852</t>
  </si>
  <si>
    <t>TC153</t>
  </si>
  <si>
    <t>Madagascar,Madagascar,Unemployed,Security Services,Malawi,Malawi,Full Time Employee,Semi-State Organisation,38859,15587</t>
  </si>
  <si>
    <t>TC154</t>
  </si>
  <si>
    <t>Malaysia,Malaysia,Homemaker,Sports and Leisure,Maldives,Maldives,Part Time Employee,Student ,19972,57437</t>
  </si>
  <si>
    <t>TC155</t>
  </si>
  <si>
    <t>Mali,Mali,Retired,Taxi / Hackney / Private Cars,Malta,Malta,Self Employed,Transportation and Storage Services,44128,33913</t>
  </si>
  <si>
    <t>TC156</t>
  </si>
  <si>
    <t>Marshall Islands,Marshall Islands,Student,Trust and Company Service Providers,Martinique,Martinique,Unemployed,Unemployed,22172,12355</t>
  </si>
  <si>
    <t>TC157</t>
  </si>
  <si>
    <t>Eritrea,Eritrea,Unemployed,Pubs and Off-Licences,29038</t>
  </si>
  <si>
    <t>TC158</t>
  </si>
  <si>
    <t>Estonia,Estonia,Full Time Employee,Wholesalers,10781</t>
  </si>
  <si>
    <t>TC159</t>
  </si>
  <si>
    <t>Eswatini,Eswatini,Homemaker,Accountant / Solicitor,23313</t>
  </si>
  <si>
    <t>TC160</t>
  </si>
  <si>
    <t>Ethiopia,Ethiopia,Part Time Employee,Adult Entertainment,28208</t>
  </si>
  <si>
    <t>TC161</t>
  </si>
  <si>
    <t>Nauru,Nauru,Full Time Employee,Doctor / Dentist,25093</t>
  </si>
  <si>
    <t>TC162</t>
  </si>
  <si>
    <t>Falkland Islands,Falkland Islands,Self Employed,Arms Related,33054</t>
  </si>
  <si>
    <t>TC163</t>
  </si>
  <si>
    <t>Faroe Islands,Faroe Islands,Student,Aviation Leasing,34374</t>
  </si>
  <si>
    <t>TC164</t>
  </si>
  <si>
    <t>Fiji,Fiji,Unemployed,Bureau de Change,19930</t>
  </si>
  <si>
    <t>TC165</t>
  </si>
  <si>
    <t>Finland,Finland,Full Time Employee,Charity - Registered,26637</t>
  </si>
  <si>
    <t>TC166</t>
  </si>
  <si>
    <t>France,France,Homemaker,Charity - Registered Overseas,26803</t>
  </si>
  <si>
    <t>TC167</t>
  </si>
  <si>
    <t>French Guiana,French Guiana,Part Time Employee,Charity - Unregistered,10467</t>
  </si>
  <si>
    <t>TC168</t>
  </si>
  <si>
    <t>French Guiana,French Guiana,Part Time Employee,Charity - Unregistered,42169</t>
  </si>
  <si>
    <t>TC169</t>
  </si>
  <si>
    <t>French Polynesia,French Polynesia,Retired,Construction Industry / Builders Providers,30188</t>
  </si>
  <si>
    <t>TC170</t>
  </si>
  <si>
    <t>French Southern Territories,French Southern Territories,Self Employed,Cultural and Sporting Organisations,13445</t>
  </si>
  <si>
    <t>TC171</t>
  </si>
  <si>
    <t>Gabon,Gabon,Student,Delivery / Storage Services,15630</t>
  </si>
  <si>
    <t>TC172</t>
  </si>
  <si>
    <t>Gambia,Gambia,Unemployed,Doctor / Dentist,24254</t>
  </si>
  <si>
    <t>TC173</t>
  </si>
  <si>
    <t>Georgia,Georgia,Full Time Employee,Education,46851</t>
  </si>
  <si>
    <t>TC174</t>
  </si>
  <si>
    <t>Germany,Germany,Homemaker,Embassy / Consular Services,52939</t>
  </si>
  <si>
    <t>TC175</t>
  </si>
  <si>
    <t>Prize Bonds as a Gift,Savings Certificates</t>
  </si>
  <si>
    <t>8,20000</t>
  </si>
  <si>
    <t>ZOLLIE</t>
  </si>
  <si>
    <t>TC176</t>
  </si>
  <si>
    <t>Prize Bonds as a Gift,Savings Bonds</t>
  </si>
  <si>
    <t>TC177</t>
  </si>
  <si>
    <t>Prize Bonds as a Gift,Prize Bonds</t>
  </si>
  <si>
    <t>7,20001</t>
  </si>
  <si>
    <t>TC178</t>
  </si>
  <si>
    <t>8,2500</t>
  </si>
  <si>
    <t>GAMALIEL</t>
  </si>
  <si>
    <t>TC179</t>
  </si>
  <si>
    <t>Estonia,Estonia,Full Time Employee,Wholesalers,29070</t>
  </si>
  <si>
    <t>TC180</t>
  </si>
  <si>
    <t>TC181</t>
  </si>
  <si>
    <t>TC182</t>
  </si>
  <si>
    <t>8,2000</t>
  </si>
  <si>
    <t>TC183</t>
  </si>
  <si>
    <t>TC184</t>
  </si>
  <si>
    <t>TC185</t>
  </si>
  <si>
    <t>TC186</t>
  </si>
  <si>
    <t>TC187</t>
  </si>
  <si>
    <t>TC188</t>
  </si>
  <si>
    <t>TC189</t>
  </si>
  <si>
    <t>TC190</t>
  </si>
  <si>
    <t>TC191</t>
  </si>
  <si>
    <t>TC192</t>
  </si>
  <si>
    <t>TC193</t>
  </si>
  <si>
    <t>TC194</t>
  </si>
  <si>
    <t>63 downtown,loyola street</t>
  </si>
  <si>
    <t>TC195</t>
  </si>
  <si>
    <t>64 downtown,loyola street</t>
  </si>
  <si>
    <t>TC196</t>
  </si>
  <si>
    <t>65 downtown,loyola street</t>
  </si>
  <si>
    <t>TC197</t>
  </si>
  <si>
    <t>66 downtown,loyola street</t>
  </si>
  <si>
    <t>Bangladesh,Bangladesh,Self Employed,Financial - Banking / Insurance,46992</t>
  </si>
  <si>
    <t>TC198</t>
  </si>
  <si>
    <t>67 downtown,loyola street</t>
  </si>
  <si>
    <t>TC199</t>
  </si>
  <si>
    <t>68 downtown,loyola street</t>
  </si>
  <si>
    <t>TC200</t>
  </si>
  <si>
    <t>69 downtown,loyola street</t>
  </si>
  <si>
    <t>TC201</t>
  </si>
  <si>
    <t>70 downtown,loyola street</t>
  </si>
  <si>
    <t>TC202</t>
  </si>
  <si>
    <t>71 downtown,loyola street</t>
  </si>
  <si>
    <t>TC203</t>
  </si>
  <si>
    <t>72 downtown,loyola street</t>
  </si>
  <si>
    <t>TC204</t>
  </si>
  <si>
    <t>73 downtown,loyola street</t>
  </si>
  <si>
    <t>TC205</t>
  </si>
  <si>
    <t>74 downtown,loyola street</t>
  </si>
  <si>
    <t>TC206</t>
  </si>
  <si>
    <t>75 downtown,loyola street</t>
  </si>
  <si>
    <t>TC207</t>
  </si>
  <si>
    <t>76 downtown,loyola street</t>
  </si>
  <si>
    <t>TC208</t>
  </si>
  <si>
    <t>77 downtown,loyola street</t>
  </si>
  <si>
    <t>TC209</t>
  </si>
  <si>
    <t>78 downtown,loyola street</t>
  </si>
  <si>
    <t>TC210</t>
  </si>
  <si>
    <t>79 downtown,loyola street</t>
  </si>
  <si>
    <t>GuestErrorCDE-Y</t>
  </si>
  <si>
    <t>GuestError</t>
  </si>
  <si>
    <t>242597629</t>
  </si>
  <si>
    <t>MATTEO</t>
  </si>
  <si>
    <t>GuestJointErrorCDE-NN</t>
  </si>
  <si>
    <t>GuestJointError</t>
  </si>
  <si>
    <t>GuestJointErrorCDE-YN</t>
  </si>
  <si>
    <t>SignInErrorCDE-N</t>
  </si>
  <si>
    <t>SignInError</t>
  </si>
  <si>
    <t>SignInErrorCDE-YY</t>
  </si>
  <si>
    <t>SignInJointError</t>
  </si>
  <si>
    <t>SignInErrorCDE-NY</t>
  </si>
  <si>
    <t>NewTC_11</t>
  </si>
  <si>
    <t>Dashboard</t>
  </si>
  <si>
    <t>TC224RandomSSCN</t>
  </si>
  <si>
    <t>NALDRETT</t>
  </si>
  <si>
    <t>20-02-1978</t>
  </si>
  <si>
    <t>2425997022</t>
  </si>
  <si>
    <t>TC223PPSN</t>
  </si>
  <si>
    <t>1105015PA</t>
  </si>
  <si>
    <t>TC225PPSN_SSCN</t>
  </si>
  <si>
    <t>Colve</t>
  </si>
  <si>
    <t>27-08-1999</t>
  </si>
  <si>
    <t>242596223</t>
  </si>
  <si>
    <t>020-8009953</t>
  </si>
  <si>
    <t>TC226JointPrimarySignIn</t>
  </si>
  <si>
    <t>HELLIKES</t>
  </si>
  <si>
    <t>KILGANNON</t>
  </si>
  <si>
    <t>9497945Q</t>
  </si>
  <si>
    <t>242597122</t>
  </si>
  <si>
    <t>UAT-Target-Regression-9044@mailinator.com</t>
  </si>
  <si>
    <t>Perf-Test-User-9951@mailinator.com</t>
  </si>
  <si>
    <t>020-8009044</t>
  </si>
  <si>
    <t>TC227JointPrimarySignIn</t>
  </si>
  <si>
    <t>1234567FA</t>
  </si>
  <si>
    <t>TC228JointGuest</t>
  </si>
  <si>
    <t>Nottle</t>
  </si>
  <si>
    <t>242345679</t>
  </si>
  <si>
    <t>TC229JointGuestInvalid</t>
  </si>
  <si>
    <t>256787908</t>
  </si>
  <si>
    <t>TC230JointGuestTelesales</t>
  </si>
  <si>
    <t>TC231SoleGuestTelesales</t>
  </si>
  <si>
    <t>TC66_MinorDOB</t>
  </si>
  <si>
    <t>20-02-2010</t>
  </si>
  <si>
    <t>242599702</t>
  </si>
  <si>
    <t>TC67_InvalidSSCN</t>
  </si>
  <si>
    <t>1234@</t>
  </si>
  <si>
    <t>TC68_InvalidEmail</t>
  </si>
  <si>
    <t>Perf-Test-User-9953@mailin</t>
  </si>
  <si>
    <t>TC75_PBGiftInvalidEmail</t>
  </si>
  <si>
    <t>Nat</t>
  </si>
  <si>
    <t>West</t>
  </si>
  <si>
    <t>12/315 Downtown</t>
  </si>
  <si>
    <t>John downtown, Brave Street</t>
  </si>
  <si>
    <t>TC77_PBGiftInvalidDOB</t>
  </si>
  <si>
    <t>12/315, Downtown</t>
  </si>
  <si>
    <t>TC81JointApplicants</t>
  </si>
  <si>
    <t>TC83JointApplicantsInvalidDOB</t>
  </si>
  <si>
    <t>00-02-1978</t>
  </si>
  <si>
    <t>01-00-1978</t>
  </si>
  <si>
    <t>TC84JointApplicantsInvalidSSCN</t>
  </si>
  <si>
    <t>2425997023</t>
  </si>
  <si>
    <t>9497945Q5</t>
  </si>
  <si>
    <t>TC85JointApplicantsInvalidEmail</t>
  </si>
  <si>
    <t>UAT-WF-User45@mailin</t>
  </si>
  <si>
    <t>Perf-Test-User-9951@mailin</t>
  </si>
  <si>
    <t>TC92RemoveDefaultAmount</t>
  </si>
  <si>
    <t>TC102_SameApplicants</t>
  </si>
  <si>
    <t>TC103_SecApplicantMinorDOB</t>
  </si>
  <si>
    <t>20-02-2015</t>
  </si>
  <si>
    <t>TC104_SecApplicantInvalidDOB</t>
  </si>
  <si>
    <t>20-00-2015</t>
  </si>
  <si>
    <t>TC105_SecApplicantInvalidSSCN</t>
  </si>
  <si>
    <t>2425960374</t>
  </si>
  <si>
    <t>TC106_SecApplicantInvalidEmail</t>
  </si>
  <si>
    <t>ANJELA</t>
  </si>
  <si>
    <t>20-00-1978</t>
  </si>
  <si>
    <t>TC93Min</t>
  </si>
  <si>
    <t>49</t>
  </si>
  <si>
    <t>TC93Max</t>
  </si>
  <si>
    <t>1500000000</t>
  </si>
  <si>
    <t>TC93PBMin</t>
  </si>
  <si>
    <t>TC93PBMax</t>
  </si>
  <si>
    <t>500000</t>
  </si>
  <si>
    <t>TC93PBMaxJoint</t>
  </si>
  <si>
    <t>7000000</t>
  </si>
  <si>
    <t>TC107Remove</t>
  </si>
  <si>
    <t>NOTTLE</t>
  </si>
  <si>
    <t>02-07-1975</t>
  </si>
  <si>
    <t>242599672</t>
  </si>
  <si>
    <t>TC98_SignInPBGiftInvalidDOB</t>
  </si>
  <si>
    <t>27-00-1999</t>
  </si>
  <si>
    <t>TC100_SignJoint</t>
  </si>
  <si>
    <t>03-00-1998</t>
  </si>
  <si>
    <t>TC202_Irish</t>
  </si>
  <si>
    <t>Bannaí Coigiltis</t>
  </si>
  <si>
    <t>TC203_Irish</t>
  </si>
  <si>
    <t>Duaisbhannaí</t>
  </si>
  <si>
    <t>TC204_Irish</t>
  </si>
  <si>
    <t>Banna Dlúthpháirtíochta Náisiúnta,Bannaí Coigiltis,Cairteacha Coigiltis</t>
  </si>
  <si>
    <t>TC205_Irish</t>
  </si>
  <si>
    <t>Bannaí Coigiltis,Duaisbhannaí</t>
  </si>
  <si>
    <t>TC206_Irish</t>
  </si>
  <si>
    <t>Duaisbhannaí mar Bhronntanas</t>
  </si>
  <si>
    <t>TC210_Irish</t>
  </si>
  <si>
    <t>TC207_Irish</t>
  </si>
  <si>
    <t>Banna Dlúthpháirtíochta Náisiúnta,Duaisbhannaí mar Bhronntanas,Duaisbhannaí</t>
  </si>
  <si>
    <t>TC208_Irish</t>
  </si>
  <si>
    <t>Duaisbhannaí,Duaisbhannaí mar Bhronntanas</t>
  </si>
  <si>
    <t>2000,8</t>
  </si>
  <si>
    <t>TC209_Irish</t>
  </si>
  <si>
    <t>Bannaí Coigiltis,Duaisbhannaí mar Bhronntanas</t>
  </si>
  <si>
    <t>TC211_Irish</t>
  </si>
  <si>
    <t>Banna Dlúthpháirtíochta Náisiúnta,Duaisbhannaí mar Bhronntanas,Bannaí Coigiltis,Duaisbhannaí</t>
  </si>
  <si>
    <t>TC212_Irish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</si>
</sst>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yy"/>
  </numFmts>
  <fonts count="36"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u/>
      <sz val="11"/>
      <color theme="10"/>
      <name val="Calibri"/>
      <family val="2"/>
    </font>
    <font>
      <b/>
      <sz val="14"/>
      <color rgb="FF0C0C0C"/>
      <name val="Calibri"/>
      <family val="2"/>
    </font>
    <font>
      <b/>
      <sz val="14"/>
      <color theme="1"/>
      <name val="Times New Roman"/>
      <family val="1"/>
    </font>
    <font>
      <b/>
      <i/>
      <sz val="14"/>
      <color rgb="FF629755"/>
      <name val="Times New Roman"/>
      <family val="1"/>
    </font>
    <font>
      <b/>
      <sz val="14"/>
      <color rgb="FF297BDE"/>
      <name val="Times New Roman"/>
      <family val="1"/>
    </font>
    <font>
      <b/>
      <sz val="14"/>
      <color theme="1"/>
      <name val="Calibri"/>
      <family val="2"/>
    </font>
    <font>
      <b/>
      <i/>
      <sz val="14"/>
      <color rgb="FF629755"/>
      <name val="Consolas"/>
      <family val="3"/>
    </font>
    <font>
      <b/>
      <sz val="14"/>
      <color rgb="FF297BDE"/>
      <name val="Consolas"/>
      <family val="3"/>
    </font>
    <font>
      <sz val="11"/>
      <color rgb="FF0563C1"/>
      <name val="Calibri"/>
      <family val="2"/>
    </font>
    <font>
      <sz val="11"/>
      <color theme="1"/>
      <name val="Quattrocento Sans"/>
      <family val="2"/>
    </font>
    <font>
      <sz val="11"/>
      <color theme="1"/>
      <name val="Arial"/>
      <family val="2"/>
    </font>
    <font>
      <u/>
      <sz val="11"/>
      <color theme="1"/>
      <name val="Quattrocento Sans"/>
      <family val="2"/>
    </font>
    <font>
      <sz val="11"/>
      <color rgb="FF000000"/>
      <name val="Calibri"/>
      <family val="2"/>
    </font>
    <font>
      <sz val="11"/>
      <color rgb="FF0070C0"/>
      <name val="Calibri"/>
      <family val="2"/>
    </font>
    <font>
      <u/>
      <sz val="11"/>
      <color theme="10"/>
      <name val="Calibri"/>
      <family val="2"/>
      <scheme val="minor"/>
    </font>
    <font>
      <sz val="8"/>
      <name val="Calibri"/>
      <family val="2"/>
      <scheme val="minor"/>
    </font>
    <font>
      <sz val="8"/>
      <name val="Calibri"/>
      <family val="2"/>
      <scheme val="minor"/>
    </font>
    <font>
      <sz val="11"/>
      <color theme="1"/>
      <name val="Calibri"/>
      <family val="2"/>
      <scheme val="minor"/>
    </font>
    <font>
      <sz val="12"/>
      <color rgb="FF0C0C0C"/>
      <name val="Calibri"/>
      <family val="2"/>
    </font>
    <font>
      <sz val="8"/>
      <name val="Calibri"/>
      <scheme val="minor"/>
    </font>
    <font>
      <sz val="11"/>
      <color theme="1"/>
      <name val="Calibri"/>
      <scheme val="minor"/>
    </font>
    <font>
      <b/>
      <sz val="11"/>
      <color rgb="FFFFFF00"/>
      <name val="Tisa Offc Serif Pro"/>
    </font>
    <font>
      <sz val="11"/>
      <color theme="1"/>
      <name val="Verdana"/>
      <family val="2"/>
    </font>
  </fonts>
  <fills count="14">
    <fill>
      <patternFill patternType="none"/>
    </fill>
    <fill>
      <patternFill patternType="gray125"/>
    </fill>
    <fill>
      <patternFill patternType="solid">
        <fgColor rgb="FFF4B083"/>
        <bgColor rgb="FFF4B083"/>
      </patternFill>
    </fill>
    <fill>
      <patternFill patternType="solid">
        <fgColor rgb="FFDEEAF6"/>
        <bgColor rgb="FFDEEAF6"/>
      </patternFill>
    </fill>
    <fill>
      <patternFill patternType="solid">
        <fgColor theme="4" tint="0.79998168889431442"/>
        <bgColor indexed="64"/>
      </patternFill>
    </fill>
    <fill>
      <patternFill patternType="solid">
        <fgColor rgb="FFD9E2F3"/>
        <bgColor rgb="FFD9E2F3"/>
      </patternFill>
    </fill>
    <fill>
      <patternFill patternType="solid">
        <fgColor theme="0"/>
        <bgColor indexed="64"/>
      </patternFill>
    </fill>
    <fill>
      <patternFill patternType="solid">
        <fgColor theme="0"/>
        <bgColor rgb="FFDEEAF6"/>
      </patternFill>
    </fill>
    <fill>
      <patternFill patternType="solid">
        <fgColor rgb="FFFFC000"/>
        <bgColor indexed="64"/>
      </patternFill>
    </fill>
    <fill>
      <patternFill patternType="solid">
        <fgColor rgb="FFFF7C80"/>
        <bgColor indexed="64"/>
      </patternFill>
    </fill>
    <fill>
      <patternFill patternType="solid">
        <fgColor rgb="FF92D050"/>
        <bgColor indexed="64"/>
      </patternFill>
    </fill>
    <fill>
      <patternFill patternType="solid">
        <fgColor theme="8" tint="0.59999389629810485"/>
        <bgColor indexed="64"/>
      </patternFill>
    </fill>
    <fill>
      <patternFill patternType="solid">
        <fgColor rgb="FF7030A0"/>
        <bgColor indexed="64"/>
      </patternFill>
    </fill>
    <fill>
      <patternFill patternType="solid">
        <fgColor theme="5" tint="0.79998168889431442"/>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style="medium">
        <color rgb="FF000000"/>
      </right>
      <top/>
      <bottom style="medium">
        <color rgb="FF000000"/>
      </bottom>
      <diagonal/>
    </border>
    <border>
      <left style="medium">
        <color rgb="FFA3A3A3"/>
      </left>
      <right style="medium">
        <color rgb="FFA3A3A3"/>
      </right>
      <top/>
      <bottom style="medium">
        <color rgb="FFA3A3A3"/>
      </bottom>
      <diagonal/>
    </border>
    <border>
      <left/>
      <right style="medium">
        <color rgb="FFA3A3A3"/>
      </right>
      <top/>
      <bottom style="medium">
        <color rgb="FFA3A3A3"/>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bottom style="thin">
        <color indexed="64"/>
      </bottom>
      <diagonal/>
    </border>
    <border>
      <left style="thin">
        <color rgb="FF000000"/>
      </left>
      <right/>
      <top/>
      <bottom/>
      <diagonal/>
    </border>
    <border>
      <left/>
      <right style="thin">
        <color rgb="FF000000"/>
      </right>
      <top/>
      <bottom/>
      <diagonal/>
    </border>
    <border>
      <left/>
      <right style="thin">
        <color indexed="64"/>
      </right>
      <top style="thin">
        <color indexed="64"/>
      </top>
      <bottom style="thin">
        <color indexed="64"/>
      </bottom>
      <diagonal/>
    </border>
  </borders>
  <cellStyleXfs count="9">
    <xf numFmtId="0" fontId="0" fillId="0" borderId="0"/>
    <xf numFmtId="0" fontId="27" fillId="0" borderId="0" applyNumberFormat="0" applyFill="0" applyBorder="0" applyAlignment="0" applyProtection="0"/>
    <xf numFmtId="0" fontId="11" fillId="0" borderId="2"/>
    <xf numFmtId="0" fontId="27" fillId="0" borderId="2" applyNumberFormat="0" applyFill="0" applyBorder="0" applyAlignment="0" applyProtection="0"/>
    <xf numFmtId="0" fontId="30" fillId="0" borderId="2"/>
    <xf numFmtId="0" fontId="33" fillId="0" borderId="2"/>
    <xf numFmtId="0" fontId="3" fillId="0" borderId="2"/>
    <xf numFmtId="0" fontId="3" fillId="0" borderId="2"/>
    <xf numFmtId="0" fontId="1" fillId="0" borderId="2"/>
  </cellStyleXfs>
  <cellXfs count="183">
    <xf numFmtId="0" fontId="0" fillId="0" borderId="0" xfId="0"/>
    <xf numFmtId="0" fontId="12" fillId="0" borderId="0" xfId="0" applyFont="1"/>
    <xf numFmtId="0" fontId="12" fillId="2" borderId="1" xfId="0" applyFont="1" applyFill="1" applyBorder="1" applyAlignment="1">
      <alignment wrapText="1"/>
    </xf>
    <xf numFmtId="0" fontId="22" fillId="0" borderId="1" xfId="0" applyFont="1" applyBorder="1" applyAlignment="1">
      <alignment vertical="center" wrapText="1"/>
    </xf>
    <xf numFmtId="0" fontId="22" fillId="0" borderId="7" xfId="0" applyFont="1" applyBorder="1" applyAlignment="1">
      <alignment vertical="center" wrapText="1"/>
    </xf>
    <xf numFmtId="0" fontId="22" fillId="0" borderId="1" xfId="0" quotePrefix="1" applyFont="1" applyBorder="1" applyAlignment="1">
      <alignment vertical="center" wrapText="1"/>
    </xf>
    <xf numFmtId="0" fontId="12" fillId="0" borderId="0" xfId="0" applyFont="1" applyAlignment="1">
      <alignment wrapText="1"/>
    </xf>
    <xf numFmtId="0" fontId="23" fillId="0" borderId="1" xfId="0" applyFont="1" applyBorder="1" applyAlignment="1">
      <alignment vertical="center" wrapText="1"/>
    </xf>
    <xf numFmtId="0" fontId="23" fillId="0" borderId="1" xfId="0" quotePrefix="1" applyFont="1" applyBorder="1" applyAlignment="1">
      <alignment vertical="center" wrapText="1"/>
    </xf>
    <xf numFmtId="0" fontId="21" fillId="0" borderId="1" xfId="0" quotePrefix="1" applyFont="1" applyBorder="1" applyAlignment="1">
      <alignment vertical="center" wrapText="1"/>
    </xf>
    <xf numFmtId="0" fontId="21" fillId="0" borderId="1" xfId="0" applyFont="1" applyBorder="1" applyAlignment="1">
      <alignment vertical="center" wrapText="1"/>
    </xf>
    <xf numFmtId="14" fontId="22" fillId="0" borderId="1" xfId="0" quotePrefix="1" applyNumberFormat="1" applyFont="1" applyBorder="1" applyAlignment="1">
      <alignment vertical="center" wrapText="1"/>
    </xf>
    <xf numFmtId="0" fontId="24" fillId="0" borderId="1" xfId="0" applyFont="1" applyBorder="1" applyAlignment="1">
      <alignment vertical="center" wrapText="1"/>
    </xf>
    <xf numFmtId="0" fontId="12" fillId="0" borderId="1" xfId="0" applyFont="1" applyBorder="1" applyAlignment="1">
      <alignment horizontal="left" vertical="top" wrapText="1"/>
    </xf>
    <xf numFmtId="49" fontId="12" fillId="0" borderId="1" xfId="0" quotePrefix="1" applyNumberFormat="1" applyFont="1" applyBorder="1" applyAlignment="1">
      <alignment horizontal="left" vertical="top" wrapText="1"/>
    </xf>
    <xf numFmtId="49" fontId="12" fillId="0" borderId="1" xfId="0" applyNumberFormat="1" applyFont="1" applyBorder="1" applyAlignment="1">
      <alignment horizontal="left" vertical="top" wrapText="1"/>
    </xf>
    <xf numFmtId="0" fontId="12" fillId="0" borderId="1" xfId="0" quotePrefix="1" applyFont="1" applyBorder="1" applyAlignment="1">
      <alignment horizontal="left" vertical="top" wrapText="1"/>
    </xf>
    <xf numFmtId="0" fontId="12" fillId="0" borderId="0" xfId="0" applyFont="1" applyAlignment="1">
      <alignment horizontal="left"/>
    </xf>
    <xf numFmtId="49" fontId="12" fillId="0" borderId="0" xfId="0" applyNumberFormat="1" applyFont="1" applyAlignment="1">
      <alignment horizontal="left" vertical="center"/>
    </xf>
    <xf numFmtId="15" fontId="25" fillId="0" borderId="8" xfId="0" quotePrefix="1" applyNumberFormat="1" applyFont="1" applyBorder="1" applyAlignment="1">
      <alignment horizontal="right" vertical="center" wrapText="1"/>
    </xf>
    <xf numFmtId="0" fontId="12" fillId="0" borderId="1" xfId="0" quotePrefix="1" applyFont="1" applyBorder="1"/>
    <xf numFmtId="49" fontId="12" fillId="0" borderId="1" xfId="0" applyNumberFormat="1" applyFont="1" applyBorder="1"/>
    <xf numFmtId="49" fontId="22" fillId="0" borderId="7" xfId="0" applyNumberFormat="1" applyFont="1" applyBorder="1" applyAlignment="1">
      <alignment vertical="center" wrapText="1"/>
    </xf>
    <xf numFmtId="49" fontId="12" fillId="0" borderId="1" xfId="0" quotePrefix="1" applyNumberFormat="1" applyFont="1" applyBorder="1"/>
    <xf numFmtId="0" fontId="25" fillId="0" borderId="8" xfId="0" quotePrefix="1" applyFont="1" applyBorder="1" applyAlignment="1">
      <alignment vertical="center" wrapText="1"/>
    </xf>
    <xf numFmtId="0" fontId="12" fillId="0" borderId="1" xfId="0" applyFont="1" applyBorder="1" applyAlignment="1">
      <alignment horizontal="left"/>
    </xf>
    <xf numFmtId="49" fontId="12" fillId="0" borderId="1" xfId="0" quotePrefix="1" applyNumberFormat="1" applyFont="1" applyBorder="1" applyAlignment="1">
      <alignment horizontal="left"/>
    </xf>
    <xf numFmtId="0" fontId="12" fillId="0" borderId="7" xfId="0" applyFont="1" applyBorder="1" applyAlignment="1">
      <alignment horizontal="left" vertical="top" wrapText="1"/>
    </xf>
    <xf numFmtId="0" fontId="25" fillId="0" borderId="9" xfId="0" quotePrefix="1" applyFont="1" applyBorder="1" applyAlignment="1">
      <alignment horizontal="right" vertical="center" wrapText="1"/>
    </xf>
    <xf numFmtId="0" fontId="25" fillId="0" borderId="10" xfId="0" applyFont="1" applyBorder="1" applyAlignment="1">
      <alignment horizontal="right" vertical="center" wrapText="1"/>
    </xf>
    <xf numFmtId="49" fontId="12" fillId="0" borderId="7" xfId="0" quotePrefix="1" applyNumberFormat="1" applyFont="1" applyBorder="1" applyAlignment="1">
      <alignment horizontal="left" vertical="top" wrapText="1"/>
    </xf>
    <xf numFmtId="0" fontId="15" fillId="3" borderId="1" xfId="0" applyFont="1" applyFill="1" applyBorder="1" applyAlignment="1">
      <alignment horizontal="left" vertical="top" wrapText="1"/>
    </xf>
    <xf numFmtId="0" fontId="19" fillId="3" borderId="1" xfId="0" applyFont="1" applyFill="1" applyBorder="1" applyAlignment="1">
      <alignment horizontal="left" vertical="top" wrapText="1"/>
    </xf>
    <xf numFmtId="0" fontId="18" fillId="3" borderId="1" xfId="0" applyFont="1" applyFill="1" applyBorder="1" applyAlignment="1">
      <alignment horizontal="left" vertical="top" wrapText="1"/>
    </xf>
    <xf numFmtId="0" fontId="17" fillId="3" borderId="1" xfId="0" applyFont="1" applyFill="1" applyBorder="1" applyAlignment="1">
      <alignment horizontal="left" vertical="top" wrapText="1"/>
    </xf>
    <xf numFmtId="0" fontId="16" fillId="3" borderId="1" xfId="0" applyFont="1" applyFill="1" applyBorder="1" applyAlignment="1">
      <alignment horizontal="left" vertical="top" wrapText="1"/>
    </xf>
    <xf numFmtId="0" fontId="0" fillId="0" borderId="0" xfId="0" applyAlignment="1">
      <alignment horizontal="left" vertical="top"/>
    </xf>
    <xf numFmtId="0" fontId="14" fillId="2" borderId="1" xfId="0" applyFont="1" applyFill="1" applyBorder="1" applyAlignment="1">
      <alignment horizontal="left" vertical="top" wrapText="1"/>
    </xf>
    <xf numFmtId="0" fontId="18" fillId="0" borderId="1" xfId="0" applyFont="1" applyBorder="1" applyAlignment="1">
      <alignment horizontal="left" vertical="top" wrapText="1"/>
    </xf>
    <xf numFmtId="0" fontId="19" fillId="0" borderId="1" xfId="0" applyFont="1" applyBorder="1" applyAlignment="1">
      <alignment horizontal="left" vertical="top" wrapText="1"/>
    </xf>
    <xf numFmtId="0" fontId="20" fillId="0" borderId="1" xfId="0" applyFont="1" applyBorder="1" applyAlignment="1">
      <alignment horizontal="left" vertical="top" wrapText="1"/>
    </xf>
    <xf numFmtId="0" fontId="19" fillId="3" borderId="1" xfId="0" quotePrefix="1" applyFont="1" applyFill="1" applyBorder="1" applyAlignment="1">
      <alignment horizontal="left" vertical="top" wrapText="1"/>
    </xf>
    <xf numFmtId="0" fontId="19" fillId="0" borderId="1" xfId="0" quotePrefix="1" applyFont="1" applyBorder="1" applyAlignment="1">
      <alignment horizontal="left" vertical="top" wrapText="1"/>
    </xf>
    <xf numFmtId="0" fontId="18" fillId="0" borderId="1" xfId="0" quotePrefix="1" applyFont="1" applyBorder="1" applyAlignment="1">
      <alignment horizontal="left" vertical="top" wrapText="1"/>
    </xf>
    <xf numFmtId="0" fontId="17" fillId="0" borderId="1" xfId="0" applyFont="1" applyBorder="1" applyAlignment="1">
      <alignment horizontal="left" vertical="top" wrapText="1"/>
    </xf>
    <xf numFmtId="0" fontId="12" fillId="0" borderId="1" xfId="0" applyFont="1" applyBorder="1" applyAlignment="1">
      <alignment horizontal="left" vertical="top"/>
    </xf>
    <xf numFmtId="0" fontId="20" fillId="3" borderId="1" xfId="0" applyFont="1" applyFill="1" applyBorder="1" applyAlignment="1">
      <alignment horizontal="left" vertical="top" wrapText="1"/>
    </xf>
    <xf numFmtId="0" fontId="18" fillId="3" borderId="1" xfId="0" quotePrefix="1" applyFont="1" applyFill="1" applyBorder="1" applyAlignment="1">
      <alignment horizontal="left" vertical="top" wrapText="1"/>
    </xf>
    <xf numFmtId="0" fontId="20" fillId="0" borderId="1" xfId="0" quotePrefix="1" applyFont="1" applyBorder="1" applyAlignment="1">
      <alignment horizontal="left" vertical="top" wrapText="1"/>
    </xf>
    <xf numFmtId="3" fontId="18" fillId="0" borderId="1" xfId="0" quotePrefix="1" applyNumberFormat="1" applyFont="1" applyBorder="1" applyAlignment="1">
      <alignment horizontal="left" vertical="top" wrapText="1"/>
    </xf>
    <xf numFmtId="0" fontId="20" fillId="3" borderId="1" xfId="0" quotePrefix="1" applyFont="1" applyFill="1" applyBorder="1" applyAlignment="1">
      <alignment horizontal="left" vertical="top" wrapText="1"/>
    </xf>
    <xf numFmtId="0" fontId="16" fillId="0" borderId="1" xfId="0" applyFont="1" applyBorder="1" applyAlignment="1">
      <alignment horizontal="left" vertical="top" wrapText="1"/>
    </xf>
    <xf numFmtId="0" fontId="15" fillId="0" borderId="1" xfId="0" applyFont="1" applyBorder="1" applyAlignment="1">
      <alignment horizontal="left" vertical="top" wrapText="1"/>
    </xf>
    <xf numFmtId="0" fontId="26" fillId="0" borderId="1" xfId="0" applyFont="1" applyBorder="1" applyAlignment="1">
      <alignment horizontal="left" vertical="top"/>
    </xf>
    <xf numFmtId="0" fontId="26" fillId="0" borderId="1" xfId="0" applyFont="1" applyBorder="1" applyAlignment="1">
      <alignment horizontal="left" vertical="top" wrapText="1"/>
    </xf>
    <xf numFmtId="0" fontId="26" fillId="4" borderId="1" xfId="0" applyFont="1" applyFill="1" applyBorder="1" applyAlignment="1">
      <alignment horizontal="left" vertical="top"/>
    </xf>
    <xf numFmtId="0" fontId="27" fillId="4" borderId="1" xfId="1" applyFill="1" applyBorder="1" applyAlignment="1">
      <alignment horizontal="left" vertical="top"/>
    </xf>
    <xf numFmtId="0" fontId="18" fillId="5" borderId="1" xfId="0" applyFont="1" applyFill="1" applyBorder="1" applyAlignment="1">
      <alignment horizontal="left" vertical="top" wrapText="1"/>
    </xf>
    <xf numFmtId="0" fontId="0" fillId="0" borderId="2" xfId="0" applyBorder="1"/>
    <xf numFmtId="0" fontId="27" fillId="0" borderId="2" xfId="1" applyBorder="1"/>
    <xf numFmtId="0" fontId="18" fillId="0" borderId="6" xfId="0" applyFont="1" applyBorder="1" applyAlignment="1">
      <alignment horizontal="left" vertical="top" wrapText="1"/>
    </xf>
    <xf numFmtId="0" fontId="16" fillId="0" borderId="3" xfId="0" applyFont="1" applyBorder="1" applyAlignment="1">
      <alignment horizontal="left" vertical="top" wrapText="1"/>
    </xf>
    <xf numFmtId="0" fontId="27" fillId="0" borderId="11" xfId="1" applyBorder="1"/>
    <xf numFmtId="0" fontId="19" fillId="3" borderId="3" xfId="0" applyFont="1" applyFill="1" applyBorder="1" applyAlignment="1">
      <alignment horizontal="left" vertical="top" wrapText="1"/>
    </xf>
    <xf numFmtId="0" fontId="0" fillId="0" borderId="11" xfId="0" applyBorder="1"/>
    <xf numFmtId="0" fontId="27" fillId="0" borderId="11" xfId="1" applyFill="1" applyBorder="1"/>
    <xf numFmtId="49" fontId="27" fillId="0" borderId="1" xfId="1" applyNumberFormat="1" applyBorder="1" applyAlignment="1">
      <alignment horizontal="left" vertical="top"/>
    </xf>
    <xf numFmtId="0" fontId="18" fillId="6" borderId="1" xfId="0" applyFont="1" applyFill="1" applyBorder="1" applyAlignment="1">
      <alignment horizontal="left" vertical="top" wrapText="1"/>
    </xf>
    <xf numFmtId="0" fontId="18" fillId="7" borderId="1" xfId="0" applyFont="1" applyFill="1" applyBorder="1" applyAlignment="1">
      <alignment horizontal="left" vertical="top" wrapText="1"/>
    </xf>
    <xf numFmtId="0" fontId="18" fillId="8" borderId="6" xfId="0" applyFont="1" applyFill="1" applyBorder="1" applyAlignment="1">
      <alignment horizontal="left" vertical="top" wrapText="1"/>
    </xf>
    <xf numFmtId="0" fontId="27" fillId="0" borderId="1" xfId="1" applyBorder="1" applyAlignment="1">
      <alignment horizontal="left" vertical="top"/>
    </xf>
    <xf numFmtId="0" fontId="27" fillId="3" borderId="5" xfId="1" applyFill="1" applyBorder="1" applyAlignment="1">
      <alignment horizontal="left" vertical="top"/>
    </xf>
    <xf numFmtId="0" fontId="27" fillId="0" borderId="12" xfId="1" applyBorder="1"/>
    <xf numFmtId="14" fontId="22" fillId="0" borderId="1" xfId="0" quotePrefix="1" applyNumberFormat="1" applyFont="1" applyBorder="1" applyAlignment="1">
      <alignment vertical="center"/>
    </xf>
    <xf numFmtId="0" fontId="18" fillId="4" borderId="1" xfId="0" applyFont="1" applyFill="1" applyBorder="1" applyAlignment="1">
      <alignment horizontal="left" vertical="top" wrapText="1"/>
    </xf>
    <xf numFmtId="0" fontId="27" fillId="5" borderId="2" xfId="1" applyFill="1" applyBorder="1"/>
    <xf numFmtId="0" fontId="27" fillId="0" borderId="13" xfId="1" applyBorder="1"/>
    <xf numFmtId="0" fontId="27" fillId="5" borderId="12" xfId="1" applyFill="1" applyBorder="1"/>
    <xf numFmtId="0" fontId="27" fillId="0" borderId="14" xfId="1" applyBorder="1"/>
    <xf numFmtId="0" fontId="27" fillId="4" borderId="5" xfId="1" applyFill="1" applyBorder="1" applyAlignment="1">
      <alignment horizontal="left" vertical="top"/>
    </xf>
    <xf numFmtId="0" fontId="15" fillId="3" borderId="1" xfId="0" applyFont="1" applyFill="1" applyBorder="1" applyAlignment="1">
      <alignment horizontal="left" vertical="top"/>
    </xf>
    <xf numFmtId="0" fontId="18" fillId="3" borderId="1" xfId="0" applyFont="1" applyFill="1" applyBorder="1" applyAlignment="1">
      <alignment horizontal="left" vertical="top"/>
    </xf>
    <xf numFmtId="0" fontId="0" fillId="9" borderId="11" xfId="0" applyFill="1" applyBorder="1"/>
    <xf numFmtId="0" fontId="0" fillId="10" borderId="11" xfId="0" applyFill="1" applyBorder="1"/>
    <xf numFmtId="0" fontId="12" fillId="2" borderId="7" xfId="0" applyFont="1" applyFill="1" applyBorder="1" applyAlignment="1">
      <alignment wrapText="1"/>
    </xf>
    <xf numFmtId="0" fontId="27" fillId="0" borderId="4" xfId="1" applyBorder="1"/>
    <xf numFmtId="0" fontId="0" fillId="0" borderId="0" xfId="0" applyAlignment="1">
      <alignment wrapText="1"/>
    </xf>
    <xf numFmtId="0" fontId="27" fillId="0" borderId="0" xfId="1"/>
    <xf numFmtId="0" fontId="19" fillId="3" borderId="2" xfId="0" applyFont="1" applyFill="1" applyBorder="1" applyAlignment="1">
      <alignment horizontal="left" vertical="top" wrapText="1"/>
    </xf>
    <xf numFmtId="0" fontId="18" fillId="3" borderId="2" xfId="0" applyFont="1" applyFill="1" applyBorder="1" applyAlignment="1">
      <alignment horizontal="left" vertical="top"/>
    </xf>
    <xf numFmtId="0" fontId="18" fillId="3" borderId="6" xfId="0" applyFont="1" applyFill="1" applyBorder="1" applyAlignment="1">
      <alignment horizontal="left" vertical="top" wrapText="1"/>
    </xf>
    <xf numFmtId="0" fontId="17" fillId="3" borderId="3" xfId="0" applyFont="1" applyFill="1" applyBorder="1" applyAlignment="1">
      <alignment horizontal="left" vertical="top" wrapText="1"/>
    </xf>
    <xf numFmtId="0" fontId="16" fillId="3" borderId="4" xfId="0" applyFont="1" applyFill="1" applyBorder="1" applyAlignment="1">
      <alignment horizontal="left" vertical="top" wrapText="1"/>
    </xf>
    <xf numFmtId="0" fontId="19" fillId="3" borderId="5" xfId="0" quotePrefix="1" applyFont="1" applyFill="1" applyBorder="1" applyAlignment="1">
      <alignment horizontal="left" vertical="top" wrapText="1"/>
    </xf>
    <xf numFmtId="0" fontId="19" fillId="3" borderId="11" xfId="0" quotePrefix="1" applyFont="1" applyFill="1" applyBorder="1" applyAlignment="1">
      <alignment horizontal="left" vertical="top" wrapText="1"/>
    </xf>
    <xf numFmtId="0" fontId="15" fillId="3" borderId="6" xfId="0" applyFont="1" applyFill="1" applyBorder="1" applyAlignment="1">
      <alignment horizontal="left" vertical="top" wrapText="1"/>
    </xf>
    <xf numFmtId="0" fontId="16" fillId="3" borderId="3" xfId="0" applyFont="1" applyFill="1" applyBorder="1" applyAlignment="1">
      <alignment horizontal="left" vertical="top" wrapText="1"/>
    </xf>
    <xf numFmtId="0" fontId="19" fillId="3" borderId="4" xfId="0" applyFont="1" applyFill="1" applyBorder="1" applyAlignment="1">
      <alignment horizontal="left" vertical="top" wrapText="1"/>
    </xf>
    <xf numFmtId="0" fontId="18" fillId="3" borderId="4" xfId="0" applyFont="1" applyFill="1" applyBorder="1" applyAlignment="1">
      <alignment horizontal="left" vertical="top" wrapText="1"/>
    </xf>
    <xf numFmtId="0" fontId="19" fillId="3" borderId="5" xfId="0" applyFont="1" applyFill="1" applyBorder="1" applyAlignment="1">
      <alignment horizontal="left" vertical="top" wrapText="1"/>
    </xf>
    <xf numFmtId="0" fontId="18" fillId="3" borderId="5" xfId="0" applyFont="1" applyFill="1" applyBorder="1" applyAlignment="1">
      <alignment horizontal="left" vertical="top" wrapText="1"/>
    </xf>
    <xf numFmtId="0" fontId="12" fillId="2" borderId="1" xfId="4" applyFont="1" applyFill="1" applyBorder="1" applyAlignment="1">
      <alignment wrapText="1"/>
    </xf>
    <xf numFmtId="0" fontId="12" fillId="2" borderId="4" xfId="4" applyFont="1" applyFill="1" applyBorder="1" applyAlignment="1">
      <alignment wrapText="1"/>
    </xf>
    <xf numFmtId="0" fontId="12" fillId="2" borderId="7" xfId="4" applyFont="1" applyFill="1" applyBorder="1" applyAlignment="1">
      <alignment wrapText="1"/>
    </xf>
    <xf numFmtId="0" fontId="31" fillId="2" borderId="1" xfId="4" applyFont="1" applyFill="1" applyBorder="1" applyAlignment="1">
      <alignment horizontal="left" wrapText="1"/>
    </xf>
    <xf numFmtId="0" fontId="30" fillId="0" borderId="2" xfId="4"/>
    <xf numFmtId="0" fontId="22" fillId="0" borderId="1" xfId="4" applyFont="1" applyBorder="1" applyAlignment="1">
      <alignment vertical="top" wrapText="1"/>
    </xf>
    <xf numFmtId="0" fontId="22" fillId="0" borderId="1" xfId="4" quotePrefix="1" applyFont="1" applyBorder="1" applyAlignment="1">
      <alignment vertical="top" wrapText="1"/>
    </xf>
    <xf numFmtId="14" fontId="22" fillId="0" borderId="6" xfId="4" quotePrefix="1" applyNumberFormat="1" applyFont="1" applyBorder="1" applyAlignment="1">
      <alignment vertical="top"/>
    </xf>
    <xf numFmtId="0" fontId="27" fillId="0" borderId="11" xfId="3" applyBorder="1" applyAlignment="1">
      <alignment vertical="top"/>
    </xf>
    <xf numFmtId="0" fontId="22" fillId="0" borderId="3" xfId="4" quotePrefix="1" applyFont="1" applyBorder="1" applyAlignment="1">
      <alignment vertical="top" wrapText="1"/>
    </xf>
    <xf numFmtId="0" fontId="22" fillId="0" borderId="7" xfId="4" applyFont="1" applyBorder="1" applyAlignment="1">
      <alignment vertical="top" wrapText="1"/>
    </xf>
    <xf numFmtId="0" fontId="19" fillId="3" borderId="1" xfId="4" applyFont="1" applyFill="1" applyBorder="1" applyAlignment="1">
      <alignment horizontal="left" vertical="top" wrapText="1"/>
    </xf>
    <xf numFmtId="0" fontId="18" fillId="3" borderId="1" xfId="4" applyFont="1" applyFill="1" applyBorder="1" applyAlignment="1">
      <alignment horizontal="left" vertical="top" wrapText="1"/>
    </xf>
    <xf numFmtId="0" fontId="19" fillId="3" borderId="1" xfId="4" quotePrefix="1" applyFont="1" applyFill="1" applyBorder="1" applyAlignment="1">
      <alignment horizontal="left" vertical="top" wrapText="1"/>
    </xf>
    <xf numFmtId="0" fontId="17" fillId="3" borderId="1" xfId="4" applyFont="1" applyFill="1" applyBorder="1" applyAlignment="1">
      <alignment horizontal="left" vertical="top" wrapText="1"/>
    </xf>
    <xf numFmtId="0" fontId="19" fillId="0" borderId="1" xfId="4" applyFont="1" applyBorder="1" applyAlignment="1">
      <alignment horizontal="left" vertical="top" wrapText="1"/>
    </xf>
    <xf numFmtId="0" fontId="18" fillId="0" borderId="1" xfId="4" applyFont="1" applyBorder="1" applyAlignment="1">
      <alignment horizontal="left" vertical="top" wrapText="1"/>
    </xf>
    <xf numFmtId="0" fontId="20" fillId="0" borderId="1" xfId="4" applyFont="1" applyBorder="1" applyAlignment="1">
      <alignment horizontal="left" vertical="top" wrapText="1"/>
    </xf>
    <xf numFmtId="0" fontId="19" fillId="0" borderId="1" xfId="4" quotePrefix="1" applyFont="1" applyBorder="1" applyAlignment="1">
      <alignment horizontal="left" vertical="top" wrapText="1"/>
    </xf>
    <xf numFmtId="0" fontId="18" fillId="0" borderId="1" xfId="4" quotePrefix="1" applyFont="1" applyBorder="1" applyAlignment="1">
      <alignment horizontal="left" vertical="top" wrapText="1"/>
    </xf>
    <xf numFmtId="0" fontId="17" fillId="0" borderId="1" xfId="4" applyFont="1" applyBorder="1" applyAlignment="1">
      <alignment horizontal="left" vertical="top" wrapText="1"/>
    </xf>
    <xf numFmtId="0" fontId="23" fillId="0" borderId="1" xfId="4" applyFont="1" applyBorder="1" applyAlignment="1">
      <alignment vertical="top" wrapText="1"/>
    </xf>
    <xf numFmtId="0" fontId="23" fillId="0" borderId="1" xfId="4" quotePrefix="1" applyFont="1" applyBorder="1" applyAlignment="1">
      <alignment vertical="top" wrapText="1"/>
    </xf>
    <xf numFmtId="0" fontId="21" fillId="0" borderId="1" xfId="4" quotePrefix="1" applyFont="1" applyBorder="1" applyAlignment="1">
      <alignment vertical="top" wrapText="1"/>
    </xf>
    <xf numFmtId="0" fontId="12" fillId="0" borderId="2" xfId="4" applyFont="1" applyAlignment="1">
      <alignment vertical="top" wrapText="1"/>
    </xf>
    <xf numFmtId="0" fontId="30" fillId="0" borderId="2" xfId="4" applyAlignment="1">
      <alignment vertical="top" wrapText="1"/>
    </xf>
    <xf numFmtId="0" fontId="22" fillId="0" borderId="15" xfId="4" applyFont="1" applyBorder="1" applyAlignment="1">
      <alignment vertical="top" wrapText="1"/>
    </xf>
    <xf numFmtId="0" fontId="22" fillId="0" borderId="2" xfId="4" applyFont="1" applyAlignment="1">
      <alignment vertical="top" wrapText="1"/>
    </xf>
    <xf numFmtId="0" fontId="16" fillId="3" borderId="1" xfId="0" quotePrefix="1" applyFont="1" applyFill="1" applyBorder="1" applyAlignment="1">
      <alignment horizontal="left" vertical="top" wrapText="1"/>
    </xf>
    <xf numFmtId="0" fontId="10" fillId="0" borderId="0" xfId="0" applyFont="1"/>
    <xf numFmtId="0" fontId="18" fillId="11" borderId="1" xfId="0" applyFont="1" applyFill="1" applyBorder="1" applyAlignment="1">
      <alignment horizontal="left" vertical="top" wrapText="1"/>
    </xf>
    <xf numFmtId="14" fontId="22" fillId="0" borderId="1" xfId="0" applyNumberFormat="1" applyFont="1" applyBorder="1" applyAlignment="1">
      <alignment vertical="center" wrapText="1"/>
    </xf>
    <xf numFmtId="0" fontId="10" fillId="0" borderId="1" xfId="0" applyFont="1" applyBorder="1" applyAlignment="1">
      <alignment horizontal="left" vertical="top"/>
    </xf>
    <xf numFmtId="0" fontId="13" fillId="0" borderId="0" xfId="0" applyFont="1" applyAlignment="1">
      <alignment vertical="center"/>
    </xf>
    <xf numFmtId="0" fontId="27" fillId="0" borderId="0" xfId="1" applyAlignment="1">
      <alignment vertical="center"/>
    </xf>
    <xf numFmtId="0" fontId="0" fillId="0" borderId="0" xfId="0" quotePrefix="1"/>
    <xf numFmtId="0" fontId="9" fillId="0" borderId="0" xfId="0" applyFont="1"/>
    <xf numFmtId="0" fontId="27" fillId="0" borderId="7" xfId="1" applyBorder="1" applyAlignment="1">
      <alignment horizontal="left" vertical="top"/>
    </xf>
    <xf numFmtId="0" fontId="8" fillId="0" borderId="0" xfId="0" applyFont="1"/>
    <xf numFmtId="0" fontId="7" fillId="0" borderId="0" xfId="0" applyFont="1"/>
    <xf numFmtId="0" fontId="6" fillId="0" borderId="0" xfId="0" applyFont="1"/>
    <xf numFmtId="0" fontId="5" fillId="0" borderId="0" xfId="0" applyFont="1"/>
    <xf numFmtId="0" fontId="4" fillId="0" borderId="0" xfId="0" applyFont="1"/>
    <xf numFmtId="0" fontId="27" fillId="0" borderId="11" xfId="1" applyBorder="1" applyAlignment="1">
      <alignment vertical="top"/>
    </xf>
    <xf numFmtId="0" fontId="27" fillId="0" borderId="1" xfId="1" applyBorder="1" applyAlignment="1">
      <alignment vertical="top" wrapText="1"/>
    </xf>
    <xf numFmtId="0" fontId="27" fillId="0" borderId="1" xfId="1" applyBorder="1" applyAlignment="1">
      <alignment vertical="center" wrapText="1"/>
    </xf>
    <xf numFmtId="0" fontId="27" fillId="0" borderId="1" xfId="1" quotePrefix="1" applyBorder="1" applyAlignment="1">
      <alignment vertical="center" wrapText="1"/>
    </xf>
    <xf numFmtId="14" fontId="0" fillId="0" borderId="0" xfId="0" quotePrefix="1" applyNumberFormat="1"/>
    <xf numFmtId="14" fontId="22" fillId="0" borderId="15" xfId="0" quotePrefix="1" applyNumberFormat="1" applyFont="1" applyBorder="1" applyAlignment="1">
      <alignment vertical="center"/>
    </xf>
    <xf numFmtId="0" fontId="22" fillId="0" borderId="7" xfId="0" quotePrefix="1" applyFont="1" applyBorder="1" applyAlignment="1">
      <alignment vertical="center" wrapText="1"/>
    </xf>
    <xf numFmtId="0" fontId="12" fillId="0" borderId="1" xfId="5" applyFont="1" applyBorder="1" applyAlignment="1">
      <alignment horizontal="left" vertical="top" wrapText="1"/>
    </xf>
    <xf numFmtId="0" fontId="19" fillId="3" borderId="1" xfId="5" applyFont="1" applyFill="1" applyBorder="1" applyAlignment="1">
      <alignment horizontal="left" vertical="top" wrapText="1"/>
    </xf>
    <xf numFmtId="0" fontId="18" fillId="3" borderId="1" xfId="5" applyFont="1" applyFill="1" applyBorder="1" applyAlignment="1">
      <alignment horizontal="left" vertical="top" wrapText="1"/>
    </xf>
    <xf numFmtId="0" fontId="18" fillId="0" borderId="1" xfId="5" applyFont="1" applyBorder="1" applyAlignment="1">
      <alignment horizontal="left" vertical="top" wrapText="1"/>
    </xf>
    <xf numFmtId="0" fontId="19" fillId="0" borderId="1" xfId="5" applyFont="1" applyBorder="1" applyAlignment="1">
      <alignment horizontal="left" vertical="top" wrapText="1"/>
    </xf>
    <xf numFmtId="0" fontId="20" fillId="0" borderId="1" xfId="5" applyFont="1" applyBorder="1" applyAlignment="1">
      <alignment horizontal="left" vertical="top" wrapText="1"/>
    </xf>
    <xf numFmtId="0" fontId="19" fillId="0" borderId="1" xfId="5" quotePrefix="1" applyFont="1" applyBorder="1" applyAlignment="1">
      <alignment horizontal="left" vertical="top" wrapText="1"/>
    </xf>
    <xf numFmtId="0" fontId="18" fillId="0" borderId="1" xfId="5" quotePrefix="1" applyFont="1" applyBorder="1" applyAlignment="1">
      <alignment horizontal="left" vertical="top" wrapText="1"/>
    </xf>
    <xf numFmtId="0" fontId="17" fillId="0" borderId="1" xfId="5" applyFont="1" applyBorder="1" applyAlignment="1">
      <alignment horizontal="left" vertical="top" wrapText="1"/>
    </xf>
    <xf numFmtId="0" fontId="27" fillId="5" borderId="2" xfId="1" applyFill="1" applyBorder="1" applyAlignment="1">
      <alignment vertical="top"/>
    </xf>
    <xf numFmtId="0" fontId="2" fillId="0" borderId="0" xfId="0" applyFont="1"/>
    <xf numFmtId="0" fontId="22" fillId="0" borderId="2" xfId="0" applyFont="1" applyBorder="1" applyAlignment="1">
      <alignment vertical="center" wrapText="1"/>
    </xf>
    <xf numFmtId="0" fontId="22" fillId="0" borderId="16" xfId="0" applyFont="1" applyBorder="1" applyAlignment="1">
      <alignment vertical="center" wrapText="1"/>
    </xf>
    <xf numFmtId="0" fontId="27" fillId="0" borderId="2" xfId="1" applyFill="1" applyBorder="1" applyAlignment="1">
      <alignment vertical="center" wrapText="1"/>
    </xf>
    <xf numFmtId="0" fontId="34" fillId="12" borderId="11" xfId="8" applyFont="1" applyFill="1" applyBorder="1" applyAlignment="1">
      <alignment horizontal="left" vertical="top"/>
    </xf>
    <xf numFmtId="0" fontId="1" fillId="0" borderId="2" xfId="8"/>
    <xf numFmtId="0" fontId="35" fillId="13" borderId="11" xfId="8" applyFont="1" applyFill="1" applyBorder="1" applyAlignment="1">
      <alignment horizontal="left" vertical="top" wrapText="1"/>
    </xf>
    <xf numFmtId="164" fontId="35" fillId="13" borderId="11" xfId="8" quotePrefix="1" applyNumberFormat="1" applyFont="1" applyFill="1" applyBorder="1" applyAlignment="1">
      <alignment horizontal="left" vertical="top" wrapText="1"/>
    </xf>
    <xf numFmtId="0" fontId="27" fillId="13" borderId="11" xfId="3" applyFill="1" applyBorder="1"/>
    <xf numFmtId="0" fontId="27" fillId="0" borderId="2" xfId="3"/>
    <xf numFmtId="0" fontId="0" fillId="0" borderId="2" xfId="8" quotePrefix="1" applyFont="1"/>
    <xf numFmtId="14" fontId="1" fillId="0" borderId="2" xfId="8" applyNumberFormat="1"/>
    <xf numFmtId="0" fontId="1" fillId="0" borderId="2" xfId="8" quotePrefix="1"/>
    <xf numFmtId="0" fontId="0" fillId="0" borderId="2" xfId="8" applyFont="1"/>
    <xf numFmtId="0" fontId="1" fillId="13" borderId="11" xfId="8" applyFill="1" applyBorder="1" applyAlignment="1">
      <alignment horizontal="left" vertical="top"/>
    </xf>
    <xf numFmtId="3" fontId="35" fillId="13" borderId="11" xfId="8" quotePrefix="1" applyNumberFormat="1" applyFont="1" applyFill="1" applyBorder="1" applyAlignment="1">
      <alignment horizontal="left" vertical="top" wrapText="1"/>
    </xf>
    <xf numFmtId="0" fontId="1" fillId="0" borderId="2" xfId="8" applyAlignment="1">
      <alignment horizontal="left" vertical="top"/>
    </xf>
    <xf numFmtId="0" fontId="35" fillId="13" borderId="11" xfId="8" quotePrefix="1" applyFont="1" applyFill="1" applyBorder="1" applyAlignment="1">
      <alignment horizontal="left" vertical="top" wrapText="1"/>
    </xf>
    <xf numFmtId="0" fontId="35" fillId="13" borderId="17" xfId="8" applyFont="1" applyFill="1" applyBorder="1" applyAlignment="1">
      <alignment horizontal="left" vertical="top" wrapText="1"/>
    </xf>
    <xf numFmtId="0" fontId="0" fillId="0" borderId="2" xfId="8" applyFont="1" applyAlignment="1">
      <alignment horizontal="left" vertical="top"/>
    </xf>
    <xf numFmtId="14" fontId="0" fillId="0" borderId="2" xfId="8" quotePrefix="1" applyNumberFormat="1" applyFont="1" applyAlignment="1">
      <alignment horizontal="left" vertical="top"/>
    </xf>
    <xf numFmtId="164" fontId="35" fillId="13" borderId="2" xfId="8" applyNumberFormat="1" applyFont="1" applyFill="1" applyAlignment="1">
      <alignment horizontal="left" vertical="top" wrapText="1"/>
    </xf>
  </cellXfs>
  <cellStyles count="9">
    <cellStyle name="Hyperlink" xfId="1" builtinId="8"/>
    <cellStyle name="Hyperlink 2" xfId="3" xr:uid="{BF9D47AB-82DF-4309-97B5-4EE04E75335B}"/>
    <cellStyle name="Normal" xfId="0" builtinId="0"/>
    <cellStyle name="Normal 2" xfId="2" xr:uid="{06AD2076-4600-4024-A716-A34057888662}"/>
    <cellStyle name="Normal 2 2" xfId="6" xr:uid="{2834D0BA-F99F-4D9B-8048-C0E22AD57AEE}"/>
    <cellStyle name="Normal 2 3" xfId="8" xr:uid="{96D64A8A-A9F6-495D-AFAE-FB2050C53E72}"/>
    <cellStyle name="Normal 3" xfId="4" xr:uid="{4BF8FE14-2088-443E-AAB3-F6205872A3A2}"/>
    <cellStyle name="Normal 3 2" xfId="7" xr:uid="{86890198-B3BD-41EC-A808-F6AC5F5E727D}"/>
    <cellStyle name="Normal 4" xfId="5" xr:uid="{6B0E041A-D11C-4089-8A5D-554E620F80B7}"/>
  </cellStyles>
  <dxfs count="63">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font>
        <b/>
        <sz val="14"/>
        <family val="2"/>
      </font>
      <fill>
        <patternFill patternType="solid">
          <fgColor rgb="FFDEEAF6"/>
          <bgColor rgb="FFDEEAF6"/>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sz val="14"/>
        <color rgb="FF629755"/>
        <name val="Consolas"/>
        <family val="3"/>
        <scheme val="none"/>
      </font>
      <fill>
        <patternFill patternType="solid">
          <fgColor rgb="FFDEEAF6"/>
          <bgColor rgb="FFDEEAF6"/>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left" vertical="top" textRotation="0" indent="0" justifyLastLine="0" shrinkToFit="0" readingOrder="0"/>
      <border diagonalUp="0" diagonalDown="0">
        <left style="thin">
          <color rgb="FF000000"/>
        </left>
        <right style="thin">
          <color rgb="FF000000"/>
        </right>
        <top/>
        <bottom/>
        <vertical/>
        <horizontal/>
      </border>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font>
        <b/>
        <i/>
        <sz val="14"/>
        <color rgb="FF629755"/>
        <name val="Consolas"/>
        <family val="3"/>
        <scheme val="none"/>
      </font>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top" textRotation="0" indent="0" justifyLastLine="0" shrinkToFit="0" readingOrder="0"/>
    </dxf>
    <dxf>
      <alignment horizontal="left" vertical="top" textRotation="0" indent="0" justifyLastLine="0" shrinkToFit="0" readingOrder="0"/>
    </dxf>
    <dxf>
      <font>
        <strike val="0"/>
        <outline val="0"/>
        <shadow val="0"/>
        <u val="none"/>
        <vertAlign val="baseline"/>
        <sz val="11"/>
        <color rgb="FF0070C0"/>
        <name val="Calibri"/>
        <family val="2"/>
      </font>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font>
        <b/>
        <sz val="14"/>
        <family val="2"/>
      </font>
      <fill>
        <patternFill patternType="solid">
          <fgColor rgb="FFDEEAF6"/>
          <bgColor rgb="FFDEEAF6"/>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sz val="14"/>
        <color rgb="FF629755"/>
        <name val="Consolas"/>
        <family val="3"/>
        <scheme val="none"/>
      </font>
      <fill>
        <patternFill patternType="solid">
          <fgColor rgb="FFDEEAF6"/>
          <bgColor rgb="FFDEEAF6"/>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left" vertical="top" textRotation="0" indent="0" justifyLastLine="0" shrinkToFit="0" readingOrder="0"/>
      <border diagonalUp="0" diagonalDown="0">
        <left style="thin">
          <color rgb="FF000000"/>
        </left>
        <right style="thin">
          <color rgb="FF000000"/>
        </right>
        <top/>
        <bottom/>
        <vertical/>
        <horizontal/>
      </border>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fill>
        <patternFill patternType="solid">
          <fgColor rgb="FFD9E2F3"/>
          <bgColor rgb="FFD9E2F3"/>
        </patternFill>
      </fill>
    </dxf>
    <dxf>
      <fill>
        <patternFill patternType="solid">
          <fgColor rgb="FFDEEAF6"/>
          <bgColor rgb="FFDEEAF6"/>
        </patternFill>
      </fill>
    </dxf>
    <dxf>
      <fill>
        <patternFill patternType="solid">
          <fgColor theme="8"/>
          <bgColor theme="8"/>
        </patternFill>
      </fill>
    </dxf>
    <dxf>
      <fill>
        <patternFill patternType="solid">
          <fgColor rgb="FFD9E2F3"/>
          <bgColor rgb="FFD9E2F3"/>
        </patternFill>
      </fill>
    </dxf>
    <dxf>
      <fill>
        <patternFill patternType="solid">
          <fgColor rgb="FFDEEAF6"/>
          <bgColor rgb="FFDEEAF6"/>
        </patternFill>
      </fill>
    </dxf>
    <dxf>
      <fill>
        <patternFill patternType="solid">
          <fgColor theme="8"/>
          <bgColor theme="8"/>
        </patternFill>
      </fill>
    </dxf>
    <dxf>
      <fill>
        <patternFill patternType="solid">
          <fgColor rgb="FFDEEAF6"/>
          <bgColor rgb="FFDEEAF6"/>
        </patternFill>
      </fill>
    </dxf>
    <dxf>
      <fill>
        <patternFill patternType="solid">
          <fgColor rgb="FFD9E2F3"/>
          <bgColor rgb="FFD9E2F3"/>
        </patternFill>
      </fill>
    </dxf>
    <dxf>
      <fill>
        <patternFill patternType="solid">
          <fgColor rgb="FFDEEAF6"/>
          <bgColor rgb="FFDEEAF6"/>
        </patternFill>
      </fill>
    </dxf>
    <dxf>
      <fill>
        <patternFill patternType="solid">
          <fgColor rgb="FFD9E2F3"/>
          <bgColor rgb="FFD9E2F3"/>
        </patternFill>
      </fill>
    </dxf>
    <dxf>
      <fill>
        <patternFill patternType="solid">
          <fgColor rgb="FFD9E2F3"/>
          <bgColor rgb="FFD9E2F3"/>
        </patternFill>
      </fill>
    </dxf>
    <dxf>
      <fill>
        <patternFill patternType="solid">
          <fgColor rgb="FFDEEAF6"/>
          <bgColor rgb="FFDEEAF6"/>
        </patternFill>
      </fill>
    </dxf>
    <dxf>
      <fill>
        <patternFill patternType="solid">
          <fgColor theme="8"/>
          <bgColor theme="8"/>
        </patternFill>
      </fill>
    </dxf>
    <dxf>
      <fill>
        <patternFill patternType="solid">
          <fgColor rgb="FFD9E2F3"/>
          <bgColor rgb="FFD9E2F3"/>
        </patternFill>
      </fill>
    </dxf>
    <dxf>
      <fill>
        <patternFill patternType="solid">
          <fgColor rgb="FFDEEAF6"/>
          <bgColor rgb="FFDEEAF6"/>
        </patternFill>
      </fill>
    </dxf>
    <dxf>
      <fill>
        <patternFill patternType="solid">
          <fgColor theme="8"/>
          <bgColor theme="8"/>
        </patternFill>
      </fill>
    </dxf>
    <dxf>
      <fill>
        <patternFill patternType="solid">
          <fgColor rgb="FFD9E2F3"/>
          <bgColor rgb="FFD9E2F3"/>
        </patternFill>
      </fill>
    </dxf>
    <dxf>
      <fill>
        <patternFill patternType="solid">
          <fgColor rgb="FFDEEAF6"/>
          <bgColor rgb="FFDEEAF6"/>
        </patternFill>
      </fill>
    </dxf>
    <dxf>
      <fill>
        <patternFill patternType="solid">
          <fgColor theme="8"/>
          <bgColor theme="8"/>
        </patternFill>
      </fill>
    </dxf>
    <dxf>
      <fill>
        <patternFill patternType="solid">
          <fgColor rgb="FFD9E2F3"/>
          <bgColor rgb="FFD9E2F3"/>
        </patternFill>
      </fill>
    </dxf>
    <dxf>
      <fill>
        <patternFill patternType="solid">
          <fgColor rgb="FFDEEAF6"/>
          <bgColor rgb="FFDEEAF6"/>
        </patternFill>
      </fill>
    </dxf>
    <dxf>
      <fill>
        <patternFill patternType="solid">
          <fgColor theme="8"/>
          <bgColor theme="8"/>
        </patternFill>
      </fill>
    </dxf>
  </dxfs>
  <tableStyles count="8">
    <tableStyle name="Health_Report-style" pivot="0" count="3" xr9:uid="{00000000-0011-0000-FFFF-FFFF00000000}">
      <tableStyleElement type="headerRow" dxfId="62"/>
      <tableStyleElement type="firstRowStripe" dxfId="61"/>
      <tableStyleElement type="secondRowStripe" dxfId="60"/>
    </tableStyle>
    <tableStyle name="Health_Report1-style" pivot="0" count="3" xr9:uid="{00000000-0011-0000-FFFF-FFFF01000000}">
      <tableStyleElement type="headerRow" dxfId="59"/>
      <tableStyleElement type="firstRowStripe" dxfId="58"/>
      <tableStyleElement type="secondRowStripe" dxfId="57"/>
    </tableStyle>
    <tableStyle name="Reinvest_PB-style" pivot="0" count="3" xr9:uid="{00000000-0011-0000-FFFF-FFFF02000000}">
      <tableStyleElement type="headerRow" dxfId="56"/>
      <tableStyleElement type="firstRowStripe" dxfId="55"/>
      <tableStyleElement type="secondRowStripe" dxfId="54"/>
    </tableStyle>
    <tableStyle name="Reinvest-style" pivot="0" count="3" xr9:uid="{00000000-0011-0000-FFFF-FFFF03000000}">
      <tableStyleElement type="headerRow" dxfId="53"/>
      <tableStyleElement type="firstRowStripe" dxfId="52"/>
      <tableStyleElement type="secondRowStripe" dxfId="51"/>
    </tableStyle>
    <tableStyle name="Health_Report_UAT-style" pivot="0" count="2" xr9:uid="{00000000-0011-0000-FFFF-FFFF04000000}">
      <tableStyleElement type="firstRowStripe" dxfId="50"/>
      <tableStyleElement type="secondRowStripe" dxfId="49"/>
    </tableStyle>
    <tableStyle name="Health_Report_UAT-style 2" pivot="0" count="2" xr9:uid="{00000000-0011-0000-FFFF-FFFF05000000}">
      <tableStyleElement type="firstRowStripe" dxfId="48"/>
      <tableStyleElement type="secondRowStripe" dxfId="47"/>
    </tableStyle>
    <tableStyle name="Cashin_PB_Matured_Non_Matured-style" pivot="0" count="3" xr9:uid="{00000000-0011-0000-FFFF-FFFF06000000}">
      <tableStyleElement type="headerRow" dxfId="46"/>
      <tableStyleElement type="firstRowStripe" dxfId="45"/>
      <tableStyleElement type="secondRowStripe" dxfId="44"/>
    </tableStyle>
    <tableStyle name="IBAN-style" pivot="0" count="3" xr9:uid="{00000000-0011-0000-FFFF-FFFF07000000}">
      <tableStyleElement type="headerRow" dxfId="43"/>
      <tableStyleElement type="firstRowStripe" dxfId="42"/>
      <tableStyleElement type="secondRowStripe" dxfId="4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cognizantonline-my.sharepoint.com/personal/2012819_cognizant_com/Documents/BuyNowTestData/TestData.xlsx" TargetMode="External"/><Relationship Id="rId1" Type="http://schemas.openxmlformats.org/officeDocument/2006/relationships/externalLinkPath" Target="https://cognizantonline-my.sharepoint.com/personal/2012819_cognizant_com/Documents/BuyNowTestData/Test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Sheet1"/>
      <sheetName val="Sheet2"/>
      <sheetName val="Source of Funds"/>
      <sheetName val="Purpose of account"/>
      <sheetName val="Country of Birth"/>
      <sheetName val="Nationality"/>
      <sheetName val="Employment Status"/>
      <sheetName val="Employment Industry Type"/>
    </sheetNames>
    <sheetDataSet>
      <sheetData sheetId="0"/>
      <sheetData sheetId="1"/>
      <sheetData sheetId="2"/>
      <sheetData sheetId="3"/>
      <sheetData sheetId="4"/>
      <sheetData sheetId="5"/>
      <sheetData sheetId="6">
        <row r="1">
          <cell r="A1" t="str">
            <v>Afghanistan</v>
          </cell>
        </row>
        <row r="2">
          <cell r="A2" t="str">
            <v xml:space="preserve"> Åland Islands</v>
          </cell>
        </row>
        <row r="3">
          <cell r="A3" t="str">
            <v xml:space="preserve"> Albania</v>
          </cell>
        </row>
        <row r="4">
          <cell r="A4" t="str">
            <v xml:space="preserve"> Algeria</v>
          </cell>
        </row>
        <row r="5">
          <cell r="A5" t="str">
            <v xml:space="preserve"> American Samoa</v>
          </cell>
        </row>
        <row r="6">
          <cell r="A6" t="str">
            <v xml:space="preserve"> Andorra</v>
          </cell>
        </row>
        <row r="7">
          <cell r="A7" t="str">
            <v xml:space="preserve"> Angola</v>
          </cell>
        </row>
        <row r="8">
          <cell r="A8" t="str">
            <v xml:space="preserve"> Anguilla</v>
          </cell>
        </row>
        <row r="9">
          <cell r="A9" t="str">
            <v xml:space="preserve"> Antarctica</v>
          </cell>
        </row>
        <row r="10">
          <cell r="A10" t="str">
            <v xml:space="preserve"> Antigua &amp; Barbuda</v>
          </cell>
        </row>
        <row r="11">
          <cell r="A11" t="str">
            <v xml:space="preserve"> Argentina</v>
          </cell>
        </row>
        <row r="12">
          <cell r="A12" t="str">
            <v xml:space="preserve"> Armenia</v>
          </cell>
        </row>
        <row r="13">
          <cell r="A13" t="str">
            <v xml:space="preserve"> Aruba</v>
          </cell>
        </row>
        <row r="14">
          <cell r="A14" t="str">
            <v xml:space="preserve"> Australia</v>
          </cell>
        </row>
        <row r="15">
          <cell r="A15" t="str">
            <v xml:space="preserve"> Austria</v>
          </cell>
        </row>
        <row r="16">
          <cell r="A16" t="str">
            <v xml:space="preserve"> Azerbaijan</v>
          </cell>
        </row>
        <row r="17">
          <cell r="A17" t="str">
            <v xml:space="preserve"> Bahamas</v>
          </cell>
        </row>
        <row r="18">
          <cell r="A18" t="str">
            <v xml:space="preserve"> Bahrain</v>
          </cell>
        </row>
        <row r="19">
          <cell r="A19" t="str">
            <v xml:space="preserve"> Bangladesh</v>
          </cell>
        </row>
        <row r="20">
          <cell r="A20" t="str">
            <v xml:space="preserve"> Barbados</v>
          </cell>
        </row>
        <row r="21">
          <cell r="A21" t="str">
            <v xml:space="preserve"> Belarus</v>
          </cell>
        </row>
        <row r="22">
          <cell r="A22" t="str">
            <v xml:space="preserve"> Belgium</v>
          </cell>
        </row>
        <row r="23">
          <cell r="A23" t="str">
            <v xml:space="preserve"> Belize</v>
          </cell>
        </row>
        <row r="24">
          <cell r="A24" t="str">
            <v xml:space="preserve"> Benin</v>
          </cell>
        </row>
        <row r="25">
          <cell r="A25" t="str">
            <v xml:space="preserve"> Bermuda</v>
          </cell>
        </row>
        <row r="26">
          <cell r="A26" t="str">
            <v xml:space="preserve"> Bhutan</v>
          </cell>
        </row>
        <row r="27">
          <cell r="A27" t="str">
            <v xml:space="preserve"> Bolivia</v>
          </cell>
        </row>
        <row r="28">
          <cell r="A28" t="str">
            <v xml:space="preserve"> Bosnia &amp; Herzegovina</v>
          </cell>
        </row>
        <row r="29">
          <cell r="A29" t="str">
            <v xml:space="preserve"> Botswana</v>
          </cell>
        </row>
        <row r="30">
          <cell r="A30" t="str">
            <v xml:space="preserve"> Bouvet Island</v>
          </cell>
        </row>
        <row r="31">
          <cell r="A31" t="str">
            <v xml:space="preserve"> Brazil</v>
          </cell>
        </row>
        <row r="32">
          <cell r="A32" t="str">
            <v xml:space="preserve"> British Indian Ocean Territory</v>
          </cell>
        </row>
        <row r="33">
          <cell r="A33" t="str">
            <v xml:space="preserve"> British Virgin Islands</v>
          </cell>
        </row>
        <row r="34">
          <cell r="A34" t="str">
            <v xml:space="preserve"> Brunei</v>
          </cell>
        </row>
        <row r="35">
          <cell r="A35" t="str">
            <v xml:space="preserve"> Bulgaria</v>
          </cell>
        </row>
        <row r="36">
          <cell r="A36" t="str">
            <v xml:space="preserve"> Burkina Faso</v>
          </cell>
        </row>
        <row r="37">
          <cell r="A37" t="str">
            <v xml:space="preserve"> Burundi</v>
          </cell>
        </row>
        <row r="38">
          <cell r="A38" t="str">
            <v xml:space="preserve"> Cambodia</v>
          </cell>
        </row>
        <row r="39">
          <cell r="A39" t="str">
            <v xml:space="preserve"> Cameroon</v>
          </cell>
        </row>
        <row r="40">
          <cell r="A40" t="str">
            <v xml:space="preserve"> Canada</v>
          </cell>
        </row>
        <row r="41">
          <cell r="A41" t="str">
            <v xml:space="preserve"> Cape Verde</v>
          </cell>
        </row>
        <row r="42">
          <cell r="A42" t="str">
            <v xml:space="preserve"> Caribbean Netherlands</v>
          </cell>
        </row>
        <row r="43">
          <cell r="A43" t="str">
            <v xml:space="preserve"> Cayman Islands</v>
          </cell>
        </row>
        <row r="44">
          <cell r="A44" t="str">
            <v xml:space="preserve"> Central African Republic</v>
          </cell>
        </row>
        <row r="45">
          <cell r="A45" t="str">
            <v xml:space="preserve"> Chad</v>
          </cell>
        </row>
        <row r="46">
          <cell r="A46" t="str">
            <v xml:space="preserve"> Chile</v>
          </cell>
        </row>
        <row r="47">
          <cell r="A47" t="str">
            <v xml:space="preserve"> China</v>
          </cell>
        </row>
        <row r="48">
          <cell r="A48" t="str">
            <v xml:space="preserve"> Christmas Island</v>
          </cell>
        </row>
        <row r="49">
          <cell r="A49" t="str">
            <v xml:space="preserve"> Cocos (Keeling) Islands</v>
          </cell>
        </row>
        <row r="50">
          <cell r="A50" t="str">
            <v xml:space="preserve"> Colombia</v>
          </cell>
        </row>
        <row r="51">
          <cell r="A51" t="str">
            <v xml:space="preserve"> Comoros</v>
          </cell>
        </row>
        <row r="52">
          <cell r="A52" t="str">
            <v xml:space="preserve"> Congo - Brazzaville</v>
          </cell>
        </row>
        <row r="53">
          <cell r="A53" t="str">
            <v xml:space="preserve"> Congo - Kinshasa</v>
          </cell>
        </row>
        <row r="54">
          <cell r="A54" t="str">
            <v xml:space="preserve"> Cook Islands</v>
          </cell>
        </row>
        <row r="55">
          <cell r="A55" t="str">
            <v xml:space="preserve"> Costa Rica</v>
          </cell>
        </row>
        <row r="56">
          <cell r="A56" t="str">
            <v xml:space="preserve"> Côte d’Ivoire</v>
          </cell>
        </row>
        <row r="57">
          <cell r="A57" t="str">
            <v xml:space="preserve"> Croatia</v>
          </cell>
        </row>
        <row r="58">
          <cell r="A58" t="str">
            <v xml:space="preserve"> Cuba</v>
          </cell>
        </row>
        <row r="59">
          <cell r="A59" t="str">
            <v xml:space="preserve"> Curaçao</v>
          </cell>
        </row>
        <row r="60">
          <cell r="A60" t="str">
            <v xml:space="preserve"> Cyprus</v>
          </cell>
        </row>
        <row r="61">
          <cell r="A61" t="str">
            <v xml:space="preserve"> Czechia</v>
          </cell>
        </row>
        <row r="62">
          <cell r="A62" t="str">
            <v xml:space="preserve"> Denmark</v>
          </cell>
        </row>
        <row r="63">
          <cell r="A63" t="str">
            <v xml:space="preserve"> Djibouti</v>
          </cell>
        </row>
        <row r="64">
          <cell r="A64" t="str">
            <v xml:space="preserve"> Dominica</v>
          </cell>
        </row>
        <row r="65">
          <cell r="A65" t="str">
            <v xml:space="preserve"> Dominican Republic</v>
          </cell>
        </row>
        <row r="66">
          <cell r="A66" t="str">
            <v xml:space="preserve"> Ecuador</v>
          </cell>
        </row>
        <row r="67">
          <cell r="A67" t="str">
            <v xml:space="preserve"> Egypt</v>
          </cell>
        </row>
        <row r="68">
          <cell r="A68" t="str">
            <v xml:space="preserve"> El Salvador</v>
          </cell>
        </row>
        <row r="69">
          <cell r="A69" t="str">
            <v xml:space="preserve"> Equatorial Guinea</v>
          </cell>
        </row>
        <row r="70">
          <cell r="A70" t="str">
            <v xml:space="preserve"> Eritrea</v>
          </cell>
        </row>
        <row r="71">
          <cell r="A71" t="str">
            <v xml:space="preserve"> Estonia</v>
          </cell>
        </row>
        <row r="72">
          <cell r="A72" t="str">
            <v xml:space="preserve"> Eswatini</v>
          </cell>
        </row>
        <row r="73">
          <cell r="A73" t="str">
            <v xml:space="preserve"> Ethiopia</v>
          </cell>
        </row>
        <row r="74">
          <cell r="A74" t="str">
            <v xml:space="preserve"> European Union</v>
          </cell>
        </row>
        <row r="75">
          <cell r="A75" t="str">
            <v xml:space="preserve"> Falkland Islands</v>
          </cell>
        </row>
        <row r="76">
          <cell r="A76" t="str">
            <v xml:space="preserve"> Faroe Islands</v>
          </cell>
        </row>
        <row r="77">
          <cell r="A77" t="str">
            <v xml:space="preserve"> Fiji</v>
          </cell>
        </row>
        <row r="78">
          <cell r="A78" t="str">
            <v xml:space="preserve"> Finland</v>
          </cell>
        </row>
        <row r="79">
          <cell r="A79" t="str">
            <v xml:space="preserve"> France</v>
          </cell>
        </row>
        <row r="80">
          <cell r="A80" t="str">
            <v xml:space="preserve"> French Guiana</v>
          </cell>
        </row>
        <row r="81">
          <cell r="A81" t="str">
            <v xml:space="preserve"> French Polynesia</v>
          </cell>
        </row>
        <row r="82">
          <cell r="A82" t="str">
            <v xml:space="preserve"> French Southern Territories</v>
          </cell>
        </row>
        <row r="83">
          <cell r="A83" t="str">
            <v xml:space="preserve"> Gabon</v>
          </cell>
        </row>
        <row r="84">
          <cell r="A84" t="str">
            <v xml:space="preserve"> Gambia</v>
          </cell>
        </row>
        <row r="85">
          <cell r="A85" t="str">
            <v xml:space="preserve"> Georgia</v>
          </cell>
        </row>
        <row r="86">
          <cell r="A86" t="str">
            <v xml:space="preserve"> Germany</v>
          </cell>
        </row>
        <row r="87">
          <cell r="A87" t="str">
            <v xml:space="preserve"> Ghana</v>
          </cell>
        </row>
        <row r="88">
          <cell r="A88" t="str">
            <v xml:space="preserve"> Gibraltar</v>
          </cell>
        </row>
        <row r="89">
          <cell r="A89" t="str">
            <v xml:space="preserve"> Greece</v>
          </cell>
        </row>
        <row r="90">
          <cell r="A90" t="str">
            <v xml:space="preserve"> Greenland</v>
          </cell>
        </row>
        <row r="91">
          <cell r="A91" t="str">
            <v xml:space="preserve"> Grenada</v>
          </cell>
        </row>
        <row r="92">
          <cell r="A92" t="str">
            <v xml:space="preserve"> Guadeloupe</v>
          </cell>
        </row>
        <row r="93">
          <cell r="A93" t="str">
            <v xml:space="preserve"> Guam</v>
          </cell>
        </row>
        <row r="94">
          <cell r="A94" t="str">
            <v xml:space="preserve"> Guatemala</v>
          </cell>
        </row>
        <row r="95">
          <cell r="A95" t="str">
            <v xml:space="preserve"> Guernsey</v>
          </cell>
        </row>
        <row r="96">
          <cell r="A96" t="str">
            <v xml:space="preserve"> Guinea</v>
          </cell>
        </row>
        <row r="97">
          <cell r="A97" t="str">
            <v xml:space="preserve"> Guinea-Bissau</v>
          </cell>
        </row>
        <row r="98">
          <cell r="A98" t="str">
            <v xml:space="preserve"> Guyana</v>
          </cell>
        </row>
        <row r="99">
          <cell r="A99" t="str">
            <v xml:space="preserve"> Haiti</v>
          </cell>
        </row>
        <row r="100">
          <cell r="A100" t="str">
            <v xml:space="preserve"> Heard &amp; McDonald Islands</v>
          </cell>
        </row>
        <row r="101">
          <cell r="A101" t="str">
            <v xml:space="preserve"> Honduras</v>
          </cell>
        </row>
        <row r="102">
          <cell r="A102" t="str">
            <v xml:space="preserve"> Hong Kong SAR China</v>
          </cell>
        </row>
        <row r="103">
          <cell r="A103" t="str">
            <v xml:space="preserve"> Hungary</v>
          </cell>
        </row>
        <row r="104">
          <cell r="A104" t="str">
            <v xml:space="preserve"> Iceland</v>
          </cell>
        </row>
        <row r="105">
          <cell r="A105" t="str">
            <v xml:space="preserve"> India</v>
          </cell>
        </row>
        <row r="106">
          <cell r="A106" t="str">
            <v xml:space="preserve"> Indonesia</v>
          </cell>
        </row>
        <row r="107">
          <cell r="A107" t="str">
            <v xml:space="preserve"> Iran</v>
          </cell>
        </row>
        <row r="108">
          <cell r="A108" t="str">
            <v xml:space="preserve"> Iraq</v>
          </cell>
        </row>
        <row r="109">
          <cell r="A109" t="str">
            <v xml:space="preserve"> Ireland</v>
          </cell>
        </row>
        <row r="110">
          <cell r="A110" t="str">
            <v xml:space="preserve"> Isle of Man</v>
          </cell>
        </row>
        <row r="111">
          <cell r="A111" t="str">
            <v xml:space="preserve"> Israel</v>
          </cell>
        </row>
        <row r="112">
          <cell r="A112" t="str">
            <v xml:space="preserve"> Italy</v>
          </cell>
        </row>
        <row r="113">
          <cell r="A113" t="str">
            <v xml:space="preserve"> Jamaica</v>
          </cell>
        </row>
        <row r="114">
          <cell r="A114" t="str">
            <v xml:space="preserve"> Japan</v>
          </cell>
        </row>
        <row r="115">
          <cell r="A115" t="str">
            <v xml:space="preserve"> Jersey</v>
          </cell>
        </row>
        <row r="116">
          <cell r="A116" t="str">
            <v xml:space="preserve"> Jordan</v>
          </cell>
        </row>
        <row r="117">
          <cell r="A117" t="str">
            <v xml:space="preserve"> Kazakhstan</v>
          </cell>
        </row>
        <row r="118">
          <cell r="A118" t="str">
            <v xml:space="preserve"> Kenya</v>
          </cell>
        </row>
        <row r="119">
          <cell r="A119" t="str">
            <v xml:space="preserve"> Kiribati</v>
          </cell>
        </row>
        <row r="120">
          <cell r="A120" t="str">
            <v xml:space="preserve"> Kosovo</v>
          </cell>
        </row>
        <row r="121">
          <cell r="A121" t="str">
            <v xml:space="preserve"> Kuwait</v>
          </cell>
        </row>
        <row r="122">
          <cell r="A122" t="str">
            <v xml:space="preserve"> Kyrgyzstan</v>
          </cell>
        </row>
        <row r="123">
          <cell r="A123" t="str">
            <v xml:space="preserve"> Laos</v>
          </cell>
        </row>
        <row r="124">
          <cell r="A124" t="str">
            <v xml:space="preserve"> Latvia</v>
          </cell>
        </row>
        <row r="125">
          <cell r="A125" t="str">
            <v xml:space="preserve"> Lebanon</v>
          </cell>
        </row>
        <row r="126">
          <cell r="A126" t="str">
            <v xml:space="preserve"> Lesotho</v>
          </cell>
        </row>
        <row r="127">
          <cell r="A127" t="str">
            <v xml:space="preserve"> Liberia</v>
          </cell>
        </row>
        <row r="128">
          <cell r="A128" t="str">
            <v xml:space="preserve"> Libya</v>
          </cell>
        </row>
        <row r="129">
          <cell r="A129" t="str">
            <v xml:space="preserve"> Liechtenstein</v>
          </cell>
        </row>
        <row r="130">
          <cell r="A130" t="str">
            <v xml:space="preserve"> Lithuania</v>
          </cell>
        </row>
        <row r="131">
          <cell r="A131" t="str">
            <v xml:space="preserve"> Luxembourg</v>
          </cell>
        </row>
        <row r="132">
          <cell r="A132" t="str">
            <v xml:space="preserve"> Macao SAR China</v>
          </cell>
        </row>
        <row r="133">
          <cell r="A133" t="str">
            <v xml:space="preserve"> Madagascar</v>
          </cell>
        </row>
        <row r="134">
          <cell r="A134" t="str">
            <v xml:space="preserve"> Malawi</v>
          </cell>
        </row>
        <row r="135">
          <cell r="A135" t="str">
            <v xml:space="preserve"> Malaysia</v>
          </cell>
        </row>
        <row r="136">
          <cell r="A136" t="str">
            <v xml:space="preserve"> Maldives</v>
          </cell>
        </row>
        <row r="137">
          <cell r="A137" t="str">
            <v xml:space="preserve"> Mali</v>
          </cell>
        </row>
        <row r="138">
          <cell r="A138" t="str">
            <v xml:space="preserve"> Malta</v>
          </cell>
        </row>
        <row r="139">
          <cell r="A139" t="str">
            <v xml:space="preserve"> Marshall Islands</v>
          </cell>
        </row>
        <row r="140">
          <cell r="A140" t="str">
            <v xml:space="preserve"> Martinique</v>
          </cell>
        </row>
        <row r="141">
          <cell r="A141" t="str">
            <v xml:space="preserve"> Mauritania</v>
          </cell>
        </row>
        <row r="142">
          <cell r="A142" t="str">
            <v xml:space="preserve"> Mauritius</v>
          </cell>
        </row>
        <row r="143">
          <cell r="A143" t="str">
            <v xml:space="preserve"> Mayotte</v>
          </cell>
        </row>
        <row r="144">
          <cell r="A144" t="str">
            <v xml:space="preserve"> Mexico</v>
          </cell>
        </row>
        <row r="145">
          <cell r="A145" t="str">
            <v xml:space="preserve"> Micronesia</v>
          </cell>
        </row>
        <row r="146">
          <cell r="A146" t="str">
            <v xml:space="preserve"> Moldova</v>
          </cell>
        </row>
        <row r="147">
          <cell r="A147" t="str">
            <v xml:space="preserve"> Monaco</v>
          </cell>
        </row>
        <row r="148">
          <cell r="A148" t="str">
            <v xml:space="preserve"> Mongolia</v>
          </cell>
        </row>
        <row r="149">
          <cell r="A149" t="str">
            <v xml:space="preserve"> Montenegro</v>
          </cell>
        </row>
        <row r="150">
          <cell r="A150" t="str">
            <v xml:space="preserve"> Montserrat</v>
          </cell>
        </row>
        <row r="151">
          <cell r="A151" t="str">
            <v xml:space="preserve"> Morocco</v>
          </cell>
        </row>
        <row r="152">
          <cell r="A152" t="str">
            <v xml:space="preserve"> Mozambique</v>
          </cell>
        </row>
        <row r="153">
          <cell r="A153" t="str">
            <v xml:space="preserve"> Myanmar (Burma)</v>
          </cell>
        </row>
        <row r="154">
          <cell r="A154" t="str">
            <v xml:space="preserve"> Namibia</v>
          </cell>
        </row>
        <row r="155">
          <cell r="A155" t="str">
            <v xml:space="preserve"> Nauru</v>
          </cell>
        </row>
        <row r="156">
          <cell r="A156" t="str">
            <v xml:space="preserve"> Nepal</v>
          </cell>
        </row>
        <row r="157">
          <cell r="A157" t="str">
            <v xml:space="preserve"> Netherlands</v>
          </cell>
        </row>
        <row r="158">
          <cell r="A158" t="str">
            <v xml:space="preserve"> New Caledonia</v>
          </cell>
        </row>
        <row r="159">
          <cell r="A159" t="str">
            <v xml:space="preserve"> New Zealand</v>
          </cell>
        </row>
        <row r="160">
          <cell r="A160" t="str">
            <v xml:space="preserve"> Nicaragua</v>
          </cell>
        </row>
        <row r="161">
          <cell r="A161" t="str">
            <v xml:space="preserve"> Niger</v>
          </cell>
        </row>
        <row r="162">
          <cell r="A162" t="str">
            <v xml:space="preserve"> Nigeria</v>
          </cell>
        </row>
        <row r="163">
          <cell r="A163" t="str">
            <v xml:space="preserve"> Niue</v>
          </cell>
        </row>
        <row r="164">
          <cell r="A164" t="str">
            <v xml:space="preserve"> Norfolk Island</v>
          </cell>
        </row>
        <row r="165">
          <cell r="A165" t="str">
            <v xml:space="preserve"> North Korea</v>
          </cell>
        </row>
        <row r="166">
          <cell r="A166" t="str">
            <v xml:space="preserve"> North Macedonia</v>
          </cell>
        </row>
        <row r="167">
          <cell r="A167" t="str">
            <v xml:space="preserve"> Northern Ireland</v>
          </cell>
        </row>
        <row r="168">
          <cell r="A168" t="str">
            <v xml:space="preserve"> Northern Mariana Islands</v>
          </cell>
        </row>
        <row r="169">
          <cell r="A169" t="str">
            <v xml:space="preserve"> Norway</v>
          </cell>
        </row>
        <row r="170">
          <cell r="A170" t="str">
            <v xml:space="preserve"> Oman</v>
          </cell>
        </row>
        <row r="171">
          <cell r="A171" t="str">
            <v xml:space="preserve"> Outlying Oceania</v>
          </cell>
        </row>
        <row r="172">
          <cell r="A172" t="str">
            <v xml:space="preserve"> Pakistan</v>
          </cell>
        </row>
        <row r="173">
          <cell r="A173" t="str">
            <v xml:space="preserve"> Palau</v>
          </cell>
        </row>
        <row r="174">
          <cell r="A174" t="str">
            <v xml:space="preserve"> Palestinian Territories</v>
          </cell>
        </row>
        <row r="175">
          <cell r="A175" t="str">
            <v xml:space="preserve"> Panama</v>
          </cell>
        </row>
        <row r="176">
          <cell r="A176" t="str">
            <v xml:space="preserve"> Papua New Guinea</v>
          </cell>
        </row>
        <row r="177">
          <cell r="A177" t="str">
            <v xml:space="preserve"> Paraguay</v>
          </cell>
        </row>
        <row r="178">
          <cell r="A178" t="str">
            <v xml:space="preserve"> Peru</v>
          </cell>
        </row>
        <row r="179">
          <cell r="A179" t="str">
            <v xml:space="preserve"> Philippines</v>
          </cell>
        </row>
        <row r="180">
          <cell r="A180" t="str">
            <v xml:space="preserve"> Pitcairn Islands</v>
          </cell>
        </row>
        <row r="181">
          <cell r="A181" t="str">
            <v xml:space="preserve"> Poland</v>
          </cell>
        </row>
        <row r="182">
          <cell r="A182" t="str">
            <v xml:space="preserve"> Portugal</v>
          </cell>
        </row>
        <row r="183">
          <cell r="A183" t="str">
            <v xml:space="preserve"> Puerto Rico</v>
          </cell>
        </row>
        <row r="184">
          <cell r="A184" t="str">
            <v xml:space="preserve"> Qatar</v>
          </cell>
        </row>
        <row r="185">
          <cell r="A185" t="str">
            <v xml:space="preserve"> Réunion</v>
          </cell>
        </row>
        <row r="186">
          <cell r="A186" t="str">
            <v xml:space="preserve"> Romania</v>
          </cell>
        </row>
        <row r="187">
          <cell r="A187" t="str">
            <v xml:space="preserve"> Russia</v>
          </cell>
        </row>
        <row r="188">
          <cell r="A188" t="str">
            <v xml:space="preserve"> Rwanda</v>
          </cell>
        </row>
        <row r="189">
          <cell r="A189" t="str">
            <v xml:space="preserve"> Samoa</v>
          </cell>
        </row>
        <row r="190">
          <cell r="A190" t="str">
            <v xml:space="preserve"> San Marino</v>
          </cell>
        </row>
        <row r="191">
          <cell r="A191" t="str">
            <v xml:space="preserve"> São Tomé &amp; Príncipe</v>
          </cell>
        </row>
        <row r="192">
          <cell r="A192" t="str">
            <v xml:space="preserve"> Saudi Arabia</v>
          </cell>
        </row>
        <row r="193">
          <cell r="A193" t="str">
            <v xml:space="preserve"> Senegal</v>
          </cell>
        </row>
        <row r="194">
          <cell r="A194" t="str">
            <v xml:space="preserve"> Serbia</v>
          </cell>
        </row>
        <row r="195">
          <cell r="A195" t="str">
            <v xml:space="preserve"> Seychelles</v>
          </cell>
        </row>
        <row r="196">
          <cell r="A196" t="str">
            <v xml:space="preserve"> Sierra Leone</v>
          </cell>
        </row>
        <row r="197">
          <cell r="A197" t="str">
            <v xml:space="preserve"> Singapore</v>
          </cell>
        </row>
        <row r="198">
          <cell r="A198" t="str">
            <v xml:space="preserve"> Sint Maarten</v>
          </cell>
        </row>
        <row r="199">
          <cell r="A199" t="str">
            <v xml:space="preserve"> Slovakia</v>
          </cell>
        </row>
        <row r="200">
          <cell r="A200" t="str">
            <v xml:space="preserve"> Slovenia</v>
          </cell>
        </row>
        <row r="201">
          <cell r="A201" t="str">
            <v xml:space="preserve"> Solomon Islands</v>
          </cell>
        </row>
        <row r="202">
          <cell r="A202" t="str">
            <v xml:space="preserve"> Somalia</v>
          </cell>
        </row>
        <row r="203">
          <cell r="A203" t="str">
            <v xml:space="preserve"> South Africa</v>
          </cell>
        </row>
        <row r="204">
          <cell r="A204" t="str">
            <v xml:space="preserve"> South Georgia &amp; South Sandwich Islands</v>
          </cell>
        </row>
        <row r="205">
          <cell r="A205" t="str">
            <v xml:space="preserve"> South Korea</v>
          </cell>
        </row>
        <row r="206">
          <cell r="A206" t="str">
            <v xml:space="preserve"> South Sudan</v>
          </cell>
        </row>
        <row r="207">
          <cell r="A207" t="str">
            <v xml:space="preserve"> Spain</v>
          </cell>
        </row>
        <row r="208">
          <cell r="A208" t="str">
            <v xml:space="preserve"> Sri Lanka</v>
          </cell>
        </row>
        <row r="209">
          <cell r="A209" t="str">
            <v xml:space="preserve"> St. Barthélemy</v>
          </cell>
        </row>
        <row r="210">
          <cell r="A210" t="str">
            <v xml:space="preserve"> St. Helena</v>
          </cell>
        </row>
        <row r="211">
          <cell r="A211" t="str">
            <v xml:space="preserve"> St. Kitts &amp; Nevis</v>
          </cell>
        </row>
        <row r="212">
          <cell r="A212" t="str">
            <v xml:space="preserve"> St. Lucia</v>
          </cell>
        </row>
        <row r="213">
          <cell r="A213" t="str">
            <v xml:space="preserve"> St. Martin</v>
          </cell>
        </row>
        <row r="214">
          <cell r="A214" t="str">
            <v xml:space="preserve"> St. Pierre &amp; Miquelon</v>
          </cell>
        </row>
        <row r="215">
          <cell r="A215" t="str">
            <v xml:space="preserve"> St. Vincent &amp; Grenadines</v>
          </cell>
        </row>
        <row r="216">
          <cell r="A216" t="str">
            <v xml:space="preserve"> Sudan</v>
          </cell>
        </row>
        <row r="217">
          <cell r="A217" t="str">
            <v xml:space="preserve"> Suriname</v>
          </cell>
        </row>
        <row r="218">
          <cell r="A218" t="str">
            <v xml:space="preserve"> Svalbard &amp; Jan Mayen</v>
          </cell>
        </row>
        <row r="219">
          <cell r="A219" t="str">
            <v xml:space="preserve"> Sweden</v>
          </cell>
        </row>
        <row r="220">
          <cell r="A220" t="str">
            <v xml:space="preserve"> Switzerland</v>
          </cell>
        </row>
        <row r="221">
          <cell r="A221" t="str">
            <v xml:space="preserve"> Syria</v>
          </cell>
        </row>
        <row r="222">
          <cell r="A222" t="str">
            <v xml:space="preserve"> Taiwan</v>
          </cell>
        </row>
        <row r="223">
          <cell r="A223" t="str">
            <v xml:space="preserve"> Tajikistan</v>
          </cell>
        </row>
        <row r="224">
          <cell r="A224" t="str">
            <v xml:space="preserve"> Tanzania</v>
          </cell>
        </row>
        <row r="225">
          <cell r="A225" t="str">
            <v xml:space="preserve"> Thailand</v>
          </cell>
        </row>
        <row r="226">
          <cell r="A226" t="str">
            <v xml:space="preserve"> Timor-Leste</v>
          </cell>
        </row>
        <row r="227">
          <cell r="A227" t="str">
            <v xml:space="preserve"> Togo</v>
          </cell>
        </row>
        <row r="228">
          <cell r="A228" t="str">
            <v xml:space="preserve"> Tokelau</v>
          </cell>
        </row>
        <row r="229">
          <cell r="A229" t="str">
            <v xml:space="preserve"> Tonga</v>
          </cell>
        </row>
        <row r="230">
          <cell r="A230" t="str">
            <v xml:space="preserve"> Trinidad &amp; Tobago</v>
          </cell>
        </row>
        <row r="231">
          <cell r="A231" t="str">
            <v xml:space="preserve"> Tunisia</v>
          </cell>
        </row>
        <row r="232">
          <cell r="A232" t="str">
            <v xml:space="preserve"> Turkey</v>
          </cell>
        </row>
        <row r="233">
          <cell r="A233" t="str">
            <v xml:space="preserve"> Turkmenistan</v>
          </cell>
        </row>
        <row r="234">
          <cell r="A234" t="str">
            <v xml:space="preserve"> Turks &amp; Caicos Islands</v>
          </cell>
        </row>
        <row r="235">
          <cell r="A235" t="str">
            <v xml:space="preserve"> Tuvalu</v>
          </cell>
        </row>
        <row r="236">
          <cell r="A236" t="str">
            <v xml:space="preserve"> U.S. Outlying Islands</v>
          </cell>
        </row>
        <row r="237">
          <cell r="A237" t="str">
            <v xml:space="preserve"> U.S. Virgin Islands</v>
          </cell>
        </row>
        <row r="238">
          <cell r="A238" t="str">
            <v xml:space="preserve"> Uganda</v>
          </cell>
        </row>
        <row r="239">
          <cell r="A239" t="str">
            <v xml:space="preserve"> Ukraine</v>
          </cell>
        </row>
        <row r="240">
          <cell r="A240" t="str">
            <v xml:space="preserve"> United Arab Emirates</v>
          </cell>
        </row>
        <row r="241">
          <cell r="A241" t="str">
            <v xml:space="preserve"> United Kingdom</v>
          </cell>
        </row>
        <row r="242">
          <cell r="A242" t="str">
            <v xml:space="preserve"> United States</v>
          </cell>
        </row>
        <row r="243">
          <cell r="A243" t="str">
            <v xml:space="preserve"> Uruguay</v>
          </cell>
        </row>
        <row r="244">
          <cell r="A244" t="str">
            <v xml:space="preserve"> Uzbekistan</v>
          </cell>
        </row>
        <row r="245">
          <cell r="A245" t="str">
            <v xml:space="preserve"> Vanuatu</v>
          </cell>
        </row>
        <row r="246">
          <cell r="A246" t="str">
            <v xml:space="preserve"> Vatican City</v>
          </cell>
        </row>
        <row r="247">
          <cell r="A247" t="str">
            <v xml:space="preserve"> Venezuela</v>
          </cell>
        </row>
        <row r="248">
          <cell r="A248" t="str">
            <v xml:space="preserve"> Vietnam</v>
          </cell>
        </row>
        <row r="249">
          <cell r="A249" t="str">
            <v xml:space="preserve"> Wallis &amp; Futuna</v>
          </cell>
        </row>
        <row r="250">
          <cell r="A250" t="str">
            <v xml:space="preserve"> Western Sahara</v>
          </cell>
        </row>
        <row r="251">
          <cell r="A251" t="str">
            <v xml:space="preserve"> Yemen</v>
          </cell>
        </row>
        <row r="252">
          <cell r="A252" t="str">
            <v xml:space="preserve"> Zambia</v>
          </cell>
        </row>
        <row r="253">
          <cell r="A253" t="str">
            <v xml:space="preserve"> Zimbabwe</v>
          </cell>
        </row>
      </sheetData>
      <sheetData sheetId="7"/>
      <sheetData sheetId="8"/>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414D91E-7677-4AF1-9376-42CFE3F0AFA7}"/>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B29:E29" headerRowCount="0" headerRowDxfId="40" dataDxfId="39" totalsRowDxfId="38">
  <tableColumns count="4">
    <tableColumn id="1" xr3:uid="{00000000-0010-0000-0400-000001000000}" name="Column1" dataDxfId="37" dataCellStyle="Hyperlink"/>
    <tableColumn id="2" xr3:uid="{00000000-0010-0000-0400-000002000000}" name="Column2" dataDxfId="36"/>
    <tableColumn id="3" xr3:uid="{00000000-0010-0000-0400-000003000000}" name="Column3" dataDxfId="35"/>
    <tableColumn id="4" xr3:uid="{B99EEB4C-5A11-4928-9C7C-5C8FE8BF2C00}" name="Column4" headerRowDxfId="34" dataDxfId="33" totalsRowDxfId="32"/>
  </tableColumns>
  <tableStyleInfo name="Health_Report_UA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65:T85" headerRowCount="0" headerRowDxfId="31" dataDxfId="30" totalsRowDxfId="29">
  <tableColumns count="20">
    <tableColumn id="1" xr3:uid="{00000000-0010-0000-0500-000001000000}" name="Column1" dataDxfId="28"/>
    <tableColumn id="2" xr3:uid="{00000000-0010-0000-0500-000002000000}" name="Column2" dataDxfId="27"/>
    <tableColumn id="3" xr3:uid="{00000000-0010-0000-0500-000003000000}" name="Column3" dataDxfId="26"/>
    <tableColumn id="4" xr3:uid="{00000000-0010-0000-0500-000004000000}" name="Column4" dataDxfId="25"/>
    <tableColumn id="9" xr3:uid="{00000000-0010-0000-0500-000009000000}" name="Column9" dataDxfId="24"/>
    <tableColumn id="5" xr3:uid="{00000000-0010-0000-0500-000005000000}" name="Column5" dataDxfId="23"/>
    <tableColumn id="6" xr3:uid="{00000000-0010-0000-0500-000006000000}" name="Column6" dataDxfId="22"/>
    <tableColumn id="7" xr3:uid="{00000000-0010-0000-0500-000007000000}" name="Column7" dataDxfId="21"/>
    <tableColumn id="8" xr3:uid="{00000000-0010-0000-0500-000008000000}" name="Column8" dataDxfId="20"/>
    <tableColumn id="10" xr3:uid="{00000000-0010-0000-0500-00000A000000}" name="Column10" dataDxfId="19"/>
    <tableColumn id="11" xr3:uid="{00000000-0010-0000-0500-00000B000000}" name="Column11" dataDxfId="18"/>
    <tableColumn id="12" xr3:uid="{00000000-0010-0000-0500-00000C000000}" name="Column12" dataDxfId="17"/>
    <tableColumn id="13" xr3:uid="{00000000-0010-0000-0500-00000D000000}" name="Column13" dataDxfId="16"/>
    <tableColumn id="14" xr3:uid="{00000000-0010-0000-0500-00000E000000}" name="Column14" dataDxfId="15"/>
    <tableColumn id="15" xr3:uid="{00000000-0010-0000-0500-00000F000000}" name="Column15" dataDxfId="14"/>
    <tableColumn id="16" xr3:uid="{00000000-0010-0000-0500-000010000000}" name="Column16" dataDxfId="13"/>
    <tableColumn id="17" xr3:uid="{00000000-0010-0000-0500-000011000000}" name="Column17" dataDxfId="12"/>
    <tableColumn id="18" xr3:uid="{00000000-0010-0000-0500-000012000000}" name="Column18" dataDxfId="11"/>
    <tableColumn id="19" xr3:uid="{00000000-0010-0000-0500-000013000000}" name="Column19" dataDxfId="10"/>
    <tableColumn id="20" xr3:uid="{00000000-0010-0000-0500-000014000000}" name="Column20" dataDxfId="9"/>
  </tableColumns>
  <tableStyleInfo name="Health_Report_UAT-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88B4860-550D-471A-BEDF-20B1ABD7E63A}" name="Table_512" displayName="Table_512" ref="B105:E105" headerRowCount="0" headerRowDxfId="8" dataDxfId="7" totalsRowDxfId="6">
  <tableColumns count="4">
    <tableColumn id="1" xr3:uid="{2D1EE540-000C-472B-8EFA-8A6892C1C1C0}" name="Column1" dataDxfId="5" dataCellStyle="Hyperlink"/>
    <tableColumn id="2" xr3:uid="{2F327666-41D1-4649-A867-C8CCE1DB3D85}" name="Column2" dataDxfId="4"/>
    <tableColumn id="3" xr3:uid="{29F72074-0AA7-4E82-9FC2-5E5D54225561}" name="Column3" dataDxfId="3"/>
    <tableColumn id="4" xr3:uid="{B75F26F4-2D44-422D-BD74-FD942AE60F62}" name="Column4" headerRowDxfId="2" dataDxfId="1" totalsRowDxfId="0"/>
  </tableColumns>
  <tableStyleInfo name="Health_Report_UA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mailto:Perf-Test-User-10314@mailinator.com" TargetMode="External"/><Relationship Id="rId21" Type="http://schemas.openxmlformats.org/officeDocument/2006/relationships/hyperlink" Target="mailto:Auto-Test-User-24@mailinator.com" TargetMode="External"/><Relationship Id="rId42" Type="http://schemas.openxmlformats.org/officeDocument/2006/relationships/hyperlink" Target="mailto:AMLOnlineUser5-CDEN@mailinator.com" TargetMode="External"/><Relationship Id="rId63" Type="http://schemas.openxmlformats.org/officeDocument/2006/relationships/hyperlink" Target="mailto:Auto-Test-User-24@mailinator.com" TargetMode="External"/><Relationship Id="rId84" Type="http://schemas.openxmlformats.org/officeDocument/2006/relationships/hyperlink" Target="mailto:UAT-Target-Regression-9051@mailinator.com" TargetMode="External"/><Relationship Id="rId138" Type="http://schemas.openxmlformats.org/officeDocument/2006/relationships/hyperlink" Target="mailto:UAT-WF-User45@mailinator.com" TargetMode="External"/><Relationship Id="rId159" Type="http://schemas.openxmlformats.org/officeDocument/2006/relationships/hyperlink" Target="mailto:Perf-Test-User-112803@mailinator.com" TargetMode="External"/><Relationship Id="rId170" Type="http://schemas.openxmlformats.org/officeDocument/2006/relationships/hyperlink" Target="mailto:Perf-Test-User-10178@mailinator.com" TargetMode="External"/><Relationship Id="rId191" Type="http://schemas.openxmlformats.org/officeDocument/2006/relationships/hyperlink" Target="mailto:UAT-WF-User77@mailinator.com" TargetMode="External"/><Relationship Id="rId205" Type="http://schemas.openxmlformats.org/officeDocument/2006/relationships/hyperlink" Target="mailto:AMLOnlineUser5-CDEN@mailinator.com" TargetMode="External"/><Relationship Id="rId226" Type="http://schemas.openxmlformats.org/officeDocument/2006/relationships/hyperlink" Target="mailto:UAT-WF-User77@mailinator.com" TargetMode="External"/><Relationship Id="rId107" Type="http://schemas.openxmlformats.org/officeDocument/2006/relationships/hyperlink" Target="mailto:UAT-WF-User48@mailinator.com" TargetMode="External"/><Relationship Id="rId11" Type="http://schemas.openxmlformats.org/officeDocument/2006/relationships/hyperlink" Target="mailto:Perf-Test-User-9986@mailinator.com" TargetMode="External"/><Relationship Id="rId32" Type="http://schemas.openxmlformats.org/officeDocument/2006/relationships/hyperlink" Target="mailto:Perf-Test-User-9916@mailinator.com" TargetMode="External"/><Relationship Id="rId53" Type="http://schemas.openxmlformats.org/officeDocument/2006/relationships/hyperlink" Target="mailto:Auto-Test-User-24@mailinator.com" TargetMode="External"/><Relationship Id="rId74" Type="http://schemas.openxmlformats.org/officeDocument/2006/relationships/hyperlink" Target="mailto:Perf-Test-User-10025@mailinator.com" TargetMode="External"/><Relationship Id="rId128" Type="http://schemas.openxmlformats.org/officeDocument/2006/relationships/hyperlink" Target="mailto:UAT-WF-User21@mailinator.com" TargetMode="External"/><Relationship Id="rId149" Type="http://schemas.openxmlformats.org/officeDocument/2006/relationships/hyperlink" Target="mailto:UATAUTOCHANGED-WF-User2@mailinator.com" TargetMode="External"/><Relationship Id="rId5" Type="http://schemas.openxmlformats.org/officeDocument/2006/relationships/hyperlink" Target="mailto:UAT-WF-User41@mailinator.com" TargetMode="External"/><Relationship Id="rId95" Type="http://schemas.openxmlformats.org/officeDocument/2006/relationships/hyperlink" Target="mailto:Auto-Test-User-24@mailinator.com" TargetMode="External"/><Relationship Id="rId160" Type="http://schemas.openxmlformats.org/officeDocument/2006/relationships/hyperlink" Target="mailto:Perf-Test-User-9906@mailinator.com" TargetMode="External"/><Relationship Id="rId181" Type="http://schemas.openxmlformats.org/officeDocument/2006/relationships/hyperlink" Target="mailto:UAT-WF-User45@mailinator.com" TargetMode="External"/><Relationship Id="rId216" Type="http://schemas.openxmlformats.org/officeDocument/2006/relationships/hyperlink" Target="mailto:Perf-Test-User-10190@mailinator.com" TargetMode="External"/><Relationship Id="rId22" Type="http://schemas.openxmlformats.org/officeDocument/2006/relationships/hyperlink" Target="mailto:UAT-Target-Regression-1128@mailinator.com" TargetMode="External"/><Relationship Id="rId43" Type="http://schemas.openxmlformats.org/officeDocument/2006/relationships/hyperlink" Target="mailto:AMLOnlineUser5-CDEN@mailinator.com" TargetMode="External"/><Relationship Id="rId64" Type="http://schemas.openxmlformats.org/officeDocument/2006/relationships/hyperlink" Target="mailto:UAT-WF-User48@mailinator.com" TargetMode="External"/><Relationship Id="rId118" Type="http://schemas.openxmlformats.org/officeDocument/2006/relationships/hyperlink" Target="mailto:Perf-Test-User-10314@mailinator.com" TargetMode="External"/><Relationship Id="rId139" Type="http://schemas.openxmlformats.org/officeDocument/2006/relationships/hyperlink" Target="mailto:UAT-WF-User45@mailinator.com" TargetMode="External"/><Relationship Id="rId85" Type="http://schemas.openxmlformats.org/officeDocument/2006/relationships/hyperlink" Target="mailto:Perf-Test-User-10126@mailinator.com" TargetMode="External"/><Relationship Id="rId150" Type="http://schemas.openxmlformats.org/officeDocument/2006/relationships/hyperlink" Target="mailto:UAT-WF-User45@mailinator.com" TargetMode="External"/><Relationship Id="rId171" Type="http://schemas.openxmlformats.org/officeDocument/2006/relationships/hyperlink" Target="mailto:Perf-Test-User-9904@mailinator.com" TargetMode="External"/><Relationship Id="rId192" Type="http://schemas.openxmlformats.org/officeDocument/2006/relationships/hyperlink" Target="mailto:UAT-WF-User77@mailinator.com" TargetMode="External"/><Relationship Id="rId206" Type="http://schemas.openxmlformats.org/officeDocument/2006/relationships/hyperlink" Target="mailto:UAT-target-Regression-9027@mailinator.com" TargetMode="External"/><Relationship Id="rId227" Type="http://schemas.openxmlformats.org/officeDocument/2006/relationships/hyperlink" Target="mailto:UAT-WF-User48@mailinator.com" TargetMode="External"/><Relationship Id="rId12" Type="http://schemas.openxmlformats.org/officeDocument/2006/relationships/hyperlink" Target="mailto:Auto-Test-User-24@mailinator.com" TargetMode="External"/><Relationship Id="rId33" Type="http://schemas.openxmlformats.org/officeDocument/2006/relationships/hyperlink" Target="mailto:Perf-Test-User-10330@mailinator.com" TargetMode="External"/><Relationship Id="rId108" Type="http://schemas.openxmlformats.org/officeDocument/2006/relationships/hyperlink" Target="mailto:AMLOnlineUser5-CDEN@mailinator.com" TargetMode="External"/><Relationship Id="rId129" Type="http://schemas.openxmlformats.org/officeDocument/2006/relationships/hyperlink" Target="mailto:AMLOnlineUser5-CDEN@mailinator.com" TargetMode="External"/><Relationship Id="rId54" Type="http://schemas.openxmlformats.org/officeDocument/2006/relationships/hyperlink" Target="mailto:Perf-Test-User-9915@mailinator.com" TargetMode="External"/><Relationship Id="rId75" Type="http://schemas.openxmlformats.org/officeDocument/2006/relationships/hyperlink" Target="mailto:Perf-Test-User-10014@mailinator.com" TargetMode="External"/><Relationship Id="rId96" Type="http://schemas.openxmlformats.org/officeDocument/2006/relationships/hyperlink" Target="mailto:UAT-WF-User6@mailinator.com" TargetMode="External"/><Relationship Id="rId140" Type="http://schemas.openxmlformats.org/officeDocument/2006/relationships/hyperlink" Target="mailto:UATAUTOCHANGED-WF-User2@mailinator.com" TargetMode="External"/><Relationship Id="rId161" Type="http://schemas.openxmlformats.org/officeDocument/2006/relationships/hyperlink" Target="mailto:UAT-Target-Regression-9011@mailinator.com" TargetMode="External"/><Relationship Id="rId182" Type="http://schemas.openxmlformats.org/officeDocument/2006/relationships/hyperlink" Target="mailto:UAT-WF-User45@mailinator.com" TargetMode="External"/><Relationship Id="rId217" Type="http://schemas.openxmlformats.org/officeDocument/2006/relationships/hyperlink" Target="mailto:UAT-WF-User47@mailinator.com" TargetMode="External"/><Relationship Id="rId6" Type="http://schemas.openxmlformats.org/officeDocument/2006/relationships/hyperlink" Target="mailto:Perf-Test-User-112803@mailinator.com" TargetMode="External"/><Relationship Id="rId23" Type="http://schemas.openxmlformats.org/officeDocument/2006/relationships/hyperlink" Target="mailto:Perf-Test-User-10239@mailinator.com" TargetMode="External"/><Relationship Id="rId119" Type="http://schemas.openxmlformats.org/officeDocument/2006/relationships/hyperlink" Target="mailto:Perf-Test-User-9904@mailinator.com" TargetMode="External"/><Relationship Id="rId44" Type="http://schemas.openxmlformats.org/officeDocument/2006/relationships/hyperlink" Target="mailto:Auto-Test-User-24@mailinator.com" TargetMode="External"/><Relationship Id="rId65" Type="http://schemas.openxmlformats.org/officeDocument/2006/relationships/hyperlink" Target="mailto:UAT-WF-User48@mailinator.com" TargetMode="External"/><Relationship Id="rId86" Type="http://schemas.openxmlformats.org/officeDocument/2006/relationships/hyperlink" Target="mailto:Perf-Test-User-112803@mailinator.com" TargetMode="External"/><Relationship Id="rId130" Type="http://schemas.openxmlformats.org/officeDocument/2006/relationships/hyperlink" Target="mailto:UAT-WF-User77@mailinator.com" TargetMode="External"/><Relationship Id="rId151" Type="http://schemas.openxmlformats.org/officeDocument/2006/relationships/hyperlink" Target="mailto:UAT-Target-Regression-1128@mailinator.com" TargetMode="External"/><Relationship Id="rId172" Type="http://schemas.openxmlformats.org/officeDocument/2006/relationships/hyperlink" Target="mailto:UAT-WF-User45@mailinator.com" TargetMode="External"/><Relationship Id="rId193" Type="http://schemas.openxmlformats.org/officeDocument/2006/relationships/hyperlink" Target="mailto:Auto-Test-User-24@mailinator.com" TargetMode="External"/><Relationship Id="rId207" Type="http://schemas.openxmlformats.org/officeDocument/2006/relationships/hyperlink" Target="mailto:Perf-Test-User-10190@mailinator.com" TargetMode="External"/><Relationship Id="rId228" Type="http://schemas.openxmlformats.org/officeDocument/2006/relationships/hyperlink" Target="mailto:UAT-WF-User48@mailinator.com" TargetMode="External"/><Relationship Id="rId13" Type="http://schemas.openxmlformats.org/officeDocument/2006/relationships/hyperlink" Target="mailto:Perf-Test-User-112803@mailinator.com" TargetMode="External"/><Relationship Id="rId109" Type="http://schemas.openxmlformats.org/officeDocument/2006/relationships/hyperlink" Target="mailto:AMLOnlineUser5-CDEN@mailinator.com" TargetMode="External"/><Relationship Id="rId34" Type="http://schemas.openxmlformats.org/officeDocument/2006/relationships/hyperlink" Target="mailto:Auto-Test-User-24@mailinator.com" TargetMode="External"/><Relationship Id="rId55" Type="http://schemas.openxmlformats.org/officeDocument/2006/relationships/hyperlink" Target="mailto:Perf-Test-User-10126@mailinator.com" TargetMode="External"/><Relationship Id="rId76" Type="http://schemas.openxmlformats.org/officeDocument/2006/relationships/hyperlink" Target="mailto:UAT-WF-User33@mailinator.com" TargetMode="External"/><Relationship Id="rId97" Type="http://schemas.openxmlformats.org/officeDocument/2006/relationships/hyperlink" Target="mailto:UAT-Target-Regression-9011@mailinator.com" TargetMode="External"/><Relationship Id="rId120" Type="http://schemas.openxmlformats.org/officeDocument/2006/relationships/hyperlink" Target="mailto:Perf-Test-User-9904@mailinator.com" TargetMode="External"/><Relationship Id="rId141" Type="http://schemas.openxmlformats.org/officeDocument/2006/relationships/hyperlink" Target="mailto:UAT-WF-User45@mailinator.com" TargetMode="External"/><Relationship Id="rId7" Type="http://schemas.openxmlformats.org/officeDocument/2006/relationships/hyperlink" Target="mailto:Perf-Test-User-9905@mailinator.com" TargetMode="External"/><Relationship Id="rId162" Type="http://schemas.openxmlformats.org/officeDocument/2006/relationships/hyperlink" Target="mailto:Perf-Test-User-9916@mailinator.com" TargetMode="External"/><Relationship Id="rId183" Type="http://schemas.openxmlformats.org/officeDocument/2006/relationships/hyperlink" Target="mailto:UAT-WF-User45@mailinator.com" TargetMode="External"/><Relationship Id="rId218" Type="http://schemas.openxmlformats.org/officeDocument/2006/relationships/hyperlink" Target="mailto:Perf-Test-User-10190@mailinator.com" TargetMode="External"/><Relationship Id="rId24" Type="http://schemas.openxmlformats.org/officeDocument/2006/relationships/hyperlink" Target="mailto:Auto-Test-User-24@mailinator.com" TargetMode="External"/><Relationship Id="rId45" Type="http://schemas.openxmlformats.org/officeDocument/2006/relationships/hyperlink" Target="mailto:Auto-Test-User-24@mailinator.com" TargetMode="External"/><Relationship Id="rId66" Type="http://schemas.openxmlformats.org/officeDocument/2006/relationships/hyperlink" Target="mailto:UAT-WF-User48@mailinator.com" TargetMode="External"/><Relationship Id="rId87" Type="http://schemas.openxmlformats.org/officeDocument/2006/relationships/hyperlink" Target="mailto:Auto-Test-User-24@mailinator.com" TargetMode="External"/><Relationship Id="rId110" Type="http://schemas.openxmlformats.org/officeDocument/2006/relationships/hyperlink" Target="mailto:AMLOnlineUser5-CDEN@mailinator.com" TargetMode="External"/><Relationship Id="rId131" Type="http://schemas.openxmlformats.org/officeDocument/2006/relationships/hyperlink" Target="mailto:UAT-WF-User48@mailinator.com" TargetMode="External"/><Relationship Id="rId152" Type="http://schemas.openxmlformats.org/officeDocument/2006/relationships/hyperlink" Target="mailto:UAT-WF-User45@mailinator.com" TargetMode="External"/><Relationship Id="rId173" Type="http://schemas.openxmlformats.org/officeDocument/2006/relationships/hyperlink" Target="mailto:UAT-WF-User45@mailinator.com" TargetMode="External"/><Relationship Id="rId194" Type="http://schemas.openxmlformats.org/officeDocument/2006/relationships/hyperlink" Target="mailto:Perf-Test-UserUAT-38@mailinator.com" TargetMode="External"/><Relationship Id="rId208" Type="http://schemas.openxmlformats.org/officeDocument/2006/relationships/hyperlink" Target="mailto:Perf-Test-User-10190@mailinator.com" TargetMode="External"/><Relationship Id="rId229" Type="http://schemas.openxmlformats.org/officeDocument/2006/relationships/hyperlink" Target="mailto:Perf-Test-User-8811@mailinator.com" TargetMode="External"/><Relationship Id="rId14" Type="http://schemas.openxmlformats.org/officeDocument/2006/relationships/hyperlink" Target="mailto:UAT-WF-User6@mailinator.com" TargetMode="External"/><Relationship Id="rId35" Type="http://schemas.openxmlformats.org/officeDocument/2006/relationships/hyperlink" Target="mailto:Perf-Test-User-9904@mailinator.com" TargetMode="External"/><Relationship Id="rId56" Type="http://schemas.openxmlformats.org/officeDocument/2006/relationships/hyperlink" Target="mailto:Perf-Test-User-9959@mailinator.com" TargetMode="External"/><Relationship Id="rId77" Type="http://schemas.openxmlformats.org/officeDocument/2006/relationships/hyperlink" Target="mailto:Perf-Test-User-9916@mailinator.com" TargetMode="External"/><Relationship Id="rId100" Type="http://schemas.openxmlformats.org/officeDocument/2006/relationships/hyperlink" Target="mailto:UAT-Target-Regression-1128@mailinator.com" TargetMode="External"/><Relationship Id="rId8" Type="http://schemas.openxmlformats.org/officeDocument/2006/relationships/hyperlink" Target="mailto:Perf-Test-User-10330@mailinator.com" TargetMode="External"/><Relationship Id="rId98" Type="http://schemas.openxmlformats.org/officeDocument/2006/relationships/hyperlink" Target="mailto:Perf-Test-User-10224@mailinator.com" TargetMode="External"/><Relationship Id="rId121" Type="http://schemas.openxmlformats.org/officeDocument/2006/relationships/hyperlink" Target="mailto:Perf-Test-User-9904@mailinator.com" TargetMode="External"/><Relationship Id="rId142" Type="http://schemas.openxmlformats.org/officeDocument/2006/relationships/hyperlink" Target="mailto:UATAUTOCHANGED-WF-User2@mailinator.com" TargetMode="External"/><Relationship Id="rId163" Type="http://schemas.openxmlformats.org/officeDocument/2006/relationships/hyperlink" Target="mailto:Perf-Test-User-9916@mailinator.com" TargetMode="External"/><Relationship Id="rId184" Type="http://schemas.openxmlformats.org/officeDocument/2006/relationships/hyperlink" Target="mailto:UAT-WF-User45@mailinator.com" TargetMode="External"/><Relationship Id="rId219" Type="http://schemas.openxmlformats.org/officeDocument/2006/relationships/hyperlink" Target="mailto:Perf-Test-User-9948@mailinator.com" TargetMode="External"/><Relationship Id="rId230" Type="http://schemas.openxmlformats.org/officeDocument/2006/relationships/hyperlink" Target="mailto:Auto-Test-User-24@mailinator.com" TargetMode="External"/><Relationship Id="rId25" Type="http://schemas.openxmlformats.org/officeDocument/2006/relationships/hyperlink" Target="mailto:Auto-Test-User-24@mailinator.com" TargetMode="External"/><Relationship Id="rId46" Type="http://schemas.openxmlformats.org/officeDocument/2006/relationships/hyperlink" Target="mailto:Perf-Test-User-9965@mailinator.com" TargetMode="External"/><Relationship Id="rId67" Type="http://schemas.openxmlformats.org/officeDocument/2006/relationships/hyperlink" Target="mailto:Perf-Test-User-10224@mailinator.com" TargetMode="External"/><Relationship Id="rId20" Type="http://schemas.openxmlformats.org/officeDocument/2006/relationships/hyperlink" Target="mailto:UAT-target-Regression-9027@mailinator.com" TargetMode="External"/><Relationship Id="rId41" Type="http://schemas.openxmlformats.org/officeDocument/2006/relationships/hyperlink" Target="mailto:AMLOnlineUser5-CDEN@mailinator.com" TargetMode="External"/><Relationship Id="rId62" Type="http://schemas.openxmlformats.org/officeDocument/2006/relationships/hyperlink" Target="mailto:UAT-WF-User77@mailinator.com" TargetMode="External"/><Relationship Id="rId83" Type="http://schemas.openxmlformats.org/officeDocument/2006/relationships/hyperlink" Target="mailto:UAT-WF-User7@mailinator.com" TargetMode="External"/><Relationship Id="rId88" Type="http://schemas.openxmlformats.org/officeDocument/2006/relationships/hyperlink" Target="mailto:Auto-Test-User-24@mailinator.com" TargetMode="External"/><Relationship Id="rId111" Type="http://schemas.openxmlformats.org/officeDocument/2006/relationships/hyperlink" Target="mailto:AMLOnlineUser5-CDEN@mailinator.com" TargetMode="External"/><Relationship Id="rId132" Type="http://schemas.openxmlformats.org/officeDocument/2006/relationships/hyperlink" Target="mailto:Perf-Test-User-10025@mailinator.com" TargetMode="External"/><Relationship Id="rId153" Type="http://schemas.openxmlformats.org/officeDocument/2006/relationships/hyperlink" Target="mailto:UAT-WF-User45@mailinator.com" TargetMode="External"/><Relationship Id="rId174" Type="http://schemas.openxmlformats.org/officeDocument/2006/relationships/hyperlink" Target="mailto:UATAUTOCHANGED-WF-User2@mailinator.com" TargetMode="External"/><Relationship Id="rId179" Type="http://schemas.openxmlformats.org/officeDocument/2006/relationships/hyperlink" Target="mailto:UATAUTOCHANGED-WF-User2@mailinator.com" TargetMode="External"/><Relationship Id="rId195" Type="http://schemas.openxmlformats.org/officeDocument/2006/relationships/hyperlink" Target="mailto:UAT-target-Regression-9027@mailinator.com" TargetMode="External"/><Relationship Id="rId209" Type="http://schemas.openxmlformats.org/officeDocument/2006/relationships/hyperlink" Target="mailto:Perf-Test-User-10190@mailinator.com" TargetMode="External"/><Relationship Id="rId190" Type="http://schemas.openxmlformats.org/officeDocument/2006/relationships/hyperlink" Target="mailto:UAT-target-Regression-9027@mailinator.com" TargetMode="External"/><Relationship Id="rId204" Type="http://schemas.openxmlformats.org/officeDocument/2006/relationships/hyperlink" Target="mailto:UAT-NEW-Test-User10274@mailinator.com" TargetMode="External"/><Relationship Id="rId220" Type="http://schemas.openxmlformats.org/officeDocument/2006/relationships/hyperlink" Target="mailto:Perf-Test-User-9905@mailinator.com" TargetMode="External"/><Relationship Id="rId225" Type="http://schemas.openxmlformats.org/officeDocument/2006/relationships/hyperlink" Target="mailto:UAT-WF-User77@mailinator.com" TargetMode="External"/><Relationship Id="rId15" Type="http://schemas.openxmlformats.org/officeDocument/2006/relationships/hyperlink" Target="mailto:UAT-WF-User77@mailinator.com" TargetMode="External"/><Relationship Id="rId36" Type="http://schemas.openxmlformats.org/officeDocument/2006/relationships/hyperlink" Target="mailto:Auto-Test-User-24@mailinator.com" TargetMode="External"/><Relationship Id="rId57" Type="http://schemas.openxmlformats.org/officeDocument/2006/relationships/hyperlink" Target="mailto:Perf-Test-User-112803@mailinator.com" TargetMode="External"/><Relationship Id="rId106" Type="http://schemas.openxmlformats.org/officeDocument/2006/relationships/hyperlink" Target="mailto:UAT-WF-User77@mailinator.com" TargetMode="External"/><Relationship Id="rId127" Type="http://schemas.openxmlformats.org/officeDocument/2006/relationships/hyperlink" Target="mailto:UAT-WF-User45@mailinator.com" TargetMode="External"/><Relationship Id="rId10" Type="http://schemas.openxmlformats.org/officeDocument/2006/relationships/hyperlink" Target="mailto:Perf-Test-User-10242@mailinator.com" TargetMode="External"/><Relationship Id="rId31" Type="http://schemas.openxmlformats.org/officeDocument/2006/relationships/hyperlink" Target="mailto:Perf-Test-User-10314@mailinator.com" TargetMode="External"/><Relationship Id="rId52" Type="http://schemas.openxmlformats.org/officeDocument/2006/relationships/hyperlink" Target="mailto:Auto-Test-User-24@mailinator.com" TargetMode="External"/><Relationship Id="rId73" Type="http://schemas.openxmlformats.org/officeDocument/2006/relationships/hyperlink" Target="mailto:Perf-Test-User-10224@mailinator.com" TargetMode="External"/><Relationship Id="rId78" Type="http://schemas.openxmlformats.org/officeDocument/2006/relationships/hyperlink" Target="mailto:Perf-Test-User-10314@mailinator.com" TargetMode="External"/><Relationship Id="rId94" Type="http://schemas.openxmlformats.org/officeDocument/2006/relationships/hyperlink" Target="mailto:Perf-Test-User-10330@mailinator.com" TargetMode="External"/><Relationship Id="rId99" Type="http://schemas.openxmlformats.org/officeDocument/2006/relationships/hyperlink" Target="mailto:AMLOnlineUser5-CDEN@mailinator.com" TargetMode="External"/><Relationship Id="rId101" Type="http://schemas.openxmlformats.org/officeDocument/2006/relationships/hyperlink" Target="mailto:UAT-Target-Regression-9060@mailinator.com" TargetMode="External"/><Relationship Id="rId122" Type="http://schemas.openxmlformats.org/officeDocument/2006/relationships/hyperlink" Target="mailto:AMLOnlineUser5-CDEN@mailinator.com" TargetMode="External"/><Relationship Id="rId143" Type="http://schemas.openxmlformats.org/officeDocument/2006/relationships/hyperlink" Target="mailto:UAT-Target-Regression-1128@mailinator.com" TargetMode="External"/><Relationship Id="rId148" Type="http://schemas.openxmlformats.org/officeDocument/2006/relationships/hyperlink" Target="mailto:UATAUTOCHANGED-WF-User2@mailinator.com" TargetMode="External"/><Relationship Id="rId164" Type="http://schemas.openxmlformats.org/officeDocument/2006/relationships/hyperlink" Target="mailto:AMLOnlineUser5-CDEN@mailinator.com" TargetMode="External"/><Relationship Id="rId169" Type="http://schemas.openxmlformats.org/officeDocument/2006/relationships/hyperlink" Target="mailto:TestDataECRUser1@mailinator.com" TargetMode="External"/><Relationship Id="rId185" Type="http://schemas.openxmlformats.org/officeDocument/2006/relationships/hyperlink" Target="mailto:UAT-WF-User45@mailinator.com" TargetMode="External"/><Relationship Id="rId4" Type="http://schemas.openxmlformats.org/officeDocument/2006/relationships/hyperlink" Target="mailto:UATAUTOCHANGED-WF-User2@mailinator.com" TargetMode="External"/><Relationship Id="rId9" Type="http://schemas.openxmlformats.org/officeDocument/2006/relationships/hyperlink" Target="mailto:UATAUTOCHANGED-WF-User2@mailinator.com" TargetMode="External"/><Relationship Id="rId180" Type="http://schemas.openxmlformats.org/officeDocument/2006/relationships/hyperlink" Target="mailto:UATAUTOCHANGED-WF-User2@mailinator.com" TargetMode="External"/><Relationship Id="rId210" Type="http://schemas.openxmlformats.org/officeDocument/2006/relationships/hyperlink" Target="mailto:Perf-Test-User-10190@mailinator.com" TargetMode="External"/><Relationship Id="rId215" Type="http://schemas.openxmlformats.org/officeDocument/2006/relationships/hyperlink" Target="mailto:Perf-Test-User-10190@mailinator.com" TargetMode="External"/><Relationship Id="rId236" Type="http://schemas.microsoft.com/office/2019/04/relationships/namedSheetView" Target="../namedSheetViews/namedSheetView1.xml"/><Relationship Id="rId26" Type="http://schemas.openxmlformats.org/officeDocument/2006/relationships/hyperlink" Target="mailto:Perf-Test-User-10014@mailinator.com" TargetMode="External"/><Relationship Id="rId231" Type="http://schemas.openxmlformats.org/officeDocument/2006/relationships/hyperlink" Target="mailto:Perf-Test-User-228701@mailinator.com" TargetMode="External"/><Relationship Id="rId47" Type="http://schemas.openxmlformats.org/officeDocument/2006/relationships/hyperlink" Target="mailto:Perf-Test-User-10145@mailinator.com" TargetMode="External"/><Relationship Id="rId68" Type="http://schemas.openxmlformats.org/officeDocument/2006/relationships/hyperlink" Target="mailto:Perf-Test-User-10224@mailinator.com" TargetMode="External"/><Relationship Id="rId89" Type="http://schemas.openxmlformats.org/officeDocument/2006/relationships/hyperlink" Target="mailto:Perf-Test-User-9916@mailinator.com" TargetMode="External"/><Relationship Id="rId112" Type="http://schemas.openxmlformats.org/officeDocument/2006/relationships/hyperlink" Target="mailto:AMLOnlineUser5-CDEN@mailinator.com" TargetMode="External"/><Relationship Id="rId133" Type="http://schemas.openxmlformats.org/officeDocument/2006/relationships/hyperlink" Target="mailto:Auto-Test-User-24@mailinator.com" TargetMode="External"/><Relationship Id="rId154" Type="http://schemas.openxmlformats.org/officeDocument/2006/relationships/hyperlink" Target="mailto:UAT-WF-User45@mailinator.com" TargetMode="External"/><Relationship Id="rId175" Type="http://schemas.openxmlformats.org/officeDocument/2006/relationships/hyperlink" Target="mailto:UATAUTOCHANGED-WF-User2@mailinator.com" TargetMode="External"/><Relationship Id="rId196" Type="http://schemas.openxmlformats.org/officeDocument/2006/relationships/hyperlink" Target="mailto:UATAUTO-WF-User40@mailinator.com" TargetMode="External"/><Relationship Id="rId200" Type="http://schemas.openxmlformats.org/officeDocument/2006/relationships/hyperlink" Target="mailto:AMLOnlineUser5-CDEN@mailinator.com" TargetMode="External"/><Relationship Id="rId16" Type="http://schemas.openxmlformats.org/officeDocument/2006/relationships/hyperlink" Target="mailto:UAT-WF-User48@mailinator.com" TargetMode="External"/><Relationship Id="rId221" Type="http://schemas.openxmlformats.org/officeDocument/2006/relationships/hyperlink" Target="mailto:UAT-WF-User77@mailinator.com" TargetMode="External"/><Relationship Id="rId37" Type="http://schemas.openxmlformats.org/officeDocument/2006/relationships/hyperlink" Target="mailto:AMLOnlineUser5-CDEN@mailinator.com" TargetMode="External"/><Relationship Id="rId58" Type="http://schemas.openxmlformats.org/officeDocument/2006/relationships/hyperlink" Target="mailto:Perf-Test-User-228701@mailinator.com" TargetMode="External"/><Relationship Id="rId79" Type="http://schemas.openxmlformats.org/officeDocument/2006/relationships/hyperlink" Target="mailto:Perf-Test-User-10224@mailinator.com" TargetMode="External"/><Relationship Id="rId102" Type="http://schemas.openxmlformats.org/officeDocument/2006/relationships/hyperlink" Target="mailto:Perf-Test-User-9959@mailinator.com" TargetMode="External"/><Relationship Id="rId123" Type="http://schemas.openxmlformats.org/officeDocument/2006/relationships/hyperlink" Target="mailto:AMLOnlineUser5-CDEN@mailinator.com" TargetMode="External"/><Relationship Id="rId144" Type="http://schemas.openxmlformats.org/officeDocument/2006/relationships/hyperlink" Target="mailto:UATAUTOCHANGED-WF-User2@mailinator.com" TargetMode="External"/><Relationship Id="rId90" Type="http://schemas.openxmlformats.org/officeDocument/2006/relationships/hyperlink" Target="mailto:Auto-Test-User-24@mailinator.com" TargetMode="External"/><Relationship Id="rId165" Type="http://schemas.openxmlformats.org/officeDocument/2006/relationships/hyperlink" Target="mailto:Perf-Test-User-10224@mailinator.com" TargetMode="External"/><Relationship Id="rId186" Type="http://schemas.openxmlformats.org/officeDocument/2006/relationships/hyperlink" Target="mailto:UATAUTOCHANGED-WF-User2@mailinator.com" TargetMode="External"/><Relationship Id="rId211" Type="http://schemas.openxmlformats.org/officeDocument/2006/relationships/hyperlink" Target="mailto:Perf-Test-User-10190@mailinator.com" TargetMode="External"/><Relationship Id="rId232" Type="http://schemas.openxmlformats.org/officeDocument/2006/relationships/printerSettings" Target="../printerSettings/printerSettings1.bin"/><Relationship Id="rId27" Type="http://schemas.openxmlformats.org/officeDocument/2006/relationships/hyperlink" Target="mailto:UAT-WF-User45@mailinator.com" TargetMode="External"/><Relationship Id="rId48" Type="http://schemas.openxmlformats.org/officeDocument/2006/relationships/hyperlink" Target="mailto:Perf-Test-User-10150@mailinator.com" TargetMode="External"/><Relationship Id="rId69" Type="http://schemas.openxmlformats.org/officeDocument/2006/relationships/hyperlink" Target="mailto:Perf-Test-User-10224@mailinator.com" TargetMode="External"/><Relationship Id="rId113" Type="http://schemas.openxmlformats.org/officeDocument/2006/relationships/hyperlink" Target="mailto:Perf-Test-User-10224@mailinator.com" TargetMode="External"/><Relationship Id="rId134" Type="http://schemas.openxmlformats.org/officeDocument/2006/relationships/hyperlink" Target="mailto:Perf-Test-User-10239@mailinator.com" TargetMode="External"/><Relationship Id="rId80" Type="http://schemas.openxmlformats.org/officeDocument/2006/relationships/hyperlink" Target="mailto:Perf-Test-User-10224@mailinator.com" TargetMode="External"/><Relationship Id="rId155" Type="http://schemas.openxmlformats.org/officeDocument/2006/relationships/hyperlink" Target="mailto:UATAUTOCHANGED-WF-User2@mailinator.com" TargetMode="External"/><Relationship Id="rId176" Type="http://schemas.openxmlformats.org/officeDocument/2006/relationships/hyperlink" Target="mailto:UATAUTOCHANGED-WF-User2@mailinator.com" TargetMode="External"/><Relationship Id="rId197" Type="http://schemas.openxmlformats.org/officeDocument/2006/relationships/hyperlink" Target="mailto:UAT-WF-User77@mailinator.com" TargetMode="External"/><Relationship Id="rId201" Type="http://schemas.openxmlformats.org/officeDocument/2006/relationships/hyperlink" Target="mailto:UAT-WF-User77@mailinator.com" TargetMode="External"/><Relationship Id="rId222" Type="http://schemas.openxmlformats.org/officeDocument/2006/relationships/hyperlink" Target="mailto:UAT-WF-User77@mailinator.com" TargetMode="External"/><Relationship Id="rId17" Type="http://schemas.openxmlformats.org/officeDocument/2006/relationships/hyperlink" Target="mailto:UAT-WF-User77@mailinator.com" TargetMode="External"/><Relationship Id="rId38" Type="http://schemas.openxmlformats.org/officeDocument/2006/relationships/hyperlink" Target="mailto:AMLOnlineUser5-CDEN@mailinator.com" TargetMode="External"/><Relationship Id="rId59" Type="http://schemas.openxmlformats.org/officeDocument/2006/relationships/hyperlink" Target="mailto:UAT-WF-User45@mailinator.com" TargetMode="External"/><Relationship Id="rId103" Type="http://schemas.openxmlformats.org/officeDocument/2006/relationships/hyperlink" Target="mailto:UAT-WF-User77@mailinator.com" TargetMode="External"/><Relationship Id="rId124" Type="http://schemas.openxmlformats.org/officeDocument/2006/relationships/hyperlink" Target="mailto:Perf-Test-User-10224@mailinator.com" TargetMode="External"/><Relationship Id="rId70" Type="http://schemas.openxmlformats.org/officeDocument/2006/relationships/hyperlink" Target="mailto:Perf-Test-User-112803@mailinator.com" TargetMode="External"/><Relationship Id="rId91" Type="http://schemas.openxmlformats.org/officeDocument/2006/relationships/hyperlink" Target="mailto:UAT-WF-User45@mailinator.com" TargetMode="External"/><Relationship Id="rId145" Type="http://schemas.openxmlformats.org/officeDocument/2006/relationships/hyperlink" Target="mailto:UAT-WF-User45@mailinator.com" TargetMode="External"/><Relationship Id="rId166" Type="http://schemas.openxmlformats.org/officeDocument/2006/relationships/hyperlink" Target="mailto:Auto-Test-User-24@mailinator.com" TargetMode="External"/><Relationship Id="rId187" Type="http://schemas.openxmlformats.org/officeDocument/2006/relationships/hyperlink" Target="mailto:UATAUTOCHANGED-WF-User2@mailinator.com" TargetMode="External"/><Relationship Id="rId1" Type="http://schemas.openxmlformats.org/officeDocument/2006/relationships/hyperlink" Target="mailto:Perf-Test-User-10126@mailinator.com" TargetMode="External"/><Relationship Id="rId212" Type="http://schemas.openxmlformats.org/officeDocument/2006/relationships/hyperlink" Target="mailto:Perf-Test-User-10190@mailinator.com" TargetMode="External"/><Relationship Id="rId233" Type="http://schemas.openxmlformats.org/officeDocument/2006/relationships/table" Target="../tables/table1.xml"/><Relationship Id="rId28" Type="http://schemas.openxmlformats.org/officeDocument/2006/relationships/hyperlink" Target="mailto:UAT-WF-User45@mailinator.com" TargetMode="External"/><Relationship Id="rId49" Type="http://schemas.openxmlformats.org/officeDocument/2006/relationships/hyperlink" Target="mailto:UAT-target-Regression-9027@mailinator.com" TargetMode="External"/><Relationship Id="rId114" Type="http://schemas.openxmlformats.org/officeDocument/2006/relationships/hyperlink" Target="mailto:Perf-Test-User-10224@mailinator.com" TargetMode="External"/><Relationship Id="rId60" Type="http://schemas.openxmlformats.org/officeDocument/2006/relationships/hyperlink" Target="mailto:UAT-WF-User20@mailinator.com" TargetMode="External"/><Relationship Id="rId81" Type="http://schemas.openxmlformats.org/officeDocument/2006/relationships/hyperlink" Target="mailto:Perf-Test-User-10224@mailinator.com" TargetMode="External"/><Relationship Id="rId135" Type="http://schemas.openxmlformats.org/officeDocument/2006/relationships/hyperlink" Target="mailto:Perf-Test-User-112803@mailinator.com" TargetMode="External"/><Relationship Id="rId156" Type="http://schemas.openxmlformats.org/officeDocument/2006/relationships/hyperlink" Target="mailto:Perf-Test-User-10178@mailinator.com" TargetMode="External"/><Relationship Id="rId177" Type="http://schemas.openxmlformats.org/officeDocument/2006/relationships/hyperlink" Target="mailto:UATAUTOCHANGED-WF-User2@mailinator.com" TargetMode="External"/><Relationship Id="rId198" Type="http://schemas.openxmlformats.org/officeDocument/2006/relationships/hyperlink" Target="mailto:UAT-WF-User45@mailinator.com" TargetMode="External"/><Relationship Id="rId202" Type="http://schemas.openxmlformats.org/officeDocument/2006/relationships/hyperlink" Target="mailto:Perf-Test-User-10025@mailinator.com" TargetMode="External"/><Relationship Id="rId223" Type="http://schemas.openxmlformats.org/officeDocument/2006/relationships/hyperlink" Target="mailto:Auto-Test-User-24@mailinator.com" TargetMode="External"/><Relationship Id="rId18" Type="http://schemas.openxmlformats.org/officeDocument/2006/relationships/hyperlink" Target="mailto:UAT-Target-Regression-9051@mailinator.com" TargetMode="External"/><Relationship Id="rId39" Type="http://schemas.openxmlformats.org/officeDocument/2006/relationships/hyperlink" Target="mailto:AMLOnlineUser5-CDEN@mailinator.com" TargetMode="External"/><Relationship Id="rId50" Type="http://schemas.openxmlformats.org/officeDocument/2006/relationships/hyperlink" Target="mailto:UAT-WF-User18@mailinator.com" TargetMode="External"/><Relationship Id="rId104" Type="http://schemas.openxmlformats.org/officeDocument/2006/relationships/hyperlink" Target="mailto:AMLOnlineUser5-CDEN@mailinator.com" TargetMode="External"/><Relationship Id="rId125" Type="http://schemas.openxmlformats.org/officeDocument/2006/relationships/hyperlink" Target="mailto:Auto-Test-User-24@mailinator.com" TargetMode="External"/><Relationship Id="rId146" Type="http://schemas.openxmlformats.org/officeDocument/2006/relationships/hyperlink" Target="mailto:UATAUTOCHANGED-WF-User2@mailinator.com" TargetMode="External"/><Relationship Id="rId167" Type="http://schemas.openxmlformats.org/officeDocument/2006/relationships/hyperlink" Target="mailto:UAT-WF-User77@mailinator.com" TargetMode="External"/><Relationship Id="rId188" Type="http://schemas.openxmlformats.org/officeDocument/2006/relationships/hyperlink" Target="mailto:UATAUTOCHANGED-WF-User2@mailinator.com" TargetMode="External"/><Relationship Id="rId71" Type="http://schemas.openxmlformats.org/officeDocument/2006/relationships/hyperlink" Target="mailto:Perf-Test-User-112803@mailinator.com" TargetMode="External"/><Relationship Id="rId92" Type="http://schemas.openxmlformats.org/officeDocument/2006/relationships/hyperlink" Target="mailto:UAT-WF-User20@mailinator.com" TargetMode="External"/><Relationship Id="rId213" Type="http://schemas.openxmlformats.org/officeDocument/2006/relationships/hyperlink" Target="mailto:Perf-Test-User-10190@mailinator.com" TargetMode="External"/><Relationship Id="rId234" Type="http://schemas.openxmlformats.org/officeDocument/2006/relationships/table" Target="../tables/table2.xml"/><Relationship Id="rId2" Type="http://schemas.openxmlformats.org/officeDocument/2006/relationships/hyperlink" Target="mailto:Perf-Test-User-9917@mailinator.com" TargetMode="External"/><Relationship Id="rId29" Type="http://schemas.openxmlformats.org/officeDocument/2006/relationships/hyperlink" Target="mailto:Perf-Test-User-10224@mailinator.com" TargetMode="External"/><Relationship Id="rId40" Type="http://schemas.openxmlformats.org/officeDocument/2006/relationships/hyperlink" Target="mailto:AMLOnlineUser5-CDEN@mailinator.com" TargetMode="External"/><Relationship Id="rId115" Type="http://schemas.openxmlformats.org/officeDocument/2006/relationships/hyperlink" Target="mailto:Perf-Test-User-10224@mailinator.com" TargetMode="External"/><Relationship Id="rId136" Type="http://schemas.openxmlformats.org/officeDocument/2006/relationships/hyperlink" Target="mailto:Auto-Test-User-24@mailinator.com" TargetMode="External"/><Relationship Id="rId157" Type="http://schemas.openxmlformats.org/officeDocument/2006/relationships/hyperlink" Target="mailto:Perf-Test-User-10189@mailinator.com" TargetMode="External"/><Relationship Id="rId178" Type="http://schemas.openxmlformats.org/officeDocument/2006/relationships/hyperlink" Target="mailto:UATAUTOCHANGED-WF-User2@mailinator.com" TargetMode="External"/><Relationship Id="rId61" Type="http://schemas.openxmlformats.org/officeDocument/2006/relationships/hyperlink" Target="mailto:UAT-WF-User13c@mailinator.com" TargetMode="External"/><Relationship Id="rId82" Type="http://schemas.openxmlformats.org/officeDocument/2006/relationships/hyperlink" Target="mailto:Perf-Test-User-10224@mailinator.com" TargetMode="External"/><Relationship Id="rId199" Type="http://schemas.openxmlformats.org/officeDocument/2006/relationships/hyperlink" Target="mailto:UAT-WF-User45@mailinator.com" TargetMode="External"/><Relationship Id="rId203" Type="http://schemas.openxmlformats.org/officeDocument/2006/relationships/hyperlink" Target="mailto:Perf-Test-User-10190@mailinator.com" TargetMode="External"/><Relationship Id="rId19" Type="http://schemas.openxmlformats.org/officeDocument/2006/relationships/hyperlink" Target="mailto:UAT-WF-User33@mailinator.com" TargetMode="External"/><Relationship Id="rId224" Type="http://schemas.openxmlformats.org/officeDocument/2006/relationships/hyperlink" Target="mailto:Auto-Test-User-24@mailinator.com" TargetMode="External"/><Relationship Id="rId30" Type="http://schemas.openxmlformats.org/officeDocument/2006/relationships/hyperlink" Target="mailto:UAT-Target-Regression-9011@mailinator.com" TargetMode="External"/><Relationship Id="rId105" Type="http://schemas.openxmlformats.org/officeDocument/2006/relationships/hyperlink" Target="mailto:Perf-Test-User-9916@mailinator.com" TargetMode="External"/><Relationship Id="rId126" Type="http://schemas.openxmlformats.org/officeDocument/2006/relationships/hyperlink" Target="mailto:Perf-Test-User-112803@mailinator.com" TargetMode="External"/><Relationship Id="rId147" Type="http://schemas.openxmlformats.org/officeDocument/2006/relationships/hyperlink" Target="mailto:UAT-WF-User45@mailinator.com" TargetMode="External"/><Relationship Id="rId168" Type="http://schemas.openxmlformats.org/officeDocument/2006/relationships/hyperlink" Target="mailto:UAT-WF-User22@mailinator.com" TargetMode="External"/><Relationship Id="rId51" Type="http://schemas.openxmlformats.org/officeDocument/2006/relationships/hyperlink" Target="mailto:UAT-WF-User18@mailinator.com" TargetMode="External"/><Relationship Id="rId72" Type="http://schemas.openxmlformats.org/officeDocument/2006/relationships/hyperlink" Target="mailto:Perf-Test-User-10224@mailinator.com" TargetMode="External"/><Relationship Id="rId93" Type="http://schemas.openxmlformats.org/officeDocument/2006/relationships/hyperlink" Target="mailto:Auto-Test-User-24@mailinator.com" TargetMode="External"/><Relationship Id="rId189" Type="http://schemas.openxmlformats.org/officeDocument/2006/relationships/hyperlink" Target="mailto:UATAUTOCHANGED-WF-User2@mailinator.com" TargetMode="External"/><Relationship Id="rId3" Type="http://schemas.openxmlformats.org/officeDocument/2006/relationships/hyperlink" Target="mailto:Perf-Test-User-9959@mailinator.com" TargetMode="External"/><Relationship Id="rId214" Type="http://schemas.openxmlformats.org/officeDocument/2006/relationships/hyperlink" Target="mailto:Perf-Test-User-10190@mailinator.com" TargetMode="External"/><Relationship Id="rId235" Type="http://schemas.openxmlformats.org/officeDocument/2006/relationships/table" Target="../tables/table3.xml"/><Relationship Id="rId116" Type="http://schemas.openxmlformats.org/officeDocument/2006/relationships/hyperlink" Target="mailto:Perf-Test-User-10314@mailinator.com" TargetMode="External"/><Relationship Id="rId137" Type="http://schemas.openxmlformats.org/officeDocument/2006/relationships/hyperlink" Target="mailto:UATAUTOCHANGED-WF-User2@mailinator.com" TargetMode="External"/><Relationship Id="rId158" Type="http://schemas.openxmlformats.org/officeDocument/2006/relationships/hyperlink" Target="mailto:Perf-Test-User-9962@mailinator.com"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UAT-WF-User45@mailinator.com" TargetMode="External"/><Relationship Id="rId2" Type="http://schemas.openxmlformats.org/officeDocument/2006/relationships/hyperlink" Target="mailto:UAT-WF-User32@mailinator.com" TargetMode="External"/><Relationship Id="rId1" Type="http://schemas.openxmlformats.org/officeDocument/2006/relationships/hyperlink" Target="mailto:UAT-WF-User32@mailinator.com" TargetMode="External"/><Relationship Id="rId4" Type="http://schemas.openxmlformats.org/officeDocument/2006/relationships/hyperlink" Target="mailto:UAT-User8@mailinator.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Perf-Test-User-10224@mailinator.com" TargetMode="External"/><Relationship Id="rId13" Type="http://schemas.openxmlformats.org/officeDocument/2006/relationships/hyperlink" Target="mailto:UAT-WF-User77@mailinator.com" TargetMode="External"/><Relationship Id="rId18" Type="http://schemas.openxmlformats.org/officeDocument/2006/relationships/hyperlink" Target="mailto:Perf-Test-User-10133@mailinator.com" TargetMode="External"/><Relationship Id="rId3" Type="http://schemas.openxmlformats.org/officeDocument/2006/relationships/hyperlink" Target="mailto:Perf-Test-User10224@mailinator.com" TargetMode="External"/><Relationship Id="rId21" Type="http://schemas.openxmlformats.org/officeDocument/2006/relationships/hyperlink" Target="mailto:Perf-Test-User-10296@mailinator.com" TargetMode="External"/><Relationship Id="rId7" Type="http://schemas.openxmlformats.org/officeDocument/2006/relationships/hyperlink" Target="mailto:Perf-Test-User-10224@mailinator.com" TargetMode="External"/><Relationship Id="rId12" Type="http://schemas.openxmlformats.org/officeDocument/2006/relationships/hyperlink" Target="mailto:UATAuto-WF-User44@mailinator.com" TargetMode="External"/><Relationship Id="rId17" Type="http://schemas.openxmlformats.org/officeDocument/2006/relationships/hyperlink" Target="mailto:Perf-Test-User10224@mailinator.com" TargetMode="External"/><Relationship Id="rId2" Type="http://schemas.openxmlformats.org/officeDocument/2006/relationships/hyperlink" Target="mailto:Perf-Test-User10224@mailinator.co" TargetMode="External"/><Relationship Id="rId16" Type="http://schemas.openxmlformats.org/officeDocument/2006/relationships/hyperlink" Target="mailto:Perf-Test-User10224@mailinator.co" TargetMode="External"/><Relationship Id="rId20" Type="http://schemas.openxmlformats.org/officeDocument/2006/relationships/hyperlink" Target="mailto:Perf-Test-User-10261@mailinator.com" TargetMode="External"/><Relationship Id="rId1" Type="http://schemas.openxmlformats.org/officeDocument/2006/relationships/hyperlink" Target="mailto:Perf-Test-User10224@mailinator.co" TargetMode="External"/><Relationship Id="rId6" Type="http://schemas.openxmlformats.org/officeDocument/2006/relationships/hyperlink" Target="mailto:Perf-Test-User-10224@mailinator.com" TargetMode="External"/><Relationship Id="rId11" Type="http://schemas.openxmlformats.org/officeDocument/2006/relationships/hyperlink" Target="mailto:Perf-Test-User-10261@mailinator.com" TargetMode="External"/><Relationship Id="rId5" Type="http://schemas.openxmlformats.org/officeDocument/2006/relationships/hyperlink" Target="mailto:Perf-Test-User-10224@mailinator.com" TargetMode="External"/><Relationship Id="rId15" Type="http://schemas.openxmlformats.org/officeDocument/2006/relationships/hyperlink" Target="mailto:Perf-Test-User10224@mailinator.co" TargetMode="External"/><Relationship Id="rId10" Type="http://schemas.openxmlformats.org/officeDocument/2006/relationships/hyperlink" Target="mailto:Perf-Test-User-10133@mailinator.com" TargetMode="External"/><Relationship Id="rId19" Type="http://schemas.openxmlformats.org/officeDocument/2006/relationships/hyperlink" Target="mailto:Perf-Test-User-10261@mailinator.com" TargetMode="External"/><Relationship Id="rId4" Type="http://schemas.openxmlformats.org/officeDocument/2006/relationships/hyperlink" Target="mailto:Perf-Test-User-10261@mailinator.com" TargetMode="External"/><Relationship Id="rId9" Type="http://schemas.openxmlformats.org/officeDocument/2006/relationships/hyperlink" Target="mailto:Perf-Test-User-10132@mailinator.com" TargetMode="External"/><Relationship Id="rId14" Type="http://schemas.openxmlformats.org/officeDocument/2006/relationships/hyperlink" Target="mailto:MigrationWorkflowTest1Changed@mailinator.com"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mailto:UAT-Web-Auth70@mailinator.com" TargetMode="External"/><Relationship Id="rId21" Type="http://schemas.openxmlformats.org/officeDocument/2006/relationships/hyperlink" Target="https://ss-uat.dev-anpost.com/your-savings/register/create-password?token=sQDSAyHsIR1ep0Xy5Ca%2B6rsS3ehEQlrK2zEXq%2Fg4q8%2FnxRo2zs5PCZ9GmTjE6ONdPbtFt5%2B5qQ021LjO935DdJ4XOp%2FCcFz3GisQB7qDrrk%3D" TargetMode="External"/><Relationship Id="rId42" Type="http://schemas.openxmlformats.org/officeDocument/2006/relationships/hyperlink" Target="mailto:Perf-Test-User-10217@mailinator.com" TargetMode="External"/><Relationship Id="rId47" Type="http://schemas.openxmlformats.org/officeDocument/2006/relationships/hyperlink" Target="mailto:Perf-Test-User-10217@mailinator.com" TargetMode="External"/><Relationship Id="rId63" Type="http://schemas.openxmlformats.org/officeDocument/2006/relationships/hyperlink" Target="mailto:Perf-ECR-007@mailinator.com" TargetMode="External"/><Relationship Id="rId68" Type="http://schemas.openxmlformats.org/officeDocument/2006/relationships/hyperlink" Target="mailto:Perf-Test-User-10217@mailinator.com" TargetMode="External"/><Relationship Id="rId84" Type="http://schemas.openxmlformats.org/officeDocument/2006/relationships/hyperlink" Target="mailto:Perf-Test-User-10217@mailinator.com" TargetMode="External"/><Relationship Id="rId89" Type="http://schemas.openxmlformats.org/officeDocument/2006/relationships/hyperlink" Target="mailto:Perf-Test-User-10217@mailinator.com" TargetMode="External"/><Relationship Id="rId112" Type="http://schemas.openxmlformats.org/officeDocument/2006/relationships/hyperlink" Target="mailto:Perf-Test-User-10023@mailinator.com" TargetMode="External"/><Relationship Id="rId16" Type="http://schemas.openxmlformats.org/officeDocument/2006/relationships/hyperlink" Target="https://ss-uat.dev-anpost.com/your-savings/register/create-password?token=KCxEGFRh1IMYuKStJLUqlb%2FKISuKDPuXFqFtj9P93gAd%2FLosobYW7eObpHD%2BUDFUpkEXpzDqtNt44WRci04t3vDAxHU7EBzj6kVPnaKU8IU%3D" TargetMode="External"/><Relationship Id="rId107" Type="http://schemas.openxmlformats.org/officeDocument/2006/relationships/hyperlink" Target="mailto:UATAUTO-PT-User42@mailinator.com" TargetMode="External"/><Relationship Id="rId11" Type="http://schemas.openxmlformats.org/officeDocument/2006/relationships/hyperlink" Target="https://ss-uat.dev-anpost.com/your-savings/register/create-password?token=7lM03rxTw6Naf0lgzZPHjRio7xJ4KetUAmqCMdLxnM7gSZunqYef13F0YgHGDMkZo%2BWmQl3HjKMYHjwraOlXvatzu%2BbkJ7jZW0JKnl3Z%2BVI%3D" TargetMode="External"/><Relationship Id="rId32" Type="http://schemas.openxmlformats.org/officeDocument/2006/relationships/hyperlink" Target="https://ss-uat.dev-anpost.com/your-savings/register/create-password?token=m6uTa0YuQ45LrGc28LFEEOxZJBlsINTXv9AMIDzIGfR%2F9aC8irRW7%2FdyKgfsyIjNxG%2BWM78Clyi9VLl0oES%2BjizIs0JEZ6WsqJ57%2B8CVCCs%3D" TargetMode="External"/><Relationship Id="rId37" Type="http://schemas.openxmlformats.org/officeDocument/2006/relationships/hyperlink" Target="mailto:Perf-Test-User-10217@mailinator.com" TargetMode="External"/><Relationship Id="rId53" Type="http://schemas.openxmlformats.org/officeDocument/2006/relationships/hyperlink" Target="mailto:UAT-WF-User27@mailinator.com" TargetMode="External"/><Relationship Id="rId58" Type="http://schemas.openxmlformats.org/officeDocument/2006/relationships/hyperlink" Target="mailto:Perf-ECR-006@mailinator.com" TargetMode="External"/><Relationship Id="rId74" Type="http://schemas.openxmlformats.org/officeDocument/2006/relationships/hyperlink" Target="mailto:UAT-Web-Auth2@mailinator.com" TargetMode="External"/><Relationship Id="rId79" Type="http://schemas.openxmlformats.org/officeDocument/2006/relationships/hyperlink" Target="mailto:Perf-Test-User-10217@mailinator.com" TargetMode="External"/><Relationship Id="rId102" Type="http://schemas.openxmlformats.org/officeDocument/2006/relationships/hyperlink" Target="mailto:Perf-Test-User-10268@mailinator.com" TargetMode="External"/><Relationship Id="rId123" Type="http://schemas.openxmlformats.org/officeDocument/2006/relationships/hyperlink" Target="mailto:UAT-Web-Auth14@mailinator.com" TargetMode="External"/><Relationship Id="rId128" Type="http://schemas.openxmlformats.org/officeDocument/2006/relationships/hyperlink" Target="mailto:UAT-Web-Auth6@mailinator.com" TargetMode="External"/><Relationship Id="rId5" Type="http://schemas.openxmlformats.org/officeDocument/2006/relationships/hyperlink" Target="https://ss-uat.dev-anpost.com/your-savings/register/create-password?token=sIvfBgsdvvAT66zgcXxjyV3qc9O%2F%2BWPPMaKWPdILpYlmHAYb%2BjDiGiz%2BG2KHZ2aoCGaZ9k40DH%2FnHVCLLmPoSujPPMTpAauMSrXNokHDdAI%3D" TargetMode="External"/><Relationship Id="rId90" Type="http://schemas.openxmlformats.org/officeDocument/2006/relationships/hyperlink" Target="mailto:Perf-Test-User-10217@mailinator.com" TargetMode="External"/><Relationship Id="rId95" Type="http://schemas.openxmlformats.org/officeDocument/2006/relationships/hyperlink" Target="mailto:Perf-Test-User-10217@mailinator.com" TargetMode="External"/><Relationship Id="rId22" Type="http://schemas.openxmlformats.org/officeDocument/2006/relationships/hyperlink" Target="https://ss-uat.dev-anpost.com/your-savings/register/create-password?token=ho%2B93Brm7TcOep%2FJZaRU1SsH6D0xCg%2BhKFGswPCC3HNgMAgisKbNT2Ik89h%2FZ3dwsfpt8OkHF%2FV7F4OhLhPxfNcZZgAJoDtZfsqJJwmtMq8%3D" TargetMode="External"/><Relationship Id="rId27" Type="http://schemas.openxmlformats.org/officeDocument/2006/relationships/hyperlink" Target="https://ss-uat.dev-anpost.com/your-savings/register/create-password?token=9CjkthO9RdqBBxXtB0SZkXbulxpYJSZ%2BbswMX5M8kkJ8Ns2%2B1126GCO%2BBVOyXYAtk2HSS5%2ByAUCr7X2OzntFq4XlPdOQbuPJCCXPupB6i4I%3D" TargetMode="External"/><Relationship Id="rId43" Type="http://schemas.openxmlformats.org/officeDocument/2006/relationships/hyperlink" Target="mailto:Perf-Test-User-10217@mailinator.com" TargetMode="External"/><Relationship Id="rId48" Type="http://schemas.openxmlformats.org/officeDocument/2006/relationships/hyperlink" Target="mailto:Perf-Test-User-10217@mailinator.com" TargetMode="External"/><Relationship Id="rId64" Type="http://schemas.openxmlformats.org/officeDocument/2006/relationships/hyperlink" Target="mailto:Perf-Test-User-10217@mailinator.com" TargetMode="External"/><Relationship Id="rId69" Type="http://schemas.openxmlformats.org/officeDocument/2006/relationships/hyperlink" Target="mailto:Perf-Test-User-10217@mailinator.com" TargetMode="External"/><Relationship Id="rId113" Type="http://schemas.openxmlformats.org/officeDocument/2006/relationships/hyperlink" Target="mailto:Perf-Test-User-10016@mailinator.com" TargetMode="External"/><Relationship Id="rId118" Type="http://schemas.openxmlformats.org/officeDocument/2006/relationships/hyperlink" Target="mailto:UAT-Web-Auth69@mailinator.com" TargetMode="External"/><Relationship Id="rId80" Type="http://schemas.openxmlformats.org/officeDocument/2006/relationships/hyperlink" Target="mailto:Perf-Test-User-10217@mailinator.com" TargetMode="External"/><Relationship Id="rId85" Type="http://schemas.openxmlformats.org/officeDocument/2006/relationships/hyperlink" Target="mailto:Perf-Test-User-10217@mailinator.com" TargetMode="External"/><Relationship Id="rId12" Type="http://schemas.openxmlformats.org/officeDocument/2006/relationships/hyperlink" Target="https://ss-uat.dev-anpost.com/your-savings/register/create-password?token=gPv4TBEfMqOZZ5SaeFZbne2zBZFe25Q8WzUQ7OjyCsLeBslJIkr5WuAQW8IgtJacwyqayb5xB26p0dbU64nehSzGB5UNaMLHWDoLnM35j1s%3D" TargetMode="External"/><Relationship Id="rId17" Type="http://schemas.openxmlformats.org/officeDocument/2006/relationships/hyperlink" Target="https://ss-uat.dev-anpost.com/your-savings/register/create-password?token=nVaYHIwHg1Yaah8PnDi%2B3H9%2FYbAasZ4FcgEO%2FaeNUgfppIFBSa3VTzsrn%2BZ%2BOxUSBrsDS7bX7Pi0FmgTSR6MVB3oP2IvOc3sqs6ZKQjnslk%3D" TargetMode="External"/><Relationship Id="rId33" Type="http://schemas.openxmlformats.org/officeDocument/2006/relationships/hyperlink" Target="https://ss-uat.dev-anpost.com/your-savings/register/create-password?token=Ll5HN4NWO%2FCju810%2BKjQohpkbqPiFCDfDw62NZNcgMWH6wNfghXGLD9M35kZ1jLxcGD%2BzS6IfZ%2FJriHn5wwTzZTJbCSydoYrEfPrqRpYJDA%3D" TargetMode="External"/><Relationship Id="rId38" Type="http://schemas.openxmlformats.org/officeDocument/2006/relationships/hyperlink" Target="mailto:Perf-Test-User-10217@mailinator.com" TargetMode="External"/><Relationship Id="rId59" Type="http://schemas.openxmlformats.org/officeDocument/2006/relationships/hyperlink" Target="mailto:Perf-ECR-006@mailinator.com" TargetMode="External"/><Relationship Id="rId103" Type="http://schemas.openxmlformats.org/officeDocument/2006/relationships/hyperlink" Target="mailto:Perf-Test-User-10029@mailinator.com" TargetMode="External"/><Relationship Id="rId108" Type="http://schemas.openxmlformats.org/officeDocument/2006/relationships/hyperlink" Target="mailto:Perf-Test-User-10268@mailinator.com" TargetMode="External"/><Relationship Id="rId124" Type="http://schemas.openxmlformats.org/officeDocument/2006/relationships/hyperlink" Target="mailto:Perf-Test-User-10198@mailinator.com" TargetMode="External"/><Relationship Id="rId129" Type="http://schemas.openxmlformats.org/officeDocument/2006/relationships/hyperlink" Target="mailto:Perf-Test-User-9953@mailinator.com" TargetMode="External"/><Relationship Id="rId54" Type="http://schemas.openxmlformats.org/officeDocument/2006/relationships/hyperlink" Target="mailto:UAT-WF-Use34@mailinator.com" TargetMode="External"/><Relationship Id="rId70" Type="http://schemas.openxmlformats.org/officeDocument/2006/relationships/hyperlink" Target="mailto:Perf-Test-User-10217@mailinator.com" TargetMode="External"/><Relationship Id="rId75" Type="http://schemas.openxmlformats.org/officeDocument/2006/relationships/hyperlink" Target="mailto:UAT-WF-Use34@mailinator.com" TargetMode="External"/><Relationship Id="rId91" Type="http://schemas.openxmlformats.org/officeDocument/2006/relationships/hyperlink" Target="mailto:Perf-Test-User-10217@mailinator.com" TargetMode="External"/><Relationship Id="rId96" Type="http://schemas.openxmlformats.org/officeDocument/2006/relationships/hyperlink" Target="mailto:Perf-Test-User-10217@mailinator.com" TargetMode="External"/><Relationship Id="rId1" Type="http://schemas.openxmlformats.org/officeDocument/2006/relationships/hyperlink" Target="https://statesavings-qa.dev-anpost.com/your-savings/register/create-password?token=G7xkduakTTxNRPQqt5PvJfqqSKHppyCD6cqB62bxyIIcJGw5u0j3np%2FwN9ETZVPobfkdSm4Q%2BXdgU%2FQMiZJ5D760Ghz6mdctVNeh8VUXcXw%3D" TargetMode="External"/><Relationship Id="rId6" Type="http://schemas.openxmlformats.org/officeDocument/2006/relationships/hyperlink" Target="https://ss-uat.dev-anpost.com/your-savings/register/create-password?token=YDJVOPp4hRUb2zWzmXjLx6OhHQZcjg4ydEckd0LkC54K%2FolTZUtjp1TI87%2B7mKt4NVbRghXkQtSot%2FPG5wd%2BiLLTLOls99lP%2B2BO2xr2W0Y%3D" TargetMode="External"/><Relationship Id="rId23" Type="http://schemas.openxmlformats.org/officeDocument/2006/relationships/hyperlink" Target="https://ss-uat.dev-anpost.com/your-savings/register/create-password?token=nW%2BoBjQHQ32H8X%2BS%2FqeOX43mDtnUdw6KTvIgTvUEzOho4gX%2BjmscY1pUYBl3%2Byxfb81r4xlKhlbI8pCTHrryaVeWSO16LFkoJFgg2szY53Y%3D" TargetMode="External"/><Relationship Id="rId28" Type="http://schemas.openxmlformats.org/officeDocument/2006/relationships/hyperlink" Target="https://ss-uat.dev-anpost.com/your-savings/register/create-password?token=gV7V5YRcC5YUiuZeNJUMT7B7%2BXGuLL8ad%2FqmXc5p5fS0zpENzll8nH9VauRQ8PD3dTZBGzfS8qHwqCNI2Nw7S1xYIlyiRmh%2FHst%2FzA4XupA%3D" TargetMode="External"/><Relationship Id="rId49" Type="http://schemas.openxmlformats.org/officeDocument/2006/relationships/hyperlink" Target="mailto:Perf-Test-User-10217@mailinator.com" TargetMode="External"/><Relationship Id="rId114" Type="http://schemas.openxmlformats.org/officeDocument/2006/relationships/hyperlink" Target="mailto:UAT-Web-Auth71@mailinator.com" TargetMode="External"/><Relationship Id="rId119" Type="http://schemas.openxmlformats.org/officeDocument/2006/relationships/hyperlink" Target="mailto:UAT-Web-Auth68@mailinator.com" TargetMode="External"/><Relationship Id="rId44" Type="http://schemas.openxmlformats.org/officeDocument/2006/relationships/hyperlink" Target="mailto:Perf-Test-User-10217@mailinator.com" TargetMode="External"/><Relationship Id="rId60" Type="http://schemas.openxmlformats.org/officeDocument/2006/relationships/hyperlink" Target="mailto:Perf-ECR-007@mailinator.com" TargetMode="External"/><Relationship Id="rId65" Type="http://schemas.openxmlformats.org/officeDocument/2006/relationships/hyperlink" Target="mailto:Perf-Test-User-10217@mailinator.com" TargetMode="External"/><Relationship Id="rId81" Type="http://schemas.openxmlformats.org/officeDocument/2006/relationships/hyperlink" Target="mailto:Perf-Test-User-10217@mailinator.com" TargetMode="External"/><Relationship Id="rId86" Type="http://schemas.openxmlformats.org/officeDocument/2006/relationships/hyperlink" Target="mailto:Perf-Test-User-10217@mailinator.com" TargetMode="External"/><Relationship Id="rId130" Type="http://schemas.openxmlformats.org/officeDocument/2006/relationships/hyperlink" Target="mailto:UAT-Web-Auth13@mailinator.com" TargetMode="External"/><Relationship Id="rId13" Type="http://schemas.openxmlformats.org/officeDocument/2006/relationships/hyperlink" Target="https://ss-uat.dev-anpost.com/your-savings/register/create-password?token=yVSxIdwScQZTT17ut6lf%2BkvZ5MlvZ4bs%2BVMY%2Bs%2BMMc%2Bos2UupoqmLj0CpbJdU6bvb2Eht8mhS7TKFCxgq9hgMrv8LLdRaDF0J%2B37CkNVm4Y%3D" TargetMode="External"/><Relationship Id="rId18" Type="http://schemas.openxmlformats.org/officeDocument/2006/relationships/hyperlink" Target="https://ss-uat.dev-anpost.com/your-savings/register/create-password?token=Toox0ccYv7kb%2BJwDDBOqavhqP6R8xp1zA7aPjSUtFgShjkcE%2BB%2BYy0banhRlpfTxQTetW0eSNiH0HtGF%2B0xiwf%2FbadRjDVGyHJzhRyVhdGw%3D" TargetMode="External"/><Relationship Id="rId39" Type="http://schemas.openxmlformats.org/officeDocument/2006/relationships/hyperlink" Target="mailto:UAT-Web-Auth2@mailinator.com" TargetMode="External"/><Relationship Id="rId109" Type="http://schemas.openxmlformats.org/officeDocument/2006/relationships/hyperlink" Target="mailto:UAT-User8@mailinator.com" TargetMode="External"/><Relationship Id="rId34" Type="http://schemas.openxmlformats.org/officeDocument/2006/relationships/hyperlink" Target="https://ss-uat.dev-anpost.com/your-savings/register/create-password?token=3tBKxKJnl6MJeJCkomCVJUSkEK9qH42MCPBCPjHId0q8B%2B1%2BGou3d8bE429rV%2FBPlKxOKurzudo3RldEk%2BGJX5JI2P5bXigeoGIIJ7FjzVc%3D" TargetMode="External"/><Relationship Id="rId50" Type="http://schemas.openxmlformats.org/officeDocument/2006/relationships/hyperlink" Target="mailto:SIT-ECR-005@mailinator.com" TargetMode="External"/><Relationship Id="rId55" Type="http://schemas.openxmlformats.org/officeDocument/2006/relationships/hyperlink" Target="mailto:UAT-WF-Use34@mailinator.com" TargetMode="External"/><Relationship Id="rId76" Type="http://schemas.openxmlformats.org/officeDocument/2006/relationships/hyperlink" Target="mailto:UAT-WF-Use34@mailinator.com" TargetMode="External"/><Relationship Id="rId97" Type="http://schemas.openxmlformats.org/officeDocument/2006/relationships/hyperlink" Target="mailto:Perf-Test-User-10217@mailinator.com" TargetMode="External"/><Relationship Id="rId104" Type="http://schemas.openxmlformats.org/officeDocument/2006/relationships/hyperlink" Target="mailto:Perf-Test-User-9906@mailinator.com" TargetMode="External"/><Relationship Id="rId120" Type="http://schemas.openxmlformats.org/officeDocument/2006/relationships/hyperlink" Target="mailto:UAT-Web-Auth10@mailinator.com" TargetMode="External"/><Relationship Id="rId125" Type="http://schemas.openxmlformats.org/officeDocument/2006/relationships/hyperlink" Target="mailto:UAT-Target-Regression-9058@mailinator.com" TargetMode="External"/><Relationship Id="rId7" Type="http://schemas.openxmlformats.org/officeDocument/2006/relationships/hyperlink" Target="https://ss-uat.dev-anpost.com/your-savings/register/create-password?token=1fmh6AWeVCYX7RASubkGV64WDEkmgZGYiLOO4NNpTzrI6TD5BcZ6dxAt9tSDurojtXH8wVlqWQ4uLLcfkUdnWvoUQNOUN%2BTWmNWJ%2FHJPiF4%3D" TargetMode="External"/><Relationship Id="rId71" Type="http://schemas.openxmlformats.org/officeDocument/2006/relationships/hyperlink" Target="mailto:Perf-Test-User-10217@mailinator.com" TargetMode="External"/><Relationship Id="rId92" Type="http://schemas.openxmlformats.org/officeDocument/2006/relationships/hyperlink" Target="mailto:Perf-Test-User-10217@mailinator.com" TargetMode="External"/><Relationship Id="rId2" Type="http://schemas.openxmlformats.org/officeDocument/2006/relationships/hyperlink" Target="https://ss-uat.dev-anpost.com/your-savings/register/create-password?token=lS7jglTeYEUhdtN%2BI3ev%2F5rXU5DU8LauWFxKq2x115ZBxQnjTbB%2BtewMAGYs3fnWkCT%2BWKeyBM7cB0AKzfOC6DOorbDvvgvNblPY1pneReo%3D" TargetMode="External"/><Relationship Id="rId29" Type="http://schemas.openxmlformats.org/officeDocument/2006/relationships/hyperlink" Target="https://ss-uat.dev-anpost.com/your-savings/register/create-password?token=xTpTpttUvsL4lh%2B15YoO84PSoDHbZS91Hyq6MrghiW8pVXy1M4I0Cyc2nItbL2ea5tXhl3MMp9ke%2F54mT0MsThw6%2Fo%2BzFmXO44mplG4sw68%3D" TargetMode="External"/><Relationship Id="rId24" Type="http://schemas.openxmlformats.org/officeDocument/2006/relationships/hyperlink" Target="https://ss-uat.dev-anpost.com/your-savings/register/create-password?token=MEPgs0ptLPcokExrGLtdvIcVFdOvKSSK9f5VWZsUiE5ZGv65nT%2BaitLLoVDicVwP1z0nxU078nqIisIsYJsJbcR0nPO3O9qvGD4oXNaHA5Y%3D" TargetMode="External"/><Relationship Id="rId40" Type="http://schemas.openxmlformats.org/officeDocument/2006/relationships/hyperlink" Target="mailto:Perf-Test-User-10217@mailinator.com" TargetMode="External"/><Relationship Id="rId45" Type="http://schemas.openxmlformats.org/officeDocument/2006/relationships/hyperlink" Target="mailto:Perf-Test-User-10217@mailinator.com" TargetMode="External"/><Relationship Id="rId66" Type="http://schemas.openxmlformats.org/officeDocument/2006/relationships/hyperlink" Target="mailto:Perf-Test-User-10217@mailinator.com" TargetMode="External"/><Relationship Id="rId87" Type="http://schemas.openxmlformats.org/officeDocument/2006/relationships/hyperlink" Target="mailto:Perf-Test-User-10217@mailinator.com" TargetMode="External"/><Relationship Id="rId110" Type="http://schemas.openxmlformats.org/officeDocument/2006/relationships/hyperlink" Target="mailto:UAT-User8@mailinator.com" TargetMode="External"/><Relationship Id="rId115" Type="http://schemas.openxmlformats.org/officeDocument/2006/relationships/hyperlink" Target="mailto:UAT-Web-Auth72@mailinator.com" TargetMode="External"/><Relationship Id="rId131" Type="http://schemas.openxmlformats.org/officeDocument/2006/relationships/hyperlink" Target="mailto:UAT-Web-Auth7@mailinator.com" TargetMode="External"/><Relationship Id="rId61" Type="http://schemas.openxmlformats.org/officeDocument/2006/relationships/hyperlink" Target="mailto:Perf-ECR-007@mailinator.com" TargetMode="External"/><Relationship Id="rId82" Type="http://schemas.openxmlformats.org/officeDocument/2006/relationships/hyperlink" Target="mailto:Perf-Test-User-10217@mailinator.com" TargetMode="External"/><Relationship Id="rId19" Type="http://schemas.openxmlformats.org/officeDocument/2006/relationships/hyperlink" Target="https://ss-uat.dev-anpost.com/your-savings/register/create-password?token=3SAjnT83VzBCNrxU66sSzCfhZ3V1WFfm4Xt1s%2FyEtE3qGtj8PLmfsNDT%2FjEORs9spbWcRAOCsNX8J8s4lyCkglcZlHvhgnFk3FNReSaZ6Do%3D" TargetMode="External"/><Relationship Id="rId14" Type="http://schemas.openxmlformats.org/officeDocument/2006/relationships/hyperlink" Target="https://ss-uat.dev-anpost.com/your-savings/register/create-password?token=jmguHHa3nAY3q5zcrHE5MxIvYezLJq65ySIiLAtcO%2Bg9fGwjBLagBtPMTmUqy824HCcOM6vWcRUd815C9b%2FeAUW3t3b0nvvgDVoVK3k16og%3D" TargetMode="External"/><Relationship Id="rId30" Type="http://schemas.openxmlformats.org/officeDocument/2006/relationships/hyperlink" Target="https://ss-uat.dev-anpost.com/your-savings/register/create-password?token=Zpob7%2BQGdtck2PwSt%2BCuUA5MRlwR8%2FdEWKzTaTZ9ZB6hPIv4LMkTUqBe1sBHM5w7GkSzUA2zfOMEhpR7jpxaBVe5OyTK3bx3gUl51v9xziQ%3D" TargetMode="External"/><Relationship Id="rId35" Type="http://schemas.openxmlformats.org/officeDocument/2006/relationships/hyperlink" Target="https://ss-uat.dev-anpost.com/your-savings/register/create-password?token=e6OA9YCRvV6PShCdlcZH7WxOJpkys3exZGhrbJZz%2B6%2Fe0x4RbNGBDlexA5odarF92fx4K4jBjRXsIS8%2FnZVQScR9btvbGGNS0fg1s408T0g%3D" TargetMode="External"/><Relationship Id="rId56" Type="http://schemas.openxmlformats.org/officeDocument/2006/relationships/hyperlink" Target="mailto:Perf-Test-User-10217@mailinator.com" TargetMode="External"/><Relationship Id="rId77" Type="http://schemas.openxmlformats.org/officeDocument/2006/relationships/hyperlink" Target="mailto:Perf-Test-User-10217@mailinator.com" TargetMode="External"/><Relationship Id="rId100" Type="http://schemas.openxmlformats.org/officeDocument/2006/relationships/hyperlink" Target="mailto:Perf-Test-User-10217@mailinator.com" TargetMode="External"/><Relationship Id="rId105" Type="http://schemas.openxmlformats.org/officeDocument/2006/relationships/hyperlink" Target="mailto:UATAUTO-WF-User39@mailinator.com" TargetMode="External"/><Relationship Id="rId126" Type="http://schemas.openxmlformats.org/officeDocument/2006/relationships/hyperlink" Target="mailto:UAT-Web-Auth73@mailinator.com" TargetMode="External"/><Relationship Id="rId8" Type="http://schemas.openxmlformats.org/officeDocument/2006/relationships/hyperlink" Target="https://ss-uat.dev-anpost.com/your-savings/register/create-password?token=RSLP5hhtg%2BBwL2FKMXuQXFXM62glswyMp7fhkzdHLYFKAvZ5mQ%2F4tOX3N0AD6IPwR8Y84F6wDu49Xop7MfRok7xXIlcdy%2BXUgJ8bCO0mkC0%3D" TargetMode="External"/><Relationship Id="rId51" Type="http://schemas.openxmlformats.org/officeDocument/2006/relationships/hyperlink" Target="mailto:SIT-ECR-009@mailinator.com" TargetMode="External"/><Relationship Id="rId72" Type="http://schemas.openxmlformats.org/officeDocument/2006/relationships/hyperlink" Target="mailto:UAT-Web-Auth3@mailinator.com" TargetMode="External"/><Relationship Id="rId93" Type="http://schemas.openxmlformats.org/officeDocument/2006/relationships/hyperlink" Target="mailto:UAT-WF-User27@mailinator.com" TargetMode="External"/><Relationship Id="rId98" Type="http://schemas.openxmlformats.org/officeDocument/2006/relationships/hyperlink" Target="mailto:Perf-Test-User-10218@mailinator.com" TargetMode="External"/><Relationship Id="rId121" Type="http://schemas.openxmlformats.org/officeDocument/2006/relationships/hyperlink" Target="mailto:UAT-Web-Auth11@mailinator.com" TargetMode="External"/><Relationship Id="rId3" Type="http://schemas.openxmlformats.org/officeDocument/2006/relationships/hyperlink" Target="https://ss-uat.dev-anpost.com/your-savings/register/create-password?token=NXsGpFZNlXVN9GjLQb5XyJK9JEH6ch%2FuBEVbFUD44XTRplT%2BI5H9YVcG%2F9gnZ%2FEv%2BKaX4A0gbe5XtMOFkFQxsjSoiHXIy1x3O39%2BfMk5mR8%3D" TargetMode="External"/><Relationship Id="rId25" Type="http://schemas.openxmlformats.org/officeDocument/2006/relationships/hyperlink" Target="https://ss-uat.dev-anpost.com/your-savings/register/create-password?token=F8Fz6jVoj6BzO15zXy8Kto3FVP5KM6XB%2BlhwrffL89NgjF786L%2F%2B49VMGcSxoh2YAykNop4gji4hS%2FCjQGj%2FIXvahYeYG6goBceGjLOUbmM%3D" TargetMode="External"/><Relationship Id="rId46" Type="http://schemas.openxmlformats.org/officeDocument/2006/relationships/hyperlink" Target="mailto:Perf-Test-User-10217@mailinator.com" TargetMode="External"/><Relationship Id="rId67" Type="http://schemas.openxmlformats.org/officeDocument/2006/relationships/hyperlink" Target="mailto:Perf-Test-User-10217@mailinator.com" TargetMode="External"/><Relationship Id="rId116" Type="http://schemas.openxmlformats.org/officeDocument/2006/relationships/hyperlink" Target="mailto:UAT-Web-Auth72@mailinator.com" TargetMode="External"/><Relationship Id="rId20" Type="http://schemas.openxmlformats.org/officeDocument/2006/relationships/hyperlink" Target="https://ss-uat.dev-anpost.com/your-savings/register/create-password?token=4EhlJOWgcS7g4LtVsiHophugKmO1xHGXTqEVSlKJizXhWjN%2FlqKdRg74JIZuJLMiNuA6gZKvsWYY9FW4yY7bMryhTRw84gLHUT42AWeKE3M%3D" TargetMode="External"/><Relationship Id="rId41" Type="http://schemas.openxmlformats.org/officeDocument/2006/relationships/hyperlink" Target="mailto:Perf-Test-User-10217@mailinator.com" TargetMode="External"/><Relationship Id="rId62" Type="http://schemas.openxmlformats.org/officeDocument/2006/relationships/hyperlink" Target="mailto:Perf-ECR-007@mailinator.com" TargetMode="External"/><Relationship Id="rId83" Type="http://schemas.openxmlformats.org/officeDocument/2006/relationships/hyperlink" Target="mailto:Perf-Test-User-10217@mailinator.com" TargetMode="External"/><Relationship Id="rId88" Type="http://schemas.openxmlformats.org/officeDocument/2006/relationships/hyperlink" Target="mailto:Perf-Test-User-10217@mailinator.com" TargetMode="External"/><Relationship Id="rId111" Type="http://schemas.openxmlformats.org/officeDocument/2006/relationships/hyperlink" Target="mailto:UAT-WF-User49@mailinator.com" TargetMode="External"/><Relationship Id="rId15" Type="http://schemas.openxmlformats.org/officeDocument/2006/relationships/hyperlink" Target="https://ss-uat.dev-anpost.com/your-savings/register/create-password?token=uRplWtPJINjLNJls6SlrZv8hMLF9o%2FE%2BafxksKbDw4nkk%2FzLCkxXVXVDapZQ3hcCuXVPndj7p%2B0SrulTugoKKZ3ERBq5YCS%2BfZ%2B%2BNnr6U7c%3D" TargetMode="External"/><Relationship Id="rId36" Type="http://schemas.openxmlformats.org/officeDocument/2006/relationships/hyperlink" Target="mailto:UAT-Web-Auth1@mailinator.com" TargetMode="External"/><Relationship Id="rId57" Type="http://schemas.openxmlformats.org/officeDocument/2006/relationships/hyperlink" Target="mailto:Perf-Test-User-10218@mailinator.com" TargetMode="External"/><Relationship Id="rId106" Type="http://schemas.openxmlformats.org/officeDocument/2006/relationships/hyperlink" Target="mailto:Perf-Test-User-10313@mailinator.com" TargetMode="External"/><Relationship Id="rId127" Type="http://schemas.openxmlformats.org/officeDocument/2006/relationships/hyperlink" Target="mailto:UAT-Web-Auth4@mailinator.com" TargetMode="External"/><Relationship Id="rId10" Type="http://schemas.openxmlformats.org/officeDocument/2006/relationships/hyperlink" Target="https://ss-uat.dev-anpost.com/your-savings/register/create-password?token=fRVXiLT07deRI%2B1hE1NIZjvN97Fu33DPYsj0LCAq2sa9WOLs74EfICgXEwHaNRiDjaiw3gd96PipnTX2t27CQGiF4%2FidhWlkkBPjAGRJQmU%3D" TargetMode="External"/><Relationship Id="rId31" Type="http://schemas.openxmlformats.org/officeDocument/2006/relationships/hyperlink" Target="https://ss-uat.dev-anpost.com/your-savings/register/create-password?token=AjcBY3lDOcrZepItfakzZZayRsvWKkWHLqwJYYSok8%2F55dsnSpin7uQzmNnwIcI0MK516icV4ZdQqykON7DZistM5Xd5LbRSh6q8b%2B%2BaeKE%3D" TargetMode="External"/><Relationship Id="rId52" Type="http://schemas.openxmlformats.org/officeDocument/2006/relationships/hyperlink" Target="mailto:UAT-WF-User27@mailinator.com" TargetMode="External"/><Relationship Id="rId73" Type="http://schemas.openxmlformats.org/officeDocument/2006/relationships/hyperlink" Target="https://statesavings-qa.dev-anpost.com/your-savings/register/create-password?token=G7xkduakTTxNRPQqt5PvJfqqSKHppyCD6cqB62bxyIIcJGw5u0j3np%2FwN9ETZVPobfkdSm4Q%2BXdgU%2FQMiZJ5D760Ghz6mdctVNeh8VUXcXw%3D" TargetMode="External"/><Relationship Id="rId78" Type="http://schemas.openxmlformats.org/officeDocument/2006/relationships/hyperlink" Target="mailto:Perf-Test-User-10217@mailinator.com" TargetMode="External"/><Relationship Id="rId94" Type="http://schemas.openxmlformats.org/officeDocument/2006/relationships/hyperlink" Target="mailto:UAT-WF-User27@mailinator.com" TargetMode="External"/><Relationship Id="rId99" Type="http://schemas.openxmlformats.org/officeDocument/2006/relationships/hyperlink" Target="mailto:Perf-Test-User-10217@mailinator.com" TargetMode="External"/><Relationship Id="rId101" Type="http://schemas.openxmlformats.org/officeDocument/2006/relationships/hyperlink" Target="mailto:UATAUTO-WF-User39@mailinator.com" TargetMode="External"/><Relationship Id="rId122" Type="http://schemas.openxmlformats.org/officeDocument/2006/relationships/hyperlink" Target="mailto:UAT-Web-Auth12@mailinator.com" TargetMode="External"/><Relationship Id="rId4" Type="http://schemas.openxmlformats.org/officeDocument/2006/relationships/hyperlink" Target="https://ss-uat.dev-anpost.com/your-savings/register/create-password?token=fM1bszC8CWpHNERBIY5WWXVTztf2ANazrPsk6QgZyBJ3g6DycjmF8qCCkfLHPH6K407fsssxGiDn8kNG6BS%2BusTB%2FOui%2BLLf3L2%2BQ3ufyvo%3D" TargetMode="External"/><Relationship Id="rId9" Type="http://schemas.openxmlformats.org/officeDocument/2006/relationships/hyperlink" Target="https://ss-uat.dev-anpost.com/your-savings/register/create-password?token=%2FgqGNNeloESTrao7Gcs0lXXThWq%2B5aOKxZanPG1LPfZFwCqi0rk42APfGW7TRBj1c5lhMqlZFAiTJ5ky%2BpVEmiAlT23UqR2YlqOD04bQmJ0%3D" TargetMode="External"/><Relationship Id="rId26" Type="http://schemas.openxmlformats.org/officeDocument/2006/relationships/hyperlink" Target="https://ss-uat.dev-anpost.com/your-savings/register/create-password?token=Fwz3uCwZgJn5rKKM5l9guTl6CC0J%2BonB2cKiZSnSj%2F6a4ng2ZEDbCpWJP%2B%2B%2Bpn%2F6iO3reAOT33Q%2BLBz2DwJsFNi7UYLB%2B9EiPvDLQqRuRa4%3D"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mailto:Perf-Test-User-9953@mailinator.com" TargetMode="External"/><Relationship Id="rId21" Type="http://schemas.openxmlformats.org/officeDocument/2006/relationships/hyperlink" Target="mailto:Perf-Test-User-9951@mailinator.com" TargetMode="External"/><Relationship Id="rId42" Type="http://schemas.openxmlformats.org/officeDocument/2006/relationships/hyperlink" Target="mailto:Perf-Test-User-9951@mailin" TargetMode="External"/><Relationship Id="rId47" Type="http://schemas.openxmlformats.org/officeDocument/2006/relationships/hyperlink" Target="mailto:Perf-Test-User-9951@mailinator.com" TargetMode="External"/><Relationship Id="rId63" Type="http://schemas.openxmlformats.org/officeDocument/2006/relationships/hyperlink" Target="mailto:UAT-WF-User77@mailinator.com" TargetMode="External"/><Relationship Id="rId68" Type="http://schemas.openxmlformats.org/officeDocument/2006/relationships/hyperlink" Target="mailto:Perf-Test-User-10130@mailinator.com" TargetMode="External"/><Relationship Id="rId2" Type="http://schemas.openxmlformats.org/officeDocument/2006/relationships/hyperlink" Target="mailto:Perf-Test-User-10208@mailinator.com" TargetMode="External"/><Relationship Id="rId16" Type="http://schemas.openxmlformats.org/officeDocument/2006/relationships/hyperlink" Target="mailto:UAT-WF-User45@mailinator.com" TargetMode="External"/><Relationship Id="rId29" Type="http://schemas.openxmlformats.org/officeDocument/2006/relationships/hyperlink" Target="mailto:Perf-Test-User-9953@mailinator.com" TargetMode="External"/><Relationship Id="rId11" Type="http://schemas.openxmlformats.org/officeDocument/2006/relationships/hyperlink" Target="mailto:Perf-Test-User-10130@mailinator.com" TargetMode="External"/><Relationship Id="rId24" Type="http://schemas.openxmlformats.org/officeDocument/2006/relationships/hyperlink" Target="mailto:Perf-Test-User-9953@mailinator.com" TargetMode="External"/><Relationship Id="rId32" Type="http://schemas.openxmlformats.org/officeDocument/2006/relationships/hyperlink" Target="mailto:Perf-Test-User-9953@mailin" TargetMode="External"/><Relationship Id="rId37" Type="http://schemas.openxmlformats.org/officeDocument/2006/relationships/hyperlink" Target="mailto:UAT-WF-User45@mailinator.com" TargetMode="External"/><Relationship Id="rId40" Type="http://schemas.openxmlformats.org/officeDocument/2006/relationships/hyperlink" Target="mailto:Perf-Test-User-9951@mailinator.com" TargetMode="External"/><Relationship Id="rId45" Type="http://schemas.openxmlformats.org/officeDocument/2006/relationships/hyperlink" Target="mailto:UAT-WF-User45@mailinator.com" TargetMode="External"/><Relationship Id="rId53" Type="http://schemas.openxmlformats.org/officeDocument/2006/relationships/hyperlink" Target="mailto:Perf-Test-User-9951@mailin" TargetMode="External"/><Relationship Id="rId58" Type="http://schemas.openxmlformats.org/officeDocument/2006/relationships/hyperlink" Target="mailto:UAT-WF-User45@mailinator.com" TargetMode="External"/><Relationship Id="rId66" Type="http://schemas.openxmlformats.org/officeDocument/2006/relationships/hyperlink" Target="mailto:Perf-Test-User-10130@mailinator.com" TargetMode="External"/><Relationship Id="rId74" Type="http://schemas.openxmlformats.org/officeDocument/2006/relationships/hyperlink" Target="mailto:Perf-Test-User-10130@mailinator.com" TargetMode="External"/><Relationship Id="rId5" Type="http://schemas.openxmlformats.org/officeDocument/2006/relationships/hyperlink" Target="mailto:UAT-WF-User41@mailinator.com" TargetMode="External"/><Relationship Id="rId61" Type="http://schemas.openxmlformats.org/officeDocument/2006/relationships/hyperlink" Target="mailto:UAT-WF-User45@mailinator.com" TargetMode="External"/><Relationship Id="rId19" Type="http://schemas.openxmlformats.org/officeDocument/2006/relationships/hyperlink" Target="mailto:Perf-Test-User-9951@mailinator.com" TargetMode="External"/><Relationship Id="rId14" Type="http://schemas.openxmlformats.org/officeDocument/2006/relationships/hyperlink" Target="mailto:Perf-Test-User-112801@mailinator.com" TargetMode="External"/><Relationship Id="rId22" Type="http://schemas.openxmlformats.org/officeDocument/2006/relationships/hyperlink" Target="mailto:UAT-Target-Regression-9044@mailinator.com" TargetMode="External"/><Relationship Id="rId27" Type="http://schemas.openxmlformats.org/officeDocument/2006/relationships/hyperlink" Target="mailto:Perf-Test-User-9951@mailinator.com" TargetMode="External"/><Relationship Id="rId30" Type="http://schemas.openxmlformats.org/officeDocument/2006/relationships/hyperlink" Target="mailto:UAT-WF-User45@mailinator.com" TargetMode="External"/><Relationship Id="rId35" Type="http://schemas.openxmlformats.org/officeDocument/2006/relationships/hyperlink" Target="mailto:UAT-WF-User45@mailinator.com" TargetMode="External"/><Relationship Id="rId43" Type="http://schemas.openxmlformats.org/officeDocument/2006/relationships/hyperlink" Target="mailto:UAT-WF-User45@mailinator.com" TargetMode="External"/><Relationship Id="rId48" Type="http://schemas.openxmlformats.org/officeDocument/2006/relationships/hyperlink" Target="mailto:UAT-WF-User45@mailinator.com" TargetMode="External"/><Relationship Id="rId56" Type="http://schemas.openxmlformats.org/officeDocument/2006/relationships/hyperlink" Target="mailto:Perf-Test-User-9951@mailinator.com" TargetMode="External"/><Relationship Id="rId64" Type="http://schemas.openxmlformats.org/officeDocument/2006/relationships/hyperlink" Target="mailto:Perf-Test-User-10130@mailinator.com" TargetMode="External"/><Relationship Id="rId69" Type="http://schemas.openxmlformats.org/officeDocument/2006/relationships/hyperlink" Target="mailto:Perf-Test-User-10130@mailinator.com" TargetMode="External"/><Relationship Id="rId8" Type="http://schemas.openxmlformats.org/officeDocument/2006/relationships/hyperlink" Target="mailto:Perf-Test-User-10130@mailinator.com" TargetMode="External"/><Relationship Id="rId51" Type="http://schemas.openxmlformats.org/officeDocument/2006/relationships/hyperlink" Target="mailto:Perf-Test-User-9951@mailinator.com" TargetMode="External"/><Relationship Id="rId72" Type="http://schemas.openxmlformats.org/officeDocument/2006/relationships/hyperlink" Target="mailto:Perf-Test-User-10130@mailinator.com" TargetMode="External"/><Relationship Id="rId3" Type="http://schemas.openxmlformats.org/officeDocument/2006/relationships/hyperlink" Target="mailto:Perf-Test-User-10130@mailinator.com" TargetMode="External"/><Relationship Id="rId12" Type="http://schemas.openxmlformats.org/officeDocument/2006/relationships/hyperlink" Target="mailto:Perf-Test-User-112801@mailinator.com" TargetMode="External"/><Relationship Id="rId17" Type="http://schemas.openxmlformats.org/officeDocument/2006/relationships/hyperlink" Target="mailto:UAT-WF-User45@mailinator.com" TargetMode="External"/><Relationship Id="rId25" Type="http://schemas.openxmlformats.org/officeDocument/2006/relationships/hyperlink" Target="mailto:Perf-Test-User-9951@mailinator.com" TargetMode="External"/><Relationship Id="rId33" Type="http://schemas.openxmlformats.org/officeDocument/2006/relationships/hyperlink" Target="mailto:Perf-Test-User-9953@mailin" TargetMode="External"/><Relationship Id="rId38" Type="http://schemas.openxmlformats.org/officeDocument/2006/relationships/hyperlink" Target="mailto:Perf-Test-User-9951@mailinator.com" TargetMode="External"/><Relationship Id="rId46" Type="http://schemas.openxmlformats.org/officeDocument/2006/relationships/hyperlink" Target="mailto:UAT-WF-User45@mailinator.com" TargetMode="External"/><Relationship Id="rId59" Type="http://schemas.openxmlformats.org/officeDocument/2006/relationships/hyperlink" Target="mailto:UAT-WF-User45@mailinator.com" TargetMode="External"/><Relationship Id="rId67" Type="http://schemas.openxmlformats.org/officeDocument/2006/relationships/hyperlink" Target="mailto:Perf-Test-User-10183@mailinator.com" TargetMode="External"/><Relationship Id="rId20" Type="http://schemas.openxmlformats.org/officeDocument/2006/relationships/hyperlink" Target="mailto:UAT-Target-Regression-9044@mailinator.com" TargetMode="External"/><Relationship Id="rId41" Type="http://schemas.openxmlformats.org/officeDocument/2006/relationships/hyperlink" Target="mailto:UAT-WF-User45@mailin" TargetMode="External"/><Relationship Id="rId54" Type="http://schemas.openxmlformats.org/officeDocument/2006/relationships/hyperlink" Target="mailto:UAT-WF-User45@mailinator.com" TargetMode="External"/><Relationship Id="rId62" Type="http://schemas.openxmlformats.org/officeDocument/2006/relationships/hyperlink" Target="mailto:Perf-Test-User-10130@mailinator.com" TargetMode="External"/><Relationship Id="rId70" Type="http://schemas.openxmlformats.org/officeDocument/2006/relationships/hyperlink" Target="mailto:Perf-Test-User-10130@mailinator.com" TargetMode="External"/><Relationship Id="rId1" Type="http://schemas.openxmlformats.org/officeDocument/2006/relationships/hyperlink" Target="mailto:Perf-Test-User-10183@mailinator.com" TargetMode="External"/><Relationship Id="rId6" Type="http://schemas.openxmlformats.org/officeDocument/2006/relationships/hyperlink" Target="mailto:Perf-Test-User-10130@mailinator.com" TargetMode="External"/><Relationship Id="rId15" Type="http://schemas.openxmlformats.org/officeDocument/2006/relationships/hyperlink" Target="mailto:Perf-Test-User-10130@mailinator.com" TargetMode="External"/><Relationship Id="rId23" Type="http://schemas.openxmlformats.org/officeDocument/2006/relationships/hyperlink" Target="mailto:Perf-Test-User-9951@mailinator.com" TargetMode="External"/><Relationship Id="rId28" Type="http://schemas.openxmlformats.org/officeDocument/2006/relationships/hyperlink" Target="mailto:Perf-Test-User-9953@mailinator.com" TargetMode="External"/><Relationship Id="rId36" Type="http://schemas.openxmlformats.org/officeDocument/2006/relationships/hyperlink" Target="mailto:UAT-WF-User45@mailinator.com" TargetMode="External"/><Relationship Id="rId49" Type="http://schemas.openxmlformats.org/officeDocument/2006/relationships/hyperlink" Target="mailto:Perf-Test-User-9951@mailinator.com" TargetMode="External"/><Relationship Id="rId57" Type="http://schemas.openxmlformats.org/officeDocument/2006/relationships/hyperlink" Target="mailto:UAT-WF-User45@mailinator.com" TargetMode="External"/><Relationship Id="rId10" Type="http://schemas.openxmlformats.org/officeDocument/2006/relationships/hyperlink" Target="mailto:Perf-Test-User-10130@mailinator.com" TargetMode="External"/><Relationship Id="rId31" Type="http://schemas.openxmlformats.org/officeDocument/2006/relationships/hyperlink" Target="mailto:Perf-Test-User-9953@mailinator.com" TargetMode="External"/><Relationship Id="rId44" Type="http://schemas.openxmlformats.org/officeDocument/2006/relationships/hyperlink" Target="mailto:UAT-WF-User45@mailinator.com" TargetMode="External"/><Relationship Id="rId52" Type="http://schemas.openxmlformats.org/officeDocument/2006/relationships/hyperlink" Target="mailto:UAT-WF-User45@mailinator.com" TargetMode="External"/><Relationship Id="rId60" Type="http://schemas.openxmlformats.org/officeDocument/2006/relationships/hyperlink" Target="mailto:UAT-WF-User45@mailinator.com" TargetMode="External"/><Relationship Id="rId65" Type="http://schemas.openxmlformats.org/officeDocument/2006/relationships/hyperlink" Target="mailto:Perf-Test-User-10130@mailinator.com" TargetMode="External"/><Relationship Id="rId73" Type="http://schemas.openxmlformats.org/officeDocument/2006/relationships/hyperlink" Target="mailto:Perf-Test-User-10130@mailinator.com" TargetMode="External"/><Relationship Id="rId4" Type="http://schemas.openxmlformats.org/officeDocument/2006/relationships/hyperlink" Target="mailto:Perf-Test-User-10130@mailinator.com" TargetMode="External"/><Relationship Id="rId9" Type="http://schemas.openxmlformats.org/officeDocument/2006/relationships/hyperlink" Target="mailto:Perf-Test-User-10130@mailinator.com" TargetMode="External"/><Relationship Id="rId13" Type="http://schemas.openxmlformats.org/officeDocument/2006/relationships/hyperlink" Target="mailto:Perf-Test-User-112801@mailinator.com" TargetMode="External"/><Relationship Id="rId18" Type="http://schemas.openxmlformats.org/officeDocument/2006/relationships/hyperlink" Target="mailto:Perf-Test-User-9953@mailinator.com" TargetMode="External"/><Relationship Id="rId39" Type="http://schemas.openxmlformats.org/officeDocument/2006/relationships/hyperlink" Target="mailto:UAT-WF-User45@mailinator.com" TargetMode="External"/><Relationship Id="rId34" Type="http://schemas.openxmlformats.org/officeDocument/2006/relationships/hyperlink" Target="mailto:Perf-Test-User-9953@mailinator.com" TargetMode="External"/><Relationship Id="rId50" Type="http://schemas.openxmlformats.org/officeDocument/2006/relationships/hyperlink" Target="mailto:UAT-WF-User45@mailinator.com" TargetMode="External"/><Relationship Id="rId55" Type="http://schemas.openxmlformats.org/officeDocument/2006/relationships/hyperlink" Target="mailto:UAT-WF-User45@mailinator.com" TargetMode="External"/><Relationship Id="rId7" Type="http://schemas.openxmlformats.org/officeDocument/2006/relationships/hyperlink" Target="mailto:Perf-Test-User-10130@mailinator.com" TargetMode="External"/><Relationship Id="rId71" Type="http://schemas.openxmlformats.org/officeDocument/2006/relationships/hyperlink" Target="mailto:Perf-Test-User-10130@mailinato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AA1041"/>
  <sheetViews>
    <sheetView zoomScale="83" zoomScaleNormal="83" workbookViewId="0">
      <pane ySplit="1" topLeftCell="A94" activePane="bottomLeft" state="frozen"/>
      <selection pane="bottomLeft" activeCell="A108" sqref="A108:XFD108"/>
    </sheetView>
  </sheetViews>
  <sheetFormatPr defaultColWidth="14.42578125" defaultRowHeight="15" customHeight="1" x14ac:dyDescent="0.25"/>
  <cols>
    <col min="1" max="1" width="55.28515625" style="36" customWidth="1"/>
    <col min="2" max="2" width="51.28515625" style="36" customWidth="1"/>
    <col min="3" max="3" width="17" style="36" customWidth="1"/>
    <col min="4" max="4" width="16.42578125" style="36" customWidth="1"/>
    <col min="5" max="5" width="15.7109375" style="36" customWidth="1"/>
    <col min="6" max="6" width="11.28515625" style="36" customWidth="1"/>
    <col min="7" max="7" width="10.5703125" style="36" customWidth="1"/>
    <col min="8" max="8" width="8.28515625" style="36" customWidth="1"/>
    <col min="9" max="9" width="0.140625" style="36" customWidth="1"/>
    <col min="10" max="10" width="22.85546875" customWidth="1"/>
    <col min="11" max="11" width="67.7109375" style="36" customWidth="1"/>
    <col min="12" max="12" width="16.140625" style="36" customWidth="1"/>
    <col min="13" max="13" width="22" style="36" customWidth="1"/>
    <col min="14" max="14" width="30.85546875" style="36" bestFit="1" customWidth="1"/>
    <col min="15" max="15" width="19.85546875" style="36" customWidth="1"/>
    <col min="16" max="16" width="44.5703125" style="36" customWidth="1"/>
    <col min="17" max="17" width="29.7109375" style="36" customWidth="1"/>
    <col min="18" max="18" width="16.7109375" style="36" customWidth="1"/>
    <col min="19" max="19" width="21.28515625" style="36" customWidth="1"/>
    <col min="20" max="20" width="15.42578125" style="36" customWidth="1"/>
    <col min="21" max="21" width="23.7109375" style="36" customWidth="1"/>
    <col min="22" max="27" width="8.7109375" style="36" customWidth="1"/>
    <col min="28" max="16384" width="14.42578125" style="36"/>
  </cols>
  <sheetData>
    <row r="1" spans="1:26" ht="19.899999999999999" customHeight="1" x14ac:dyDescent="0.25">
      <c r="A1" s="37" t="s">
        <v>0</v>
      </c>
      <c r="B1" s="37" t="s">
        <v>1</v>
      </c>
      <c r="C1" s="37" t="s">
        <v>2</v>
      </c>
      <c r="D1" s="37" t="s">
        <v>3</v>
      </c>
      <c r="E1" s="37" t="s">
        <v>4</v>
      </c>
      <c r="F1" s="37" t="s">
        <v>11</v>
      </c>
      <c r="G1" s="37" t="s">
        <v>37</v>
      </c>
      <c r="H1" s="37" t="s">
        <v>38</v>
      </c>
      <c r="I1" s="37" t="s">
        <v>39</v>
      </c>
      <c r="J1" s="37" t="s">
        <v>5</v>
      </c>
      <c r="K1" s="37" t="s">
        <v>6</v>
      </c>
      <c r="L1" s="37" t="s">
        <v>40</v>
      </c>
      <c r="M1" s="37" t="s">
        <v>7</v>
      </c>
      <c r="N1" s="37" t="s">
        <v>8</v>
      </c>
      <c r="O1" s="37" t="s">
        <v>9</v>
      </c>
      <c r="P1" s="37" t="s">
        <v>41</v>
      </c>
      <c r="Q1" s="37" t="s">
        <v>42</v>
      </c>
      <c r="R1" s="37" t="s">
        <v>43</v>
      </c>
      <c r="S1" s="37" t="s">
        <v>10</v>
      </c>
      <c r="T1" s="37" t="s">
        <v>12</v>
      </c>
      <c r="U1" s="13"/>
      <c r="V1" s="13"/>
      <c r="W1" s="13"/>
      <c r="X1" s="13"/>
      <c r="Y1" s="13"/>
      <c r="Z1" s="13"/>
    </row>
    <row r="2" spans="1:26" ht="19.899999999999999" customHeight="1" x14ac:dyDescent="0.25">
      <c r="A2" s="80" t="s">
        <v>63</v>
      </c>
      <c r="B2" s="72" t="s">
        <v>187</v>
      </c>
      <c r="C2" s="32" t="s">
        <v>64</v>
      </c>
      <c r="D2" s="33" t="s">
        <v>188</v>
      </c>
      <c r="E2" s="35" t="s">
        <v>16</v>
      </c>
      <c r="F2" s="34" t="s">
        <v>65</v>
      </c>
      <c r="G2" s="35" t="s">
        <v>46</v>
      </c>
      <c r="H2" s="31" t="s">
        <v>16</v>
      </c>
      <c r="I2" s="34" t="s">
        <v>47</v>
      </c>
      <c r="J2" s="31" t="s">
        <v>16</v>
      </c>
      <c r="K2" s="34" t="s">
        <v>16</v>
      </c>
      <c r="L2" s="35" t="s">
        <v>48</v>
      </c>
      <c r="M2" s="31" t="s">
        <v>16</v>
      </c>
      <c r="N2" s="34" t="s">
        <v>16</v>
      </c>
      <c r="O2" s="35" t="s">
        <v>16</v>
      </c>
      <c r="P2" s="31" t="s">
        <v>16</v>
      </c>
      <c r="Q2" s="34" t="s">
        <v>16</v>
      </c>
      <c r="R2" s="35" t="s">
        <v>16</v>
      </c>
      <c r="S2" s="31" t="s">
        <v>16</v>
      </c>
      <c r="T2" s="34" t="s">
        <v>36</v>
      </c>
      <c r="U2" s="13"/>
      <c r="V2" s="13"/>
      <c r="W2" s="13"/>
      <c r="X2" s="13"/>
      <c r="Y2" s="13"/>
      <c r="Z2" s="13"/>
    </row>
    <row r="3" spans="1:26" ht="19.899999999999999" customHeight="1" x14ac:dyDescent="0.25">
      <c r="A3" s="31" t="s">
        <v>66</v>
      </c>
      <c r="B3" s="85" t="s">
        <v>189</v>
      </c>
      <c r="C3" s="97" t="s">
        <v>64</v>
      </c>
      <c r="D3" s="98" t="s">
        <v>190</v>
      </c>
      <c r="E3" s="35" t="s">
        <v>16</v>
      </c>
      <c r="F3" s="34" t="s">
        <v>65</v>
      </c>
      <c r="G3" s="35" t="s">
        <v>68</v>
      </c>
      <c r="H3" s="31" t="s">
        <v>16</v>
      </c>
      <c r="I3" s="34" t="s">
        <v>47</v>
      </c>
      <c r="J3" s="31" t="s">
        <v>16</v>
      </c>
      <c r="K3" s="34" t="s">
        <v>16</v>
      </c>
      <c r="L3" s="35" t="s">
        <v>48</v>
      </c>
      <c r="M3" s="31" t="s">
        <v>16</v>
      </c>
      <c r="N3" s="34" t="s">
        <v>16</v>
      </c>
      <c r="O3" s="35" t="s">
        <v>16</v>
      </c>
      <c r="P3" s="31" t="s">
        <v>16</v>
      </c>
      <c r="Q3" s="34" t="s">
        <v>16</v>
      </c>
      <c r="R3" s="35" t="s">
        <v>16</v>
      </c>
      <c r="S3" s="31" t="s">
        <v>16</v>
      </c>
      <c r="T3" s="34" t="s">
        <v>36</v>
      </c>
      <c r="U3" s="13"/>
      <c r="V3" s="13"/>
      <c r="W3" s="13"/>
      <c r="X3" s="13"/>
      <c r="Y3" s="13"/>
      <c r="Z3" s="13"/>
    </row>
    <row r="4" spans="1:26" ht="19.899999999999999" customHeight="1" x14ac:dyDescent="0.25">
      <c r="A4" s="95" t="s">
        <v>191</v>
      </c>
      <c r="B4" s="62" t="s">
        <v>192</v>
      </c>
      <c r="C4" s="64" t="s">
        <v>64</v>
      </c>
      <c r="D4" s="64" t="s">
        <v>193</v>
      </c>
      <c r="E4" s="96" t="s">
        <v>16</v>
      </c>
      <c r="F4" s="34" t="s">
        <v>65</v>
      </c>
      <c r="G4" s="35" t="s">
        <v>68</v>
      </c>
      <c r="H4" s="31" t="s">
        <v>16</v>
      </c>
      <c r="I4" s="34" t="s">
        <v>47</v>
      </c>
      <c r="J4" s="31" t="s">
        <v>16</v>
      </c>
      <c r="K4" s="34" t="s">
        <v>16</v>
      </c>
      <c r="L4" s="35" t="s">
        <v>48</v>
      </c>
      <c r="M4" s="31" t="s">
        <v>16</v>
      </c>
      <c r="N4" s="34" t="s">
        <v>16</v>
      </c>
      <c r="O4" s="35" t="s">
        <v>16</v>
      </c>
      <c r="P4" s="31" t="s">
        <v>16</v>
      </c>
      <c r="Q4" s="34" t="s">
        <v>16</v>
      </c>
      <c r="R4" s="35" t="s">
        <v>16</v>
      </c>
      <c r="S4" s="31" t="s">
        <v>16</v>
      </c>
      <c r="T4" s="34" t="s">
        <v>36</v>
      </c>
      <c r="U4" s="13"/>
      <c r="V4" s="13"/>
      <c r="W4" s="13"/>
      <c r="X4" s="13"/>
      <c r="Y4" s="13"/>
      <c r="Z4" s="13"/>
    </row>
    <row r="5" spans="1:26" ht="19.899999999999999" customHeight="1" x14ac:dyDescent="0.25">
      <c r="A5" s="31" t="s">
        <v>115</v>
      </c>
      <c r="B5" s="78" t="s">
        <v>194</v>
      </c>
      <c r="C5" s="99" t="s">
        <v>64</v>
      </c>
      <c r="D5" s="100" t="s">
        <v>195</v>
      </c>
      <c r="E5" s="35" t="s">
        <v>16</v>
      </c>
      <c r="F5" s="34" t="s">
        <v>65</v>
      </c>
      <c r="G5" s="35" t="s">
        <v>116</v>
      </c>
      <c r="H5" s="31" t="s">
        <v>16</v>
      </c>
      <c r="I5" s="34" t="s">
        <v>47</v>
      </c>
      <c r="J5" s="31" t="s">
        <v>16</v>
      </c>
      <c r="K5" s="34" t="s">
        <v>16</v>
      </c>
      <c r="L5" s="35" t="s">
        <v>48</v>
      </c>
      <c r="M5" s="31" t="s">
        <v>16</v>
      </c>
      <c r="N5" s="34" t="s">
        <v>16</v>
      </c>
      <c r="O5" s="35" t="s">
        <v>16</v>
      </c>
      <c r="P5" s="31" t="s">
        <v>16</v>
      </c>
      <c r="Q5" s="34" t="s">
        <v>16</v>
      </c>
      <c r="R5" s="35" t="s">
        <v>16</v>
      </c>
      <c r="S5" s="31" t="s">
        <v>16</v>
      </c>
      <c r="T5" s="34" t="s">
        <v>36</v>
      </c>
      <c r="U5" s="13"/>
      <c r="V5" s="13"/>
      <c r="W5" s="13"/>
      <c r="X5" s="13"/>
      <c r="Y5" s="13"/>
      <c r="Z5" s="13"/>
    </row>
    <row r="6" spans="1:26" ht="19.899999999999999" customHeight="1" x14ac:dyDescent="0.25">
      <c r="A6" s="31" t="s">
        <v>196</v>
      </c>
      <c r="B6" s="85" t="s">
        <v>197</v>
      </c>
      <c r="C6" s="32" t="s">
        <v>67</v>
      </c>
      <c r="D6" s="33" t="s">
        <v>198</v>
      </c>
      <c r="E6" s="35" t="s">
        <v>16</v>
      </c>
      <c r="F6" s="35" t="s">
        <v>16</v>
      </c>
      <c r="G6" s="35" t="s">
        <v>16</v>
      </c>
      <c r="H6" s="35" t="s">
        <v>16</v>
      </c>
      <c r="I6" s="35" t="s">
        <v>16</v>
      </c>
      <c r="J6" s="38" t="s">
        <v>14</v>
      </c>
      <c r="K6" s="35" t="s">
        <v>16</v>
      </c>
      <c r="L6" s="35" t="s">
        <v>16</v>
      </c>
      <c r="M6" s="35" t="s">
        <v>16</v>
      </c>
      <c r="N6" s="35" t="s">
        <v>16</v>
      </c>
      <c r="O6" s="35" t="s">
        <v>16</v>
      </c>
      <c r="P6" s="35" t="s">
        <v>16</v>
      </c>
      <c r="Q6" s="35" t="s">
        <v>16</v>
      </c>
      <c r="R6" s="35" t="s">
        <v>16</v>
      </c>
      <c r="S6" s="35" t="s">
        <v>16</v>
      </c>
      <c r="T6" s="35" t="s">
        <v>16</v>
      </c>
      <c r="U6" s="13"/>
      <c r="V6" s="13"/>
      <c r="W6" s="13"/>
      <c r="X6" s="13"/>
      <c r="Y6" s="13"/>
      <c r="Z6" s="13"/>
    </row>
    <row r="7" spans="1:26" ht="19.899999999999999" customHeight="1" x14ac:dyDescent="0.25">
      <c r="A7" s="31" t="s">
        <v>199</v>
      </c>
      <c r="B7" s="85" t="s">
        <v>200</v>
      </c>
      <c r="C7" s="32" t="s">
        <v>64</v>
      </c>
      <c r="D7" s="33" t="s">
        <v>201</v>
      </c>
      <c r="E7" s="129" t="s">
        <v>202</v>
      </c>
      <c r="F7" s="35" t="s">
        <v>16</v>
      </c>
      <c r="G7" s="35" t="s">
        <v>16</v>
      </c>
      <c r="H7" s="35" t="s">
        <v>16</v>
      </c>
      <c r="I7" s="35" t="s">
        <v>16</v>
      </c>
      <c r="J7" s="38" t="s">
        <v>19</v>
      </c>
      <c r="K7" s="40" t="s">
        <v>15</v>
      </c>
      <c r="L7" s="35" t="s">
        <v>16</v>
      </c>
      <c r="M7" s="129" t="s">
        <v>92</v>
      </c>
      <c r="N7" s="35" t="s">
        <v>16</v>
      </c>
      <c r="O7" s="35" t="s">
        <v>16</v>
      </c>
      <c r="P7" s="35" t="s">
        <v>16</v>
      </c>
      <c r="Q7" s="35" t="s">
        <v>16</v>
      </c>
      <c r="R7" s="35" t="s">
        <v>16</v>
      </c>
      <c r="S7" s="33" t="s">
        <v>17</v>
      </c>
      <c r="T7" s="35" t="s">
        <v>16</v>
      </c>
      <c r="U7" s="13"/>
      <c r="V7" s="13"/>
      <c r="W7" s="13"/>
      <c r="X7" s="13"/>
      <c r="Y7" s="13"/>
      <c r="Z7" s="13"/>
    </row>
    <row r="8" spans="1:26" ht="19.899999999999999" customHeight="1" x14ac:dyDescent="0.25">
      <c r="A8" s="31" t="s">
        <v>203</v>
      </c>
      <c r="B8" s="85" t="s">
        <v>200</v>
      </c>
      <c r="C8" s="32" t="s">
        <v>64</v>
      </c>
      <c r="D8" s="33" t="s">
        <v>201</v>
      </c>
      <c r="E8" s="129" t="s">
        <v>202</v>
      </c>
      <c r="F8" s="35" t="s">
        <v>16</v>
      </c>
      <c r="G8" s="35" t="s">
        <v>16</v>
      </c>
      <c r="H8" s="35" t="s">
        <v>16</v>
      </c>
      <c r="I8" s="35" t="s">
        <v>16</v>
      </c>
      <c r="J8" s="38" t="s">
        <v>19</v>
      </c>
      <c r="K8" s="40" t="s">
        <v>15</v>
      </c>
      <c r="L8" s="35" t="s">
        <v>16</v>
      </c>
      <c r="M8" s="129" t="s">
        <v>204</v>
      </c>
      <c r="N8" s="35" t="s">
        <v>16</v>
      </c>
      <c r="O8" s="35" t="s">
        <v>16</v>
      </c>
      <c r="P8" s="35" t="s">
        <v>16</v>
      </c>
      <c r="Q8" s="35" t="s">
        <v>16</v>
      </c>
      <c r="R8" s="35" t="s">
        <v>16</v>
      </c>
      <c r="S8" s="38" t="s">
        <v>55</v>
      </c>
      <c r="T8" s="35" t="s">
        <v>16</v>
      </c>
      <c r="U8" s="13"/>
      <c r="V8" s="13"/>
      <c r="W8" s="13"/>
      <c r="X8" s="13"/>
      <c r="Y8" s="13"/>
      <c r="Z8" s="13"/>
    </row>
    <row r="9" spans="1:26" ht="19.899999999999999" customHeight="1" x14ac:dyDescent="0.25">
      <c r="A9" s="31" t="s">
        <v>205</v>
      </c>
      <c r="B9" s="85" t="s">
        <v>200</v>
      </c>
      <c r="C9" s="32" t="s">
        <v>64</v>
      </c>
      <c r="D9" s="33" t="s">
        <v>201</v>
      </c>
      <c r="E9" s="129" t="s">
        <v>202</v>
      </c>
      <c r="F9" s="35" t="s">
        <v>16</v>
      </c>
      <c r="G9" s="35" t="s">
        <v>16</v>
      </c>
      <c r="H9" s="35" t="s">
        <v>16</v>
      </c>
      <c r="I9" s="35" t="s">
        <v>16</v>
      </c>
      <c r="J9" s="38" t="s">
        <v>19</v>
      </c>
      <c r="K9" s="40" t="s">
        <v>15</v>
      </c>
      <c r="L9" s="35" t="s">
        <v>16</v>
      </c>
      <c r="M9" s="129" t="s">
        <v>206</v>
      </c>
      <c r="N9" s="35" t="s">
        <v>16</v>
      </c>
      <c r="O9" s="35" t="s">
        <v>16</v>
      </c>
      <c r="P9" s="35" t="s">
        <v>16</v>
      </c>
      <c r="Q9" s="35" t="s">
        <v>16</v>
      </c>
      <c r="R9" s="35" t="s">
        <v>16</v>
      </c>
      <c r="S9" s="38" t="s">
        <v>55</v>
      </c>
      <c r="T9" s="35" t="s">
        <v>16</v>
      </c>
      <c r="U9" s="13"/>
      <c r="V9" s="13"/>
      <c r="W9" s="13"/>
      <c r="X9" s="13"/>
      <c r="Y9" s="13"/>
      <c r="Z9" s="13"/>
    </row>
    <row r="10" spans="1:26" ht="19.899999999999999" customHeight="1" x14ac:dyDescent="0.25">
      <c r="A10" s="31" t="s">
        <v>207</v>
      </c>
      <c r="B10" s="85" t="s">
        <v>200</v>
      </c>
      <c r="C10" s="32" t="s">
        <v>64</v>
      </c>
      <c r="D10" s="33" t="s">
        <v>201</v>
      </c>
      <c r="E10" s="129" t="s">
        <v>202</v>
      </c>
      <c r="F10" s="35" t="s">
        <v>16</v>
      </c>
      <c r="G10" s="35" t="s">
        <v>16</v>
      </c>
      <c r="H10" s="35" t="s">
        <v>16</v>
      </c>
      <c r="I10" s="35" t="s">
        <v>16</v>
      </c>
      <c r="J10" s="38" t="s">
        <v>19</v>
      </c>
      <c r="K10" s="40" t="s">
        <v>15</v>
      </c>
      <c r="L10" s="35" t="s">
        <v>16</v>
      </c>
      <c r="M10" s="129" t="s">
        <v>208</v>
      </c>
      <c r="N10" s="35" t="s">
        <v>16</v>
      </c>
      <c r="O10" s="35" t="s">
        <v>16</v>
      </c>
      <c r="P10" s="35" t="s">
        <v>16</v>
      </c>
      <c r="Q10" s="35" t="s">
        <v>16</v>
      </c>
      <c r="R10" s="35" t="s">
        <v>16</v>
      </c>
      <c r="S10" s="38" t="s">
        <v>55</v>
      </c>
      <c r="T10" s="35" t="s">
        <v>16</v>
      </c>
      <c r="U10" s="13"/>
      <c r="V10" s="13"/>
      <c r="W10" s="13"/>
      <c r="X10" s="13"/>
      <c r="Y10" s="13"/>
      <c r="Z10" s="13"/>
    </row>
    <row r="11" spans="1:26" ht="19.899999999999999" customHeight="1" x14ac:dyDescent="0.25">
      <c r="A11" s="31" t="s">
        <v>209</v>
      </c>
      <c r="B11" s="85" t="s">
        <v>200</v>
      </c>
      <c r="C11" s="32" t="s">
        <v>64</v>
      </c>
      <c r="D11" s="33" t="s">
        <v>201</v>
      </c>
      <c r="E11" s="129" t="s">
        <v>202</v>
      </c>
      <c r="F11" s="35" t="s">
        <v>16</v>
      </c>
      <c r="G11" s="35" t="s">
        <v>16</v>
      </c>
      <c r="H11" s="35" t="s">
        <v>16</v>
      </c>
      <c r="I11" s="35" t="s">
        <v>16</v>
      </c>
      <c r="J11" s="38" t="s">
        <v>19</v>
      </c>
      <c r="K11" s="40" t="s">
        <v>15</v>
      </c>
      <c r="L11" s="35" t="s">
        <v>16</v>
      </c>
      <c r="M11" s="129" t="s">
        <v>204</v>
      </c>
      <c r="N11" s="35" t="s">
        <v>16</v>
      </c>
      <c r="O11" s="35" t="s">
        <v>16</v>
      </c>
      <c r="P11" s="35" t="s">
        <v>16</v>
      </c>
      <c r="Q11" s="35" t="s">
        <v>16</v>
      </c>
      <c r="R11" s="35" t="s">
        <v>16</v>
      </c>
      <c r="S11" s="38" t="s">
        <v>35</v>
      </c>
      <c r="T11" s="35" t="s">
        <v>16</v>
      </c>
      <c r="U11" s="13"/>
      <c r="V11" s="13"/>
      <c r="W11" s="13"/>
      <c r="X11" s="13"/>
      <c r="Y11" s="13"/>
      <c r="Z11" s="13"/>
    </row>
    <row r="12" spans="1:26" ht="19.899999999999999" customHeight="1" x14ac:dyDescent="0.25">
      <c r="A12" s="31" t="s">
        <v>210</v>
      </c>
      <c r="B12" s="85" t="s">
        <v>200</v>
      </c>
      <c r="C12" s="32" t="s">
        <v>64</v>
      </c>
      <c r="D12" s="33" t="s">
        <v>201</v>
      </c>
      <c r="E12" s="129" t="s">
        <v>211</v>
      </c>
      <c r="F12" s="35" t="s">
        <v>16</v>
      </c>
      <c r="G12" s="35" t="s">
        <v>16</v>
      </c>
      <c r="H12" s="35" t="s">
        <v>16</v>
      </c>
      <c r="I12" s="35" t="s">
        <v>16</v>
      </c>
      <c r="J12" s="38" t="s">
        <v>14</v>
      </c>
      <c r="K12" s="35" t="s">
        <v>16</v>
      </c>
      <c r="L12" s="35" t="s">
        <v>16</v>
      </c>
      <c r="M12" s="35" t="s">
        <v>16</v>
      </c>
      <c r="N12" s="35" t="s">
        <v>16</v>
      </c>
      <c r="O12" s="35" t="s">
        <v>16</v>
      </c>
      <c r="P12" s="35" t="s">
        <v>16</v>
      </c>
      <c r="Q12" s="35" t="s">
        <v>16</v>
      </c>
      <c r="R12" s="35" t="s">
        <v>16</v>
      </c>
      <c r="S12" s="35" t="s">
        <v>16</v>
      </c>
      <c r="T12" s="35" t="s">
        <v>16</v>
      </c>
      <c r="U12" s="13"/>
      <c r="V12" s="13"/>
      <c r="W12" s="13"/>
      <c r="X12" s="13"/>
      <c r="Y12" s="13"/>
      <c r="Z12" s="13"/>
    </row>
    <row r="13" spans="1:26" ht="19.899999999999999" customHeight="1" x14ac:dyDescent="0.25">
      <c r="A13" s="31" t="s">
        <v>117</v>
      </c>
      <c r="B13" s="85" t="s">
        <v>212</v>
      </c>
      <c r="C13" s="32" t="s">
        <v>67</v>
      </c>
      <c r="D13" s="33" t="s">
        <v>213</v>
      </c>
      <c r="E13" s="35" t="s">
        <v>16</v>
      </c>
      <c r="F13" s="35" t="s">
        <v>16</v>
      </c>
      <c r="G13" s="35" t="s">
        <v>16</v>
      </c>
      <c r="H13" s="35" t="s">
        <v>16</v>
      </c>
      <c r="I13" s="35" t="s">
        <v>16</v>
      </c>
      <c r="J13" s="35" t="s">
        <v>16</v>
      </c>
      <c r="K13" s="35" t="s">
        <v>16</v>
      </c>
      <c r="L13" s="35" t="s">
        <v>16</v>
      </c>
      <c r="M13" s="35" t="s">
        <v>16</v>
      </c>
      <c r="N13" s="35" t="s">
        <v>16</v>
      </c>
      <c r="O13" s="35" t="s">
        <v>16</v>
      </c>
      <c r="P13" s="35" t="s">
        <v>16</v>
      </c>
      <c r="Q13" s="35" t="s">
        <v>16</v>
      </c>
      <c r="R13" s="35" t="s">
        <v>16</v>
      </c>
      <c r="S13" s="35" t="s">
        <v>16</v>
      </c>
      <c r="T13" s="35" t="s">
        <v>16</v>
      </c>
      <c r="U13" s="13"/>
      <c r="V13" s="13"/>
      <c r="W13" s="13"/>
      <c r="X13" s="13"/>
      <c r="Y13" s="13"/>
      <c r="Z13" s="13"/>
    </row>
    <row r="14" spans="1:26" ht="19.899999999999999" customHeight="1" x14ac:dyDescent="0.25">
      <c r="A14" s="31" t="s">
        <v>118</v>
      </c>
      <c r="B14" s="85" t="s">
        <v>214</v>
      </c>
      <c r="C14" s="32" t="s">
        <v>84</v>
      </c>
      <c r="D14" s="33" t="s">
        <v>215</v>
      </c>
      <c r="E14" s="35" t="s">
        <v>16</v>
      </c>
      <c r="F14" s="35" t="s">
        <v>16</v>
      </c>
      <c r="G14" s="35" t="s">
        <v>16</v>
      </c>
      <c r="H14" s="35" t="s">
        <v>16</v>
      </c>
      <c r="I14" s="35" t="s">
        <v>16</v>
      </c>
      <c r="J14" s="35" t="s">
        <v>16</v>
      </c>
      <c r="K14" s="35" t="s">
        <v>16</v>
      </c>
      <c r="L14" s="35" t="s">
        <v>16</v>
      </c>
      <c r="M14" s="35" t="s">
        <v>16</v>
      </c>
      <c r="N14" s="35" t="s">
        <v>16</v>
      </c>
      <c r="O14" s="35" t="s">
        <v>16</v>
      </c>
      <c r="P14" s="35" t="s">
        <v>16</v>
      </c>
      <c r="Q14" s="35" t="s">
        <v>16</v>
      </c>
      <c r="R14" s="35" t="s">
        <v>16</v>
      </c>
      <c r="S14" s="35" t="s">
        <v>16</v>
      </c>
      <c r="T14" s="35" t="s">
        <v>16</v>
      </c>
      <c r="U14" s="13"/>
      <c r="V14" s="13"/>
      <c r="W14" s="13"/>
      <c r="X14" s="13"/>
      <c r="Y14" s="13"/>
      <c r="Z14" s="13"/>
    </row>
    <row r="15" spans="1:26" ht="19.899999999999999" customHeight="1" x14ac:dyDescent="0.25">
      <c r="A15" s="31" t="s">
        <v>216</v>
      </c>
      <c r="B15" s="85" t="s">
        <v>1390</v>
      </c>
      <c r="C15" s="32" t="s">
        <v>84</v>
      </c>
      <c r="D15" s="33" t="s">
        <v>1391</v>
      </c>
      <c r="E15" s="92" t="s">
        <v>16</v>
      </c>
      <c r="F15" s="35" t="s">
        <v>16</v>
      </c>
      <c r="G15" s="35" t="s">
        <v>16</v>
      </c>
      <c r="H15" s="35" t="s">
        <v>16</v>
      </c>
      <c r="I15" s="35" t="s">
        <v>16</v>
      </c>
      <c r="J15" s="35" t="s">
        <v>16</v>
      </c>
      <c r="K15" s="35" t="s">
        <v>16</v>
      </c>
      <c r="L15" s="35" t="s">
        <v>16</v>
      </c>
      <c r="M15" s="35" t="s">
        <v>16</v>
      </c>
      <c r="N15" s="35" t="s">
        <v>16</v>
      </c>
      <c r="O15" s="35" t="s">
        <v>16</v>
      </c>
      <c r="P15" s="35" t="s">
        <v>16</v>
      </c>
      <c r="Q15" s="35" t="s">
        <v>16</v>
      </c>
      <c r="R15" s="35" t="s">
        <v>16</v>
      </c>
      <c r="S15" s="35" t="s">
        <v>16</v>
      </c>
      <c r="T15" s="35" t="s">
        <v>16</v>
      </c>
      <c r="U15" s="13"/>
      <c r="V15" s="13"/>
      <c r="W15" s="13"/>
      <c r="X15" s="13"/>
      <c r="Y15" s="13"/>
      <c r="Z15" s="13"/>
    </row>
    <row r="16" spans="1:26" ht="19.899999999999999" customHeight="1" x14ac:dyDescent="0.25">
      <c r="A16" s="38" t="s">
        <v>69</v>
      </c>
      <c r="B16" s="56" t="s">
        <v>218</v>
      </c>
      <c r="C16" s="32" t="s">
        <v>1741</v>
      </c>
      <c r="D16" s="90" t="s">
        <v>1485</v>
      </c>
      <c r="E16" s="94" t="s">
        <v>219</v>
      </c>
      <c r="F16" s="91" t="s">
        <v>72</v>
      </c>
      <c r="G16" s="39" t="s">
        <v>16</v>
      </c>
      <c r="H16" s="38" t="s">
        <v>16</v>
      </c>
      <c r="I16" s="40" t="s">
        <v>16</v>
      </c>
      <c r="J16" s="33" t="s">
        <v>73</v>
      </c>
      <c r="K16" s="40" t="s">
        <v>16</v>
      </c>
      <c r="L16" s="42" t="s">
        <v>16</v>
      </c>
      <c r="M16" s="43" t="s">
        <v>74</v>
      </c>
      <c r="N16" s="40" t="s">
        <v>16</v>
      </c>
      <c r="O16" s="39" t="s">
        <v>16</v>
      </c>
      <c r="P16" s="38" t="s">
        <v>16</v>
      </c>
      <c r="Q16" s="40" t="s">
        <v>16</v>
      </c>
      <c r="R16" s="39" t="s">
        <v>16</v>
      </c>
      <c r="S16" s="38" t="s">
        <v>16</v>
      </c>
      <c r="T16" s="44" t="s">
        <v>36</v>
      </c>
      <c r="U16" s="13"/>
      <c r="V16" s="13"/>
      <c r="W16" s="13"/>
      <c r="X16" s="13"/>
      <c r="Y16" s="13"/>
      <c r="Z16" s="13"/>
    </row>
    <row r="17" spans="1:26" ht="19.899999999999999" customHeight="1" x14ac:dyDescent="0.25">
      <c r="A17" s="74" t="s">
        <v>49</v>
      </c>
      <c r="B17" s="77" t="s">
        <v>220</v>
      </c>
      <c r="C17" s="32" t="s">
        <v>84</v>
      </c>
      <c r="D17" s="33" t="s">
        <v>77</v>
      </c>
      <c r="E17" s="93" t="s">
        <v>221</v>
      </c>
      <c r="F17" s="34" t="s">
        <v>72</v>
      </c>
      <c r="G17" s="39" t="s">
        <v>16</v>
      </c>
      <c r="H17" s="38" t="s">
        <v>16</v>
      </c>
      <c r="I17" s="40" t="s">
        <v>16</v>
      </c>
      <c r="J17" s="38" t="s">
        <v>14</v>
      </c>
      <c r="K17" s="40" t="s">
        <v>16</v>
      </c>
      <c r="L17" s="42" t="s">
        <v>16</v>
      </c>
      <c r="M17" s="43" t="s">
        <v>60</v>
      </c>
      <c r="N17" s="40" t="s">
        <v>16</v>
      </c>
      <c r="O17" s="39" t="s">
        <v>16</v>
      </c>
      <c r="P17" s="38" t="s">
        <v>16</v>
      </c>
      <c r="Q17" s="40" t="s">
        <v>16</v>
      </c>
      <c r="R17" s="39" t="s">
        <v>16</v>
      </c>
      <c r="S17" s="38" t="s">
        <v>16</v>
      </c>
      <c r="T17" s="44" t="s">
        <v>36</v>
      </c>
      <c r="U17" s="13"/>
      <c r="V17" s="13"/>
      <c r="W17" s="13"/>
      <c r="X17" s="13"/>
      <c r="Y17" s="13"/>
      <c r="Z17" s="13"/>
    </row>
    <row r="18" spans="1:26" ht="19.899999999999999" customHeight="1" x14ac:dyDescent="0.25">
      <c r="A18" s="74" t="s">
        <v>222</v>
      </c>
      <c r="B18" s="77" t="s">
        <v>223</v>
      </c>
      <c r="C18" s="32" t="s">
        <v>64</v>
      </c>
      <c r="D18" s="33" t="s">
        <v>89</v>
      </c>
      <c r="E18" s="93" t="s">
        <v>1742</v>
      </c>
      <c r="F18" s="34" t="s">
        <v>72</v>
      </c>
      <c r="G18" s="39" t="s">
        <v>16</v>
      </c>
      <c r="H18" s="38" t="s">
        <v>16</v>
      </c>
      <c r="I18" s="40" t="s">
        <v>16</v>
      </c>
      <c r="J18" s="38" t="s">
        <v>19</v>
      </c>
      <c r="K18" s="40" t="s">
        <v>16</v>
      </c>
      <c r="L18" s="42" t="s">
        <v>16</v>
      </c>
      <c r="M18" s="43" t="s">
        <v>60</v>
      </c>
      <c r="N18" s="40" t="s">
        <v>16</v>
      </c>
      <c r="O18" s="39" t="s">
        <v>16</v>
      </c>
      <c r="P18" s="38" t="s">
        <v>16</v>
      </c>
      <c r="Q18" s="40" t="s">
        <v>16</v>
      </c>
      <c r="R18" s="39" t="s">
        <v>16</v>
      </c>
      <c r="S18" s="38" t="s">
        <v>16</v>
      </c>
      <c r="T18" s="44" t="s">
        <v>36</v>
      </c>
      <c r="U18" s="13"/>
      <c r="V18" s="13"/>
      <c r="W18" s="13"/>
      <c r="X18" s="13"/>
      <c r="Y18" s="13"/>
      <c r="Z18" s="13"/>
    </row>
    <row r="19" spans="1:26" ht="19.899999999999999" customHeight="1" x14ac:dyDescent="0.25">
      <c r="A19" s="74" t="s">
        <v>98</v>
      </c>
      <c r="B19" s="77" t="s">
        <v>171</v>
      </c>
      <c r="C19" s="32" t="s">
        <v>64</v>
      </c>
      <c r="D19" s="33" t="s">
        <v>172</v>
      </c>
      <c r="E19" s="93" t="s">
        <v>224</v>
      </c>
      <c r="F19" s="34" t="s">
        <v>72</v>
      </c>
      <c r="G19" s="39" t="s">
        <v>16</v>
      </c>
      <c r="H19" s="38" t="s">
        <v>16</v>
      </c>
      <c r="I19" s="40" t="s">
        <v>16</v>
      </c>
      <c r="J19" s="33" t="s">
        <v>28</v>
      </c>
      <c r="K19" s="40" t="s">
        <v>16</v>
      </c>
      <c r="L19" s="42" t="s">
        <v>16</v>
      </c>
      <c r="M19" s="43" t="s">
        <v>60</v>
      </c>
      <c r="N19" s="40" t="s">
        <v>16</v>
      </c>
      <c r="O19" s="39">
        <v>2320042938</v>
      </c>
      <c r="P19" s="38" t="s">
        <v>16</v>
      </c>
      <c r="Q19" s="40" t="s">
        <v>16</v>
      </c>
      <c r="R19" s="39" t="s">
        <v>16</v>
      </c>
      <c r="S19" s="38" t="s">
        <v>16</v>
      </c>
      <c r="T19" s="44" t="s">
        <v>36</v>
      </c>
      <c r="U19" s="13"/>
      <c r="V19" s="13"/>
      <c r="W19" s="13"/>
      <c r="X19" s="13"/>
      <c r="Y19" s="13"/>
      <c r="Z19" s="13"/>
    </row>
    <row r="20" spans="1:26" ht="19.899999999999999" customHeight="1" x14ac:dyDescent="0.25">
      <c r="A20" s="74" t="s">
        <v>32</v>
      </c>
      <c r="B20" s="77" t="s">
        <v>225</v>
      </c>
      <c r="C20" s="32" t="s">
        <v>64</v>
      </c>
      <c r="D20" s="33" t="s">
        <v>226</v>
      </c>
      <c r="E20" s="93" t="s">
        <v>227</v>
      </c>
      <c r="F20" s="34" t="s">
        <v>72</v>
      </c>
      <c r="G20" s="39" t="s">
        <v>16</v>
      </c>
      <c r="H20" s="38" t="s">
        <v>16</v>
      </c>
      <c r="I20" s="40" t="s">
        <v>16</v>
      </c>
      <c r="J20" s="33" t="s">
        <v>28</v>
      </c>
      <c r="K20" s="40" t="s">
        <v>16</v>
      </c>
      <c r="L20" s="42" t="s">
        <v>16</v>
      </c>
      <c r="M20" s="43" t="s">
        <v>60</v>
      </c>
      <c r="N20" s="40" t="s">
        <v>16</v>
      </c>
      <c r="O20" s="39">
        <v>2302853555</v>
      </c>
      <c r="P20" s="38" t="s">
        <v>16</v>
      </c>
      <c r="Q20" s="40" t="s">
        <v>16</v>
      </c>
      <c r="R20" s="39" t="s">
        <v>16</v>
      </c>
      <c r="S20" s="38" t="s">
        <v>16</v>
      </c>
      <c r="T20" s="44" t="s">
        <v>36</v>
      </c>
      <c r="U20" s="13"/>
      <c r="V20" s="13"/>
      <c r="W20" s="13"/>
      <c r="X20" s="13"/>
      <c r="Y20" s="13"/>
      <c r="Z20" s="13"/>
    </row>
    <row r="21" spans="1:26" ht="19.899999999999999" customHeight="1" x14ac:dyDescent="0.25">
      <c r="A21" s="74" t="s">
        <v>228</v>
      </c>
      <c r="B21" s="77" t="s">
        <v>229</v>
      </c>
      <c r="C21" s="32" t="s">
        <v>64</v>
      </c>
      <c r="D21" s="33" t="s">
        <v>174</v>
      </c>
      <c r="E21" s="93" t="s">
        <v>230</v>
      </c>
      <c r="F21" s="34" t="s">
        <v>72</v>
      </c>
      <c r="G21" s="39" t="s">
        <v>16</v>
      </c>
      <c r="H21" s="38" t="s">
        <v>16</v>
      </c>
      <c r="I21" s="40" t="s">
        <v>16</v>
      </c>
      <c r="J21" s="33" t="s">
        <v>28</v>
      </c>
      <c r="K21" s="40" t="s">
        <v>16</v>
      </c>
      <c r="L21" s="42" t="s">
        <v>16</v>
      </c>
      <c r="M21" s="43" t="s">
        <v>60</v>
      </c>
      <c r="N21" s="40" t="s">
        <v>16</v>
      </c>
      <c r="O21" s="39">
        <v>2312386313</v>
      </c>
      <c r="P21" s="38" t="s">
        <v>16</v>
      </c>
      <c r="Q21" s="40" t="s">
        <v>16</v>
      </c>
      <c r="R21" s="39" t="s">
        <v>16</v>
      </c>
      <c r="S21" s="38" t="s">
        <v>16</v>
      </c>
      <c r="T21" s="44" t="s">
        <v>36</v>
      </c>
      <c r="U21" s="13"/>
      <c r="V21" s="13"/>
      <c r="W21" s="13"/>
      <c r="X21" s="13"/>
      <c r="Y21" s="13"/>
      <c r="Z21" s="13"/>
    </row>
    <row r="22" spans="1:26" ht="19.899999999999999" customHeight="1" x14ac:dyDescent="0.25">
      <c r="A22" s="33" t="s">
        <v>52</v>
      </c>
      <c r="B22" s="77" t="s">
        <v>231</v>
      </c>
      <c r="C22" s="32" t="s">
        <v>64</v>
      </c>
      <c r="D22" s="33" t="s">
        <v>232</v>
      </c>
      <c r="E22" s="41" t="s">
        <v>233</v>
      </c>
      <c r="F22" s="34" t="s">
        <v>75</v>
      </c>
      <c r="G22" s="32" t="s">
        <v>16</v>
      </c>
      <c r="H22" s="33" t="s">
        <v>16</v>
      </c>
      <c r="I22" s="46" t="s">
        <v>16</v>
      </c>
      <c r="J22" s="33" t="s">
        <v>19</v>
      </c>
      <c r="K22" s="46" t="s">
        <v>16</v>
      </c>
      <c r="L22" s="41" t="s">
        <v>16</v>
      </c>
      <c r="M22" s="43" t="s">
        <v>234</v>
      </c>
      <c r="N22" s="46" t="s">
        <v>16</v>
      </c>
      <c r="O22" s="32" t="s">
        <v>16</v>
      </c>
      <c r="P22" s="33" t="s">
        <v>16</v>
      </c>
      <c r="Q22" s="46" t="s">
        <v>16</v>
      </c>
      <c r="R22" s="32" t="s">
        <v>16</v>
      </c>
      <c r="S22" s="38" t="s">
        <v>35</v>
      </c>
      <c r="T22" s="34" t="s">
        <v>36</v>
      </c>
      <c r="U22" s="13"/>
      <c r="V22" s="13"/>
      <c r="W22" s="13"/>
      <c r="X22" s="13"/>
      <c r="Y22" s="13"/>
      <c r="Z22" s="13"/>
    </row>
    <row r="23" spans="1:26" ht="19.899999999999999" customHeight="1" x14ac:dyDescent="0.25">
      <c r="A23" s="33" t="s">
        <v>235</v>
      </c>
      <c r="B23" s="77" t="s">
        <v>231</v>
      </c>
      <c r="C23" s="32" t="s">
        <v>64</v>
      </c>
      <c r="D23" s="33" t="s">
        <v>232</v>
      </c>
      <c r="E23" s="41" t="s">
        <v>236</v>
      </c>
      <c r="F23" s="34" t="s">
        <v>75</v>
      </c>
      <c r="G23" s="32" t="s">
        <v>16</v>
      </c>
      <c r="H23" s="33" t="s">
        <v>16</v>
      </c>
      <c r="I23" s="46" t="s">
        <v>16</v>
      </c>
      <c r="J23" s="33" t="s">
        <v>19</v>
      </c>
      <c r="K23" s="46" t="s">
        <v>16</v>
      </c>
      <c r="L23" s="41" t="s">
        <v>16</v>
      </c>
      <c r="M23" s="43" t="s">
        <v>234</v>
      </c>
      <c r="N23" s="46" t="s">
        <v>16</v>
      </c>
      <c r="O23" s="32" t="s">
        <v>16</v>
      </c>
      <c r="P23" s="33" t="s">
        <v>16</v>
      </c>
      <c r="Q23" s="46" t="s">
        <v>16</v>
      </c>
      <c r="R23" s="32" t="s">
        <v>16</v>
      </c>
      <c r="S23" s="38" t="s">
        <v>35</v>
      </c>
      <c r="T23" s="34" t="s">
        <v>36</v>
      </c>
      <c r="U23" s="13"/>
      <c r="V23" s="13"/>
      <c r="W23" s="13"/>
      <c r="X23" s="13"/>
      <c r="Y23" s="13"/>
      <c r="Z23" s="13"/>
    </row>
    <row r="24" spans="1:26" ht="19.899999999999999" customHeight="1" x14ac:dyDescent="0.25">
      <c r="A24" s="33" t="s">
        <v>105</v>
      </c>
      <c r="B24" s="77" t="s">
        <v>231</v>
      </c>
      <c r="C24" s="32" t="s">
        <v>64</v>
      </c>
      <c r="D24" s="33" t="s">
        <v>232</v>
      </c>
      <c r="E24" s="41" t="s">
        <v>237</v>
      </c>
      <c r="F24" s="34" t="s">
        <v>75</v>
      </c>
      <c r="G24" s="32" t="s">
        <v>16</v>
      </c>
      <c r="H24" s="33" t="s">
        <v>16</v>
      </c>
      <c r="I24" s="46" t="s">
        <v>16</v>
      </c>
      <c r="J24" s="38" t="s">
        <v>14</v>
      </c>
      <c r="K24" s="46" t="s">
        <v>16</v>
      </c>
      <c r="L24" s="41" t="s">
        <v>16</v>
      </c>
      <c r="M24" s="43" t="s">
        <v>238</v>
      </c>
      <c r="N24" s="46" t="s">
        <v>16</v>
      </c>
      <c r="O24" s="32" t="s">
        <v>16</v>
      </c>
      <c r="P24" s="33" t="s">
        <v>16</v>
      </c>
      <c r="Q24" s="46" t="s">
        <v>16</v>
      </c>
      <c r="R24" s="32" t="s">
        <v>16</v>
      </c>
      <c r="S24" s="38" t="s">
        <v>35</v>
      </c>
      <c r="T24" s="34" t="s">
        <v>36</v>
      </c>
      <c r="U24" s="13"/>
      <c r="V24" s="13"/>
      <c r="W24" s="13"/>
      <c r="X24" s="13"/>
      <c r="Y24" s="13"/>
      <c r="Z24" s="13"/>
    </row>
    <row r="25" spans="1:26" ht="19.899999999999999" customHeight="1" x14ac:dyDescent="0.25">
      <c r="A25" s="33" t="s">
        <v>101</v>
      </c>
      <c r="B25" s="77" t="s">
        <v>223</v>
      </c>
      <c r="C25" s="32" t="s">
        <v>64</v>
      </c>
      <c r="D25" s="33" t="s">
        <v>89</v>
      </c>
      <c r="E25" s="41" t="s">
        <v>239</v>
      </c>
      <c r="F25" s="34" t="s">
        <v>86</v>
      </c>
      <c r="G25" s="32" t="s">
        <v>16</v>
      </c>
      <c r="H25" s="33" t="s">
        <v>16</v>
      </c>
      <c r="I25" s="46" t="s">
        <v>16</v>
      </c>
      <c r="J25" s="33" t="s">
        <v>28</v>
      </c>
      <c r="K25" s="46" t="s">
        <v>240</v>
      </c>
      <c r="L25" s="41" t="s">
        <v>16</v>
      </c>
      <c r="M25" s="47" t="s">
        <v>241</v>
      </c>
      <c r="N25" s="46" t="s">
        <v>16</v>
      </c>
      <c r="O25" s="32">
        <v>67555684</v>
      </c>
      <c r="P25" s="33" t="s">
        <v>16</v>
      </c>
      <c r="Q25" s="46" t="s">
        <v>57</v>
      </c>
      <c r="R25" s="32" t="s">
        <v>16</v>
      </c>
      <c r="S25" s="38" t="s">
        <v>35</v>
      </c>
      <c r="T25" s="34" t="s">
        <v>36</v>
      </c>
      <c r="U25" s="13"/>
      <c r="V25" s="13"/>
      <c r="W25" s="13"/>
      <c r="X25" s="13"/>
      <c r="Y25" s="13"/>
      <c r="Z25" s="13"/>
    </row>
    <row r="26" spans="1:26" ht="19.899999999999999" customHeight="1" x14ac:dyDescent="0.25">
      <c r="A26" s="33" t="s">
        <v>102</v>
      </c>
      <c r="B26" s="77" t="s">
        <v>223</v>
      </c>
      <c r="C26" s="32" t="s">
        <v>64</v>
      </c>
      <c r="D26" s="33" t="s">
        <v>89</v>
      </c>
      <c r="E26" s="41" t="s">
        <v>239</v>
      </c>
      <c r="F26" s="34" t="s">
        <v>86</v>
      </c>
      <c r="G26" s="32" t="s">
        <v>16</v>
      </c>
      <c r="H26" s="33" t="s">
        <v>16</v>
      </c>
      <c r="I26" s="46" t="s">
        <v>16</v>
      </c>
      <c r="J26" s="33" t="s">
        <v>28</v>
      </c>
      <c r="K26" s="46" t="s">
        <v>240</v>
      </c>
      <c r="L26" s="41" t="s">
        <v>16</v>
      </c>
      <c r="M26" s="47" t="s">
        <v>241</v>
      </c>
      <c r="N26" s="46">
        <v>1</v>
      </c>
      <c r="O26" s="32">
        <v>67555684</v>
      </c>
      <c r="P26" s="33" t="s">
        <v>16</v>
      </c>
      <c r="Q26" s="46" t="s">
        <v>57</v>
      </c>
      <c r="R26" s="32" t="s">
        <v>16</v>
      </c>
      <c r="S26" s="38" t="s">
        <v>35</v>
      </c>
      <c r="T26" s="34" t="s">
        <v>36</v>
      </c>
      <c r="U26" s="13"/>
      <c r="V26" s="13"/>
      <c r="W26" s="13"/>
      <c r="X26" s="13"/>
      <c r="Y26" s="13"/>
      <c r="Z26" s="13"/>
    </row>
    <row r="27" spans="1:26" ht="19.899999999999999" customHeight="1" x14ac:dyDescent="0.25">
      <c r="A27" s="38" t="s">
        <v>242</v>
      </c>
      <c r="B27" s="56" t="s">
        <v>243</v>
      </c>
      <c r="C27" s="32" t="s">
        <v>64</v>
      </c>
      <c r="D27" s="33" t="s">
        <v>244</v>
      </c>
      <c r="E27" s="39" t="s">
        <v>16</v>
      </c>
      <c r="F27" s="40" t="s">
        <v>65</v>
      </c>
      <c r="G27" s="39" t="s">
        <v>16</v>
      </c>
      <c r="H27" s="38" t="s">
        <v>16</v>
      </c>
      <c r="I27" s="40" t="s">
        <v>16</v>
      </c>
      <c r="J27" s="38" t="s">
        <v>59</v>
      </c>
      <c r="K27" s="40" t="s">
        <v>23</v>
      </c>
      <c r="L27" s="42" t="s">
        <v>16</v>
      </c>
      <c r="M27" s="43" t="s">
        <v>245</v>
      </c>
      <c r="N27" s="40" t="s">
        <v>16</v>
      </c>
      <c r="O27" s="39" t="s">
        <v>16</v>
      </c>
      <c r="P27" s="38" t="s">
        <v>16</v>
      </c>
      <c r="Q27" s="40">
        <v>3175</v>
      </c>
      <c r="R27" s="39" t="s">
        <v>34</v>
      </c>
      <c r="S27" s="38" t="s">
        <v>35</v>
      </c>
      <c r="T27" s="44" t="s">
        <v>36</v>
      </c>
      <c r="U27" s="13"/>
      <c r="V27" s="13"/>
      <c r="W27" s="13"/>
      <c r="X27" s="13"/>
      <c r="Y27" s="13"/>
      <c r="Z27" s="13"/>
    </row>
    <row r="28" spans="1:26" ht="19.899999999999999" customHeight="1" x14ac:dyDescent="0.25">
      <c r="A28" s="33" t="s">
        <v>76</v>
      </c>
      <c r="B28" s="78" t="s">
        <v>220</v>
      </c>
      <c r="C28" s="32" t="s">
        <v>84</v>
      </c>
      <c r="D28" s="33" t="s">
        <v>77</v>
      </c>
      <c r="E28" s="41" t="s">
        <v>78</v>
      </c>
      <c r="F28" s="34" t="s">
        <v>65</v>
      </c>
      <c r="G28" s="32" t="s">
        <v>16</v>
      </c>
      <c r="H28" s="33" t="s">
        <v>16</v>
      </c>
      <c r="I28" s="46" t="s">
        <v>16</v>
      </c>
      <c r="J28" s="38" t="s">
        <v>14</v>
      </c>
      <c r="K28" s="46" t="s">
        <v>16</v>
      </c>
      <c r="L28" s="32" t="s">
        <v>16</v>
      </c>
      <c r="M28" s="33">
        <v>1388.64</v>
      </c>
      <c r="N28" s="46" t="s">
        <v>16</v>
      </c>
      <c r="O28" s="32" t="s">
        <v>16</v>
      </c>
      <c r="P28" s="33" t="s">
        <v>16</v>
      </c>
      <c r="Q28" s="46" t="s">
        <v>16</v>
      </c>
      <c r="R28" s="32" t="s">
        <v>16</v>
      </c>
      <c r="S28" s="38" t="s">
        <v>35</v>
      </c>
      <c r="T28" s="34" t="s">
        <v>79</v>
      </c>
      <c r="U28" s="13"/>
      <c r="V28" s="13"/>
      <c r="W28" s="13"/>
      <c r="X28" s="13"/>
      <c r="Y28" s="13"/>
      <c r="Z28" s="13"/>
    </row>
    <row r="29" spans="1:26" ht="19.899999999999999" customHeight="1" x14ac:dyDescent="0.25">
      <c r="A29" s="33" t="s">
        <v>80</v>
      </c>
      <c r="B29" s="76" t="s">
        <v>81</v>
      </c>
      <c r="C29" s="32" t="s">
        <v>64</v>
      </c>
      <c r="D29" s="33" t="s">
        <v>82</v>
      </c>
      <c r="E29" s="41" t="s">
        <v>83</v>
      </c>
      <c r="F29" s="34" t="s">
        <v>65</v>
      </c>
      <c r="G29" s="32" t="s">
        <v>16</v>
      </c>
      <c r="H29" s="33" t="s">
        <v>16</v>
      </c>
      <c r="I29" s="46" t="s">
        <v>16</v>
      </c>
      <c r="J29" s="38" t="s">
        <v>14</v>
      </c>
      <c r="K29" s="46" t="s">
        <v>16</v>
      </c>
      <c r="L29" s="41" t="s">
        <v>16</v>
      </c>
      <c r="M29" s="33">
        <v>100</v>
      </c>
      <c r="N29" s="46" t="s">
        <v>16</v>
      </c>
      <c r="O29" s="32" t="s">
        <v>16</v>
      </c>
      <c r="P29" s="33" t="s">
        <v>16</v>
      </c>
      <c r="Q29" s="46" t="s">
        <v>16</v>
      </c>
      <c r="R29" s="32" t="s">
        <v>16</v>
      </c>
      <c r="S29" s="33" t="s">
        <v>16</v>
      </c>
      <c r="T29" s="34" t="s">
        <v>79</v>
      </c>
      <c r="U29" s="13"/>
      <c r="V29" s="13"/>
      <c r="W29" s="13"/>
      <c r="X29" s="13"/>
      <c r="Y29" s="13"/>
      <c r="Z29" s="13"/>
    </row>
    <row r="30" spans="1:26" ht="19.899999999999999" customHeight="1" x14ac:dyDescent="0.25">
      <c r="A30" s="131" t="s">
        <v>53</v>
      </c>
      <c r="B30" s="75" t="s">
        <v>220</v>
      </c>
      <c r="C30" s="32" t="s">
        <v>84</v>
      </c>
      <c r="D30" s="33" t="s">
        <v>77</v>
      </c>
      <c r="E30" s="41" t="s">
        <v>246</v>
      </c>
      <c r="F30" s="34" t="s">
        <v>86</v>
      </c>
      <c r="G30" s="39" t="s">
        <v>16</v>
      </c>
      <c r="H30" s="38" t="s">
        <v>16</v>
      </c>
      <c r="I30" s="40" t="s">
        <v>16</v>
      </c>
      <c r="J30" s="33" t="s">
        <v>19</v>
      </c>
      <c r="K30" s="40" t="s">
        <v>87</v>
      </c>
      <c r="L30" s="42" t="s">
        <v>16</v>
      </c>
      <c r="M30" s="43" t="s">
        <v>247</v>
      </c>
      <c r="N30" s="40" t="s">
        <v>16</v>
      </c>
      <c r="O30" s="39" t="s">
        <v>16</v>
      </c>
      <c r="P30" s="38" t="s">
        <v>16</v>
      </c>
      <c r="Q30" s="40" t="s">
        <v>16</v>
      </c>
      <c r="R30" s="39" t="s">
        <v>54</v>
      </c>
      <c r="S30" s="38" t="s">
        <v>55</v>
      </c>
      <c r="T30" s="44" t="s">
        <v>36</v>
      </c>
      <c r="U30" s="13"/>
      <c r="V30" s="13"/>
      <c r="W30" s="13"/>
      <c r="X30" s="13"/>
      <c r="Y30" s="13"/>
      <c r="Z30" s="13"/>
    </row>
    <row r="31" spans="1:26" ht="19.899999999999999" customHeight="1" x14ac:dyDescent="0.25">
      <c r="A31" s="67" t="s">
        <v>88</v>
      </c>
      <c r="B31" s="59" t="s">
        <v>248</v>
      </c>
      <c r="C31" s="32" t="s">
        <v>1741</v>
      </c>
      <c r="D31" s="33" t="s">
        <v>249</v>
      </c>
      <c r="E31" s="41" t="s">
        <v>85</v>
      </c>
      <c r="F31" s="34" t="s">
        <v>86</v>
      </c>
      <c r="G31" s="39" t="s">
        <v>16</v>
      </c>
      <c r="H31" s="38" t="s">
        <v>16</v>
      </c>
      <c r="I31" s="40" t="s">
        <v>16</v>
      </c>
      <c r="J31" s="33" t="s">
        <v>14</v>
      </c>
      <c r="K31" s="40" t="s">
        <v>15</v>
      </c>
      <c r="L31" s="42" t="s">
        <v>16</v>
      </c>
      <c r="M31" s="43" t="s">
        <v>250</v>
      </c>
      <c r="N31" s="40" t="s">
        <v>16</v>
      </c>
      <c r="O31" s="39" t="s">
        <v>16</v>
      </c>
      <c r="P31" s="38" t="s">
        <v>16</v>
      </c>
      <c r="Q31" s="40" t="s">
        <v>16</v>
      </c>
      <c r="R31" s="39" t="s">
        <v>54</v>
      </c>
      <c r="S31" s="38" t="s">
        <v>55</v>
      </c>
      <c r="T31" s="44" t="s">
        <v>79</v>
      </c>
      <c r="U31" s="13"/>
      <c r="V31" s="13"/>
      <c r="W31" s="13"/>
      <c r="X31" s="13"/>
      <c r="Y31" s="13"/>
      <c r="Z31" s="13"/>
    </row>
    <row r="32" spans="1:26" ht="19.899999999999999" customHeight="1" x14ac:dyDescent="0.25">
      <c r="A32" s="68" t="s">
        <v>91</v>
      </c>
      <c r="B32" s="77" t="s">
        <v>223</v>
      </c>
      <c r="C32" s="32" t="s">
        <v>64</v>
      </c>
      <c r="D32" s="33" t="s">
        <v>89</v>
      </c>
      <c r="E32" s="41" t="s">
        <v>251</v>
      </c>
      <c r="F32" s="34" t="s">
        <v>86</v>
      </c>
      <c r="G32" s="32" t="s">
        <v>16</v>
      </c>
      <c r="H32" s="33" t="s">
        <v>16</v>
      </c>
      <c r="I32" s="46" t="s">
        <v>16</v>
      </c>
      <c r="J32" s="33" t="s">
        <v>19</v>
      </c>
      <c r="K32" s="46" t="s">
        <v>87</v>
      </c>
      <c r="L32" s="41" t="s">
        <v>16</v>
      </c>
      <c r="M32" s="47" t="s">
        <v>252</v>
      </c>
      <c r="N32" s="46" t="s">
        <v>16</v>
      </c>
      <c r="O32" s="32" t="s">
        <v>16</v>
      </c>
      <c r="P32" s="33" t="s">
        <v>16</v>
      </c>
      <c r="Q32" s="46" t="s">
        <v>57</v>
      </c>
      <c r="R32" s="32" t="s">
        <v>16</v>
      </c>
      <c r="S32" s="33" t="s">
        <v>17</v>
      </c>
      <c r="T32" s="34" t="s">
        <v>36</v>
      </c>
      <c r="U32" s="13"/>
      <c r="V32" s="13"/>
      <c r="W32" s="13"/>
      <c r="X32" s="13"/>
      <c r="Y32" s="13"/>
      <c r="Z32" s="13"/>
    </row>
    <row r="33" spans="1:26" ht="19.899999999999999" customHeight="1" x14ac:dyDescent="0.25">
      <c r="A33" s="68" t="s">
        <v>56</v>
      </c>
      <c r="B33" s="77" t="s">
        <v>231</v>
      </c>
      <c r="C33" s="32" t="s">
        <v>64</v>
      </c>
      <c r="D33" s="33" t="s">
        <v>232</v>
      </c>
      <c r="E33" s="41" t="s">
        <v>1824</v>
      </c>
      <c r="F33" s="34" t="s">
        <v>86</v>
      </c>
      <c r="G33" s="32" t="s">
        <v>16</v>
      </c>
      <c r="H33" s="33" t="s">
        <v>16</v>
      </c>
      <c r="I33" s="46" t="s">
        <v>16</v>
      </c>
      <c r="J33" s="33" t="s">
        <v>14</v>
      </c>
      <c r="K33" s="46" t="s">
        <v>15</v>
      </c>
      <c r="L33" s="41" t="s">
        <v>16</v>
      </c>
      <c r="M33" s="47" t="s">
        <v>92</v>
      </c>
      <c r="N33" s="46" t="s">
        <v>16</v>
      </c>
      <c r="O33" s="32" t="s">
        <v>16</v>
      </c>
      <c r="P33" s="33" t="s">
        <v>16</v>
      </c>
      <c r="Q33" s="46" t="s">
        <v>57</v>
      </c>
      <c r="R33" s="32" t="s">
        <v>16</v>
      </c>
      <c r="S33" s="33" t="s">
        <v>17</v>
      </c>
      <c r="T33" s="34" t="s">
        <v>36</v>
      </c>
      <c r="U33" s="13"/>
      <c r="V33" s="13"/>
      <c r="W33" s="13"/>
      <c r="X33" s="13"/>
      <c r="Y33" s="13"/>
      <c r="Z33" s="13"/>
    </row>
    <row r="34" spans="1:26" ht="19.899999999999999" customHeight="1" x14ac:dyDescent="0.25">
      <c r="A34" s="68" t="s">
        <v>26</v>
      </c>
      <c r="B34" s="77" t="s">
        <v>223</v>
      </c>
      <c r="C34" s="32" t="s">
        <v>64</v>
      </c>
      <c r="D34" s="33" t="s">
        <v>89</v>
      </c>
      <c r="E34" s="41" t="s">
        <v>239</v>
      </c>
      <c r="F34" s="34" t="s">
        <v>86</v>
      </c>
      <c r="G34" s="32" t="s">
        <v>16</v>
      </c>
      <c r="H34" s="33" t="s">
        <v>16</v>
      </c>
      <c r="I34" s="46" t="s">
        <v>16</v>
      </c>
      <c r="J34" s="33" t="s">
        <v>28</v>
      </c>
      <c r="K34" s="46" t="s">
        <v>254</v>
      </c>
      <c r="L34" s="41" t="s">
        <v>16</v>
      </c>
      <c r="M34" s="47" t="s">
        <v>252</v>
      </c>
      <c r="N34" s="46" t="s">
        <v>16</v>
      </c>
      <c r="O34" s="32">
        <v>67555684</v>
      </c>
      <c r="P34" s="33" t="s">
        <v>16</v>
      </c>
      <c r="Q34" s="46" t="s">
        <v>57</v>
      </c>
      <c r="R34" s="32" t="s">
        <v>16</v>
      </c>
      <c r="S34" s="33" t="s">
        <v>17</v>
      </c>
      <c r="T34" s="34" t="s">
        <v>36</v>
      </c>
      <c r="U34" s="13"/>
      <c r="V34" s="13"/>
      <c r="W34" s="13"/>
      <c r="X34" s="13"/>
      <c r="Y34" s="13"/>
      <c r="Z34" s="13"/>
    </row>
    <row r="35" spans="1:26" ht="19.899999999999999" customHeight="1" x14ac:dyDescent="0.25">
      <c r="A35" s="68" t="s">
        <v>108</v>
      </c>
      <c r="B35" s="77" t="s">
        <v>223</v>
      </c>
      <c r="C35" s="32" t="s">
        <v>64</v>
      </c>
      <c r="D35" s="33" t="s">
        <v>89</v>
      </c>
      <c r="E35" s="41" t="s">
        <v>255</v>
      </c>
      <c r="F35" s="34" t="s">
        <v>86</v>
      </c>
      <c r="G35" s="32" t="s">
        <v>16</v>
      </c>
      <c r="H35" s="33" t="s">
        <v>16</v>
      </c>
      <c r="I35" s="46" t="s">
        <v>16</v>
      </c>
      <c r="J35" s="33" t="s">
        <v>28</v>
      </c>
      <c r="K35" s="46" t="s">
        <v>254</v>
      </c>
      <c r="L35" s="41" t="s">
        <v>16</v>
      </c>
      <c r="M35" s="47" t="s">
        <v>256</v>
      </c>
      <c r="N35" s="46" t="s">
        <v>16</v>
      </c>
      <c r="O35" s="32">
        <v>67555684</v>
      </c>
      <c r="P35" s="33" t="s">
        <v>16</v>
      </c>
      <c r="Q35" s="46" t="s">
        <v>57</v>
      </c>
      <c r="R35" s="32" t="s">
        <v>16</v>
      </c>
      <c r="S35" s="33" t="s">
        <v>55</v>
      </c>
      <c r="T35" s="34" t="s">
        <v>36</v>
      </c>
      <c r="U35" s="13"/>
      <c r="V35" s="13"/>
      <c r="W35" s="13"/>
      <c r="X35" s="13"/>
      <c r="Y35" s="13"/>
      <c r="Z35" s="13"/>
    </row>
    <row r="36" spans="1:26" ht="19.899999999999999" customHeight="1" x14ac:dyDescent="0.25">
      <c r="A36" s="68" t="s">
        <v>109</v>
      </c>
      <c r="B36" s="77" t="s">
        <v>223</v>
      </c>
      <c r="C36" s="32" t="s">
        <v>64</v>
      </c>
      <c r="D36" s="33" t="s">
        <v>89</v>
      </c>
      <c r="E36" s="41" t="s">
        <v>257</v>
      </c>
      <c r="F36" s="34" t="s">
        <v>86</v>
      </c>
      <c r="G36" s="32" t="s">
        <v>16</v>
      </c>
      <c r="H36" s="33" t="s">
        <v>16</v>
      </c>
      <c r="I36" s="46" t="s">
        <v>16</v>
      </c>
      <c r="J36" s="33" t="s">
        <v>28</v>
      </c>
      <c r="K36" s="46" t="s">
        <v>240</v>
      </c>
      <c r="L36" s="41" t="s">
        <v>16</v>
      </c>
      <c r="M36" s="47" t="s">
        <v>258</v>
      </c>
      <c r="N36" s="46">
        <v>1</v>
      </c>
      <c r="O36" s="32">
        <v>67555684</v>
      </c>
      <c r="P36" s="33" t="s">
        <v>16</v>
      </c>
      <c r="Q36" s="46" t="s">
        <v>57</v>
      </c>
      <c r="R36" s="32" t="s">
        <v>16</v>
      </c>
      <c r="S36" s="33" t="s">
        <v>55</v>
      </c>
      <c r="T36" s="34" t="s">
        <v>36</v>
      </c>
      <c r="U36" s="13"/>
      <c r="V36" s="13"/>
      <c r="W36" s="13"/>
      <c r="X36" s="13"/>
      <c r="Y36" s="13"/>
      <c r="Z36" s="13"/>
    </row>
    <row r="37" spans="1:26" ht="19.899999999999999" customHeight="1" x14ac:dyDescent="0.25">
      <c r="A37" s="38" t="s">
        <v>62</v>
      </c>
      <c r="B37" s="56" t="s">
        <v>259</v>
      </c>
      <c r="C37" s="32" t="s">
        <v>64</v>
      </c>
      <c r="D37" s="33" t="s">
        <v>260</v>
      </c>
      <c r="E37" s="39" t="s">
        <v>16</v>
      </c>
      <c r="F37" s="40" t="s">
        <v>65</v>
      </c>
      <c r="G37" s="39" t="s">
        <v>16</v>
      </c>
      <c r="H37" s="38" t="s">
        <v>16</v>
      </c>
      <c r="I37" s="40" t="s">
        <v>16</v>
      </c>
      <c r="J37" s="38" t="s">
        <v>59</v>
      </c>
      <c r="K37" s="40" t="s">
        <v>24</v>
      </c>
      <c r="L37" s="42" t="s">
        <v>16</v>
      </c>
      <c r="M37" s="43" t="s">
        <v>60</v>
      </c>
      <c r="N37" s="40" t="s">
        <v>16</v>
      </c>
      <c r="O37" s="39" t="s">
        <v>16</v>
      </c>
      <c r="P37" s="38" t="s">
        <v>16</v>
      </c>
      <c r="Q37" s="40">
        <v>200</v>
      </c>
      <c r="R37" s="39" t="s">
        <v>34</v>
      </c>
      <c r="S37" s="38" t="s">
        <v>55</v>
      </c>
      <c r="T37" s="44" t="s">
        <v>79</v>
      </c>
      <c r="U37" s="13"/>
      <c r="V37" s="13"/>
      <c r="W37" s="13"/>
      <c r="X37" s="13"/>
      <c r="Y37" s="13"/>
      <c r="Z37" s="13"/>
    </row>
    <row r="38" spans="1:26" ht="19.899999999999999" customHeight="1" x14ac:dyDescent="0.25">
      <c r="A38" s="38" t="s">
        <v>261</v>
      </c>
      <c r="B38" s="56" t="s">
        <v>262</v>
      </c>
      <c r="C38" s="32" t="s">
        <v>64</v>
      </c>
      <c r="D38" s="33" t="s">
        <v>263</v>
      </c>
      <c r="E38" s="39" t="s">
        <v>16</v>
      </c>
      <c r="F38" s="40" t="s">
        <v>65</v>
      </c>
      <c r="G38" s="39" t="s">
        <v>16</v>
      </c>
      <c r="H38" s="38" t="s">
        <v>16</v>
      </c>
      <c r="I38" s="40" t="s">
        <v>16</v>
      </c>
      <c r="J38" s="38" t="s">
        <v>59</v>
      </c>
      <c r="K38" s="40" t="s">
        <v>24</v>
      </c>
      <c r="L38" s="42" t="s">
        <v>16</v>
      </c>
      <c r="M38" s="43" t="s">
        <v>60</v>
      </c>
      <c r="N38" s="40">
        <v>1</v>
      </c>
      <c r="O38" s="39" t="s">
        <v>16</v>
      </c>
      <c r="P38" s="38" t="s">
        <v>16</v>
      </c>
      <c r="Q38" s="40">
        <v>200</v>
      </c>
      <c r="R38" s="39" t="s">
        <v>34</v>
      </c>
      <c r="S38" s="38" t="s">
        <v>55</v>
      </c>
      <c r="T38" s="44" t="s">
        <v>79</v>
      </c>
      <c r="U38" s="13"/>
      <c r="V38" s="13"/>
      <c r="W38" s="13"/>
      <c r="X38" s="13"/>
      <c r="Y38" s="13"/>
      <c r="Z38" s="13"/>
    </row>
    <row r="39" spans="1:26" ht="19.899999999999999" customHeight="1" x14ac:dyDescent="0.25">
      <c r="A39" s="38" t="s">
        <v>264</v>
      </c>
      <c r="B39" s="56" t="s">
        <v>265</v>
      </c>
      <c r="C39" s="32" t="s">
        <v>64</v>
      </c>
      <c r="D39" s="33" t="s">
        <v>266</v>
      </c>
      <c r="E39" s="39" t="s">
        <v>16</v>
      </c>
      <c r="F39" s="40" t="s">
        <v>65</v>
      </c>
      <c r="G39" s="39" t="s">
        <v>16</v>
      </c>
      <c r="H39" s="38" t="s">
        <v>16</v>
      </c>
      <c r="I39" s="40" t="s">
        <v>16</v>
      </c>
      <c r="J39" s="38" t="s">
        <v>59</v>
      </c>
      <c r="K39" s="40" t="s">
        <v>267</v>
      </c>
      <c r="L39" s="42" t="s">
        <v>16</v>
      </c>
      <c r="M39" s="43" t="s">
        <v>268</v>
      </c>
      <c r="N39" s="40">
        <v>2</v>
      </c>
      <c r="O39" s="39" t="s">
        <v>16</v>
      </c>
      <c r="P39" s="38" t="s">
        <v>16</v>
      </c>
      <c r="Q39" s="40" t="s">
        <v>60</v>
      </c>
      <c r="R39" s="39" t="s">
        <v>34</v>
      </c>
      <c r="S39" s="38" t="s">
        <v>55</v>
      </c>
      <c r="T39" s="44" t="s">
        <v>36</v>
      </c>
      <c r="U39" s="13"/>
      <c r="V39" s="13"/>
      <c r="W39" s="13"/>
      <c r="X39" s="13"/>
      <c r="Y39" s="13"/>
      <c r="Z39" s="13"/>
    </row>
    <row r="40" spans="1:26" ht="19.899999999999999" customHeight="1" x14ac:dyDescent="0.25">
      <c r="A40" s="38" t="s">
        <v>99</v>
      </c>
      <c r="B40" s="59" t="s">
        <v>269</v>
      </c>
      <c r="C40" s="32" t="s">
        <v>64</v>
      </c>
      <c r="D40" s="33" t="s">
        <v>270</v>
      </c>
      <c r="E40" s="39" t="s">
        <v>16</v>
      </c>
      <c r="F40" s="40" t="s">
        <v>65</v>
      </c>
      <c r="G40" s="39" t="s">
        <v>16</v>
      </c>
      <c r="H40" s="38" t="s">
        <v>16</v>
      </c>
      <c r="I40" s="40" t="s">
        <v>16</v>
      </c>
      <c r="J40" s="38" t="s">
        <v>59</v>
      </c>
      <c r="K40" s="40" t="s">
        <v>24</v>
      </c>
      <c r="L40" s="42" t="s">
        <v>16</v>
      </c>
      <c r="M40" s="43" t="s">
        <v>60</v>
      </c>
      <c r="N40" s="40">
        <v>1</v>
      </c>
      <c r="O40" s="39" t="s">
        <v>16</v>
      </c>
      <c r="P40" s="38" t="s">
        <v>16</v>
      </c>
      <c r="Q40" s="40">
        <v>200</v>
      </c>
      <c r="R40" s="39" t="s">
        <v>34</v>
      </c>
      <c r="S40" s="38" t="s">
        <v>55</v>
      </c>
      <c r="T40" s="44" t="s">
        <v>79</v>
      </c>
      <c r="U40" s="13"/>
      <c r="V40" s="13"/>
      <c r="W40" s="13"/>
      <c r="X40" s="13"/>
      <c r="Y40" s="13"/>
      <c r="Z40" s="13"/>
    </row>
    <row r="41" spans="1:26" ht="19.899999999999999" customHeight="1" x14ac:dyDescent="0.25">
      <c r="A41" s="38" t="s">
        <v>58</v>
      </c>
      <c r="B41" s="56" t="s">
        <v>1765</v>
      </c>
      <c r="C41" s="32" t="s">
        <v>64</v>
      </c>
      <c r="D41" s="33" t="s">
        <v>1766</v>
      </c>
      <c r="E41" s="39" t="s">
        <v>16</v>
      </c>
      <c r="F41" s="40" t="s">
        <v>65</v>
      </c>
      <c r="G41" s="39" t="s">
        <v>16</v>
      </c>
      <c r="H41" s="38" t="s">
        <v>16</v>
      </c>
      <c r="I41" s="40" t="s">
        <v>16</v>
      </c>
      <c r="J41" s="38" t="s">
        <v>59</v>
      </c>
      <c r="K41" s="40" t="s">
        <v>23</v>
      </c>
      <c r="L41" s="42" t="s">
        <v>16</v>
      </c>
      <c r="M41" s="43" t="s">
        <v>1771</v>
      </c>
      <c r="N41" s="40" t="s">
        <v>16</v>
      </c>
      <c r="O41" s="39" t="s">
        <v>16</v>
      </c>
      <c r="P41" s="38" t="s">
        <v>16</v>
      </c>
      <c r="Q41" s="50" t="s">
        <v>277</v>
      </c>
      <c r="R41" s="39" t="s">
        <v>34</v>
      </c>
      <c r="S41" s="38" t="s">
        <v>55</v>
      </c>
      <c r="T41" s="44" t="s">
        <v>36</v>
      </c>
      <c r="U41" s="13"/>
      <c r="V41" s="13"/>
      <c r="W41" s="13"/>
      <c r="X41" s="13"/>
      <c r="Y41" s="13"/>
      <c r="Z41" s="13"/>
    </row>
    <row r="42" spans="1:26" ht="19.899999999999999" customHeight="1" x14ac:dyDescent="0.25">
      <c r="A42" s="38" t="s">
        <v>93</v>
      </c>
      <c r="B42" s="59" t="s">
        <v>269</v>
      </c>
      <c r="C42" s="32" t="s">
        <v>64</v>
      </c>
      <c r="D42" s="33" t="s">
        <v>270</v>
      </c>
      <c r="E42" s="39" t="s">
        <v>16</v>
      </c>
      <c r="F42" s="34" t="s">
        <v>65</v>
      </c>
      <c r="G42" s="39" t="s">
        <v>16</v>
      </c>
      <c r="H42" s="38" t="s">
        <v>16</v>
      </c>
      <c r="I42" s="40" t="s">
        <v>16</v>
      </c>
      <c r="J42" s="38" t="s">
        <v>59</v>
      </c>
      <c r="K42" s="40" t="s">
        <v>15</v>
      </c>
      <c r="L42" s="42" t="s">
        <v>16</v>
      </c>
      <c r="M42" s="43" t="s">
        <v>60</v>
      </c>
      <c r="N42" s="40" t="s">
        <v>16</v>
      </c>
      <c r="O42" s="39" t="s">
        <v>16</v>
      </c>
      <c r="P42" s="38" t="s">
        <v>16</v>
      </c>
      <c r="Q42" s="48" t="s">
        <v>92</v>
      </c>
      <c r="R42" s="39" t="s">
        <v>34</v>
      </c>
      <c r="S42" s="38" t="s">
        <v>55</v>
      </c>
      <c r="T42" s="44" t="s">
        <v>79</v>
      </c>
      <c r="U42" s="13"/>
      <c r="V42" s="13"/>
      <c r="W42" s="13"/>
      <c r="X42" s="13"/>
      <c r="Y42" s="13"/>
      <c r="Z42" s="13"/>
    </row>
    <row r="43" spans="1:26" ht="19.899999999999999" customHeight="1" x14ac:dyDescent="0.25">
      <c r="A43" s="33" t="s">
        <v>61</v>
      </c>
      <c r="B43" s="56" t="s">
        <v>1765</v>
      </c>
      <c r="C43" s="32" t="s">
        <v>64</v>
      </c>
      <c r="D43" s="33" t="s">
        <v>1766</v>
      </c>
      <c r="E43" s="32" t="s">
        <v>16</v>
      </c>
      <c r="F43" s="34" t="s">
        <v>65</v>
      </c>
      <c r="G43" s="32" t="s">
        <v>16</v>
      </c>
      <c r="H43" s="33" t="s">
        <v>16</v>
      </c>
      <c r="I43" s="46" t="s">
        <v>16</v>
      </c>
      <c r="J43" s="33" t="s">
        <v>59</v>
      </c>
      <c r="K43" s="46" t="s">
        <v>16</v>
      </c>
      <c r="L43" s="41" t="s">
        <v>16</v>
      </c>
      <c r="M43" s="43" t="s">
        <v>1769</v>
      </c>
      <c r="N43" s="46" t="s">
        <v>16</v>
      </c>
      <c r="O43" s="32" t="s">
        <v>16</v>
      </c>
      <c r="P43" s="33" t="s">
        <v>16</v>
      </c>
      <c r="Q43" s="50" t="s">
        <v>74</v>
      </c>
      <c r="R43" s="32" t="s">
        <v>34</v>
      </c>
      <c r="S43" s="33" t="s">
        <v>35</v>
      </c>
      <c r="T43" s="34" t="s">
        <v>36</v>
      </c>
      <c r="U43" s="13"/>
      <c r="V43" s="13"/>
      <c r="W43" s="13"/>
      <c r="X43" s="13"/>
      <c r="Y43" s="13"/>
      <c r="Z43" s="13"/>
    </row>
    <row r="44" spans="1:26" ht="19.899999999999999" customHeight="1" x14ac:dyDescent="0.25">
      <c r="A44" s="33" t="s">
        <v>271</v>
      </c>
      <c r="B44" s="56" t="s">
        <v>272</v>
      </c>
      <c r="C44" s="32" t="s">
        <v>64</v>
      </c>
      <c r="D44" s="33" t="s">
        <v>273</v>
      </c>
      <c r="E44" s="32" t="s">
        <v>16</v>
      </c>
      <c r="F44" s="34" t="s">
        <v>65</v>
      </c>
      <c r="G44" s="32" t="s">
        <v>16</v>
      </c>
      <c r="H44" s="33" t="s">
        <v>16</v>
      </c>
      <c r="I44" s="46" t="s">
        <v>16</v>
      </c>
      <c r="J44" s="33" t="s">
        <v>59</v>
      </c>
      <c r="K44" s="46" t="s">
        <v>16</v>
      </c>
      <c r="L44" s="41" t="s">
        <v>16</v>
      </c>
      <c r="M44" s="43" t="s">
        <v>95</v>
      </c>
      <c r="N44" s="46">
        <v>1</v>
      </c>
      <c r="O44" s="32" t="s">
        <v>16</v>
      </c>
      <c r="P44" s="33" t="s">
        <v>16</v>
      </c>
      <c r="Q44" s="46">
        <v>77400</v>
      </c>
      <c r="R44" s="32" t="s">
        <v>34</v>
      </c>
      <c r="S44" s="33" t="s">
        <v>35</v>
      </c>
      <c r="T44" s="34" t="s">
        <v>36</v>
      </c>
      <c r="U44" s="13"/>
      <c r="V44" s="13"/>
      <c r="W44" s="13"/>
      <c r="X44" s="13"/>
      <c r="Y44" s="13"/>
      <c r="Z44" s="13"/>
    </row>
    <row r="45" spans="1:26" ht="19.899999999999999" customHeight="1" x14ac:dyDescent="0.25">
      <c r="A45" s="38" t="s">
        <v>274</v>
      </c>
      <c r="B45" s="56" t="s">
        <v>275</v>
      </c>
      <c r="C45" s="32" t="s">
        <v>64</v>
      </c>
      <c r="D45" s="33" t="s">
        <v>276</v>
      </c>
      <c r="E45" s="39" t="s">
        <v>16</v>
      </c>
      <c r="F45" s="40" t="s">
        <v>65</v>
      </c>
      <c r="G45" s="39" t="s">
        <v>16</v>
      </c>
      <c r="H45" s="38" t="s">
        <v>16</v>
      </c>
      <c r="I45" s="40" t="s">
        <v>16</v>
      </c>
      <c r="J45" s="38" t="s">
        <v>59</v>
      </c>
      <c r="K45" s="40" t="s">
        <v>24</v>
      </c>
      <c r="L45" s="42" t="s">
        <v>16</v>
      </c>
      <c r="M45" s="43" t="s">
        <v>277</v>
      </c>
      <c r="N45" s="40">
        <v>1</v>
      </c>
      <c r="O45" s="39" t="s">
        <v>16</v>
      </c>
      <c r="P45" s="38" t="s">
        <v>16</v>
      </c>
      <c r="Q45" s="40">
        <v>75</v>
      </c>
      <c r="R45" s="39" t="s">
        <v>34</v>
      </c>
      <c r="S45" s="38" t="s">
        <v>55</v>
      </c>
      <c r="T45" s="44" t="s">
        <v>79</v>
      </c>
      <c r="U45" s="13"/>
      <c r="V45" s="13"/>
      <c r="W45" s="13"/>
      <c r="X45" s="13"/>
      <c r="Y45" s="13"/>
      <c r="Z45" s="13"/>
    </row>
    <row r="46" spans="1:26" ht="19.899999999999999" customHeight="1" x14ac:dyDescent="0.25">
      <c r="A46" s="38" t="s">
        <v>278</v>
      </c>
      <c r="B46" s="56" t="s">
        <v>1526</v>
      </c>
      <c r="C46" s="32" t="s">
        <v>1818</v>
      </c>
      <c r="D46" s="33" t="s">
        <v>1527</v>
      </c>
      <c r="E46" s="39" t="s">
        <v>16</v>
      </c>
      <c r="F46" s="40" t="s">
        <v>65</v>
      </c>
      <c r="G46" s="39" t="s">
        <v>16</v>
      </c>
      <c r="H46" s="38" t="s">
        <v>16</v>
      </c>
      <c r="I46" s="40" t="s">
        <v>16</v>
      </c>
      <c r="J46" s="38" t="s">
        <v>59</v>
      </c>
      <c r="K46" s="40" t="s">
        <v>24</v>
      </c>
      <c r="L46" s="42" t="s">
        <v>16</v>
      </c>
      <c r="M46" s="43" t="s">
        <v>74</v>
      </c>
      <c r="N46" s="40" t="s">
        <v>16</v>
      </c>
      <c r="O46" s="39" t="s">
        <v>16</v>
      </c>
      <c r="P46" s="38" t="s">
        <v>16</v>
      </c>
      <c r="Q46" s="40">
        <v>75</v>
      </c>
      <c r="R46" s="39" t="s">
        <v>34</v>
      </c>
      <c r="S46" s="38" t="s">
        <v>55</v>
      </c>
      <c r="T46" s="44" t="s">
        <v>79</v>
      </c>
      <c r="U46" s="13"/>
      <c r="V46" s="13"/>
      <c r="W46" s="13"/>
      <c r="X46" s="13"/>
      <c r="Y46" s="13"/>
      <c r="Z46" s="13"/>
    </row>
    <row r="47" spans="1:26" ht="19.899999999999999" customHeight="1" x14ac:dyDescent="0.25">
      <c r="A47" s="38" t="s">
        <v>1503</v>
      </c>
      <c r="B47" s="56" t="s">
        <v>1767</v>
      </c>
      <c r="C47" s="32" t="s">
        <v>64</v>
      </c>
      <c r="D47" s="33" t="s">
        <v>1768</v>
      </c>
      <c r="E47" s="39" t="s">
        <v>16</v>
      </c>
      <c r="F47" s="40" t="s">
        <v>65</v>
      </c>
      <c r="G47" s="39" t="s">
        <v>16</v>
      </c>
      <c r="H47" s="38" t="s">
        <v>16</v>
      </c>
      <c r="I47" s="40" t="s">
        <v>16</v>
      </c>
      <c r="J47" s="38" t="s">
        <v>59</v>
      </c>
      <c r="K47" s="40" t="s">
        <v>15</v>
      </c>
      <c r="L47" s="42" t="s">
        <v>16</v>
      </c>
      <c r="M47" s="43" t="s">
        <v>74</v>
      </c>
      <c r="N47" s="40" t="s">
        <v>16</v>
      </c>
      <c r="O47" s="39" t="s">
        <v>16</v>
      </c>
      <c r="P47" s="38" t="s">
        <v>16</v>
      </c>
      <c r="Q47" s="40">
        <v>75</v>
      </c>
      <c r="R47" s="39" t="s">
        <v>34</v>
      </c>
      <c r="S47" s="38" t="s">
        <v>55</v>
      </c>
      <c r="T47" s="44" t="s">
        <v>79</v>
      </c>
      <c r="U47" s="13"/>
      <c r="V47" s="13"/>
      <c r="W47" s="13"/>
      <c r="X47" s="13"/>
      <c r="Y47" s="13"/>
      <c r="Z47" s="13"/>
    </row>
    <row r="48" spans="1:26" ht="19.899999999999999" customHeight="1" x14ac:dyDescent="0.25">
      <c r="A48" s="38" t="s">
        <v>279</v>
      </c>
      <c r="B48" s="72" t="s">
        <v>218</v>
      </c>
      <c r="C48" s="32" t="s">
        <v>1741</v>
      </c>
      <c r="D48" s="33" t="s">
        <v>1485</v>
      </c>
      <c r="E48" s="39" t="s">
        <v>16</v>
      </c>
      <c r="F48" s="34" t="s">
        <v>65</v>
      </c>
      <c r="G48" s="39" t="s">
        <v>16</v>
      </c>
      <c r="H48" s="38" t="s">
        <v>16</v>
      </c>
      <c r="I48" s="40" t="s">
        <v>16</v>
      </c>
      <c r="J48" s="38" t="s">
        <v>59</v>
      </c>
      <c r="K48" s="40" t="s">
        <v>15</v>
      </c>
      <c r="L48" s="42" t="s">
        <v>16</v>
      </c>
      <c r="M48" s="49" t="s">
        <v>74</v>
      </c>
      <c r="N48" s="40">
        <v>1</v>
      </c>
      <c r="O48" s="39" t="s">
        <v>16</v>
      </c>
      <c r="P48" s="43" t="s">
        <v>282</v>
      </c>
      <c r="Q48" s="40" t="s">
        <v>16</v>
      </c>
      <c r="R48" s="39" t="s">
        <v>34</v>
      </c>
      <c r="S48" s="38" t="s">
        <v>55</v>
      </c>
      <c r="T48" s="44" t="s">
        <v>36</v>
      </c>
      <c r="U48" s="45"/>
      <c r="V48" s="45"/>
      <c r="W48" s="45"/>
      <c r="X48" s="45"/>
      <c r="Y48" s="45"/>
      <c r="Z48" s="45"/>
    </row>
    <row r="49" spans="1:26" ht="19.899999999999999" customHeight="1" x14ac:dyDescent="0.25">
      <c r="A49" s="38" t="s">
        <v>100</v>
      </c>
      <c r="B49" s="72" t="s">
        <v>280</v>
      </c>
      <c r="C49" s="32" t="s">
        <v>64</v>
      </c>
      <c r="D49" s="33" t="s">
        <v>281</v>
      </c>
      <c r="E49" s="39" t="s">
        <v>16</v>
      </c>
      <c r="F49" s="34" t="s">
        <v>65</v>
      </c>
      <c r="G49" s="39" t="s">
        <v>16</v>
      </c>
      <c r="H49" s="38" t="s">
        <v>16</v>
      </c>
      <c r="I49" s="40" t="s">
        <v>16</v>
      </c>
      <c r="J49" s="38" t="s">
        <v>59</v>
      </c>
      <c r="K49" s="40" t="s">
        <v>23</v>
      </c>
      <c r="L49" s="42" t="s">
        <v>16</v>
      </c>
      <c r="M49" s="49" t="s">
        <v>74</v>
      </c>
      <c r="N49" s="40">
        <v>1</v>
      </c>
      <c r="O49" s="39" t="s">
        <v>16</v>
      </c>
      <c r="P49" s="43" t="s">
        <v>282</v>
      </c>
      <c r="Q49" s="40" t="s">
        <v>16</v>
      </c>
      <c r="R49" s="39" t="s">
        <v>34</v>
      </c>
      <c r="S49" s="38" t="s">
        <v>55</v>
      </c>
      <c r="T49" s="44" t="s">
        <v>36</v>
      </c>
      <c r="U49" s="45"/>
      <c r="V49" s="45"/>
      <c r="W49" s="45"/>
      <c r="X49" s="45"/>
      <c r="Y49" s="45"/>
      <c r="Z49" s="45"/>
    </row>
    <row r="50" spans="1:26" ht="19.899999999999999" customHeight="1" x14ac:dyDescent="0.25">
      <c r="A50" s="38" t="s">
        <v>103</v>
      </c>
      <c r="B50" s="72" t="s">
        <v>280</v>
      </c>
      <c r="C50" s="32" t="s">
        <v>64</v>
      </c>
      <c r="D50" s="33" t="s">
        <v>281</v>
      </c>
      <c r="E50" s="39" t="s">
        <v>16</v>
      </c>
      <c r="F50" s="34" t="s">
        <v>65</v>
      </c>
      <c r="G50" s="39" t="s">
        <v>16</v>
      </c>
      <c r="H50" s="38" t="s">
        <v>16</v>
      </c>
      <c r="I50" s="40" t="s">
        <v>16</v>
      </c>
      <c r="J50" s="38" t="s">
        <v>59</v>
      </c>
      <c r="K50" s="40" t="s">
        <v>24</v>
      </c>
      <c r="L50" s="42" t="s">
        <v>16</v>
      </c>
      <c r="M50" s="49" t="s">
        <v>74</v>
      </c>
      <c r="N50" s="40">
        <v>1</v>
      </c>
      <c r="O50" s="39" t="s">
        <v>16</v>
      </c>
      <c r="P50" s="43" t="s">
        <v>282</v>
      </c>
      <c r="Q50" s="40" t="s">
        <v>16</v>
      </c>
      <c r="R50" s="39" t="s">
        <v>34</v>
      </c>
      <c r="S50" s="38" t="s">
        <v>55</v>
      </c>
      <c r="T50" s="44" t="s">
        <v>36</v>
      </c>
      <c r="U50" s="45"/>
      <c r="V50" s="45"/>
      <c r="W50" s="45"/>
      <c r="X50" s="45"/>
      <c r="Y50" s="45"/>
      <c r="Z50" s="45"/>
    </row>
    <row r="51" spans="1:26" ht="19.899999999999999" customHeight="1" x14ac:dyDescent="0.25">
      <c r="A51" s="38" t="s">
        <v>107</v>
      </c>
      <c r="B51" s="72" t="s">
        <v>283</v>
      </c>
      <c r="C51" s="32" t="s">
        <v>64</v>
      </c>
      <c r="D51" s="33" t="s">
        <v>284</v>
      </c>
      <c r="E51" s="39" t="s">
        <v>16</v>
      </c>
      <c r="F51" s="34" t="s">
        <v>65</v>
      </c>
      <c r="G51" s="39" t="s">
        <v>16</v>
      </c>
      <c r="H51" s="38" t="s">
        <v>16</v>
      </c>
      <c r="I51" s="40" t="s">
        <v>16</v>
      </c>
      <c r="J51" s="38" t="s">
        <v>59</v>
      </c>
      <c r="K51" s="40" t="s">
        <v>23</v>
      </c>
      <c r="L51" s="42" t="s">
        <v>16</v>
      </c>
      <c r="M51" s="49" t="s">
        <v>74</v>
      </c>
      <c r="N51" s="40">
        <v>1</v>
      </c>
      <c r="O51" s="39" t="s">
        <v>16</v>
      </c>
      <c r="P51" s="43" t="s">
        <v>282</v>
      </c>
      <c r="Q51" s="40" t="s">
        <v>16</v>
      </c>
      <c r="R51" s="39" t="s">
        <v>34</v>
      </c>
      <c r="S51" s="38" t="s">
        <v>55</v>
      </c>
      <c r="T51" s="44" t="s">
        <v>36</v>
      </c>
      <c r="U51" s="45"/>
      <c r="V51" s="45"/>
      <c r="W51" s="45"/>
      <c r="X51" s="45"/>
      <c r="Y51" s="45"/>
      <c r="Z51" s="45"/>
    </row>
    <row r="52" spans="1:26" ht="19.899999999999999" customHeight="1" x14ac:dyDescent="0.25">
      <c r="A52" s="38" t="s">
        <v>96</v>
      </c>
      <c r="B52" s="72" t="s">
        <v>218</v>
      </c>
      <c r="C52" s="32" t="s">
        <v>1741</v>
      </c>
      <c r="D52" s="33" t="s">
        <v>1485</v>
      </c>
      <c r="E52" s="39" t="s">
        <v>16</v>
      </c>
      <c r="F52" s="34" t="s">
        <v>65</v>
      </c>
      <c r="G52" s="39" t="s">
        <v>16</v>
      </c>
      <c r="H52" s="38" t="s">
        <v>16</v>
      </c>
      <c r="I52" s="40" t="s">
        <v>16</v>
      </c>
      <c r="J52" s="38" t="s">
        <v>59</v>
      </c>
      <c r="K52" s="40" t="s">
        <v>23</v>
      </c>
      <c r="L52" s="42" t="s">
        <v>16</v>
      </c>
      <c r="M52" s="49" t="s">
        <v>74</v>
      </c>
      <c r="N52" s="40" t="s">
        <v>16</v>
      </c>
      <c r="O52" s="39" t="s">
        <v>16</v>
      </c>
      <c r="P52" s="43" t="s">
        <v>282</v>
      </c>
      <c r="Q52" s="40" t="s">
        <v>16</v>
      </c>
      <c r="R52" s="39" t="s">
        <v>34</v>
      </c>
      <c r="S52" s="38" t="s">
        <v>55</v>
      </c>
      <c r="T52" s="44" t="s">
        <v>36</v>
      </c>
      <c r="U52" s="45"/>
      <c r="V52" s="45"/>
      <c r="W52" s="45"/>
      <c r="X52" s="45"/>
      <c r="Y52" s="45"/>
      <c r="Z52" s="45"/>
    </row>
    <row r="53" spans="1:26" ht="19.899999999999999" customHeight="1" x14ac:dyDescent="0.25">
      <c r="A53" s="33" t="s">
        <v>97</v>
      </c>
      <c r="B53" s="56" t="s">
        <v>1548</v>
      </c>
      <c r="C53" s="32" t="s">
        <v>114</v>
      </c>
      <c r="D53" s="33" t="s">
        <v>1770</v>
      </c>
      <c r="E53" s="32" t="s">
        <v>16</v>
      </c>
      <c r="F53" s="34" t="s">
        <v>65</v>
      </c>
      <c r="G53" s="32" t="s">
        <v>16</v>
      </c>
      <c r="H53" s="33" t="s">
        <v>16</v>
      </c>
      <c r="I53" s="46" t="s">
        <v>16</v>
      </c>
      <c r="J53" s="33" t="s">
        <v>59</v>
      </c>
      <c r="K53" s="46" t="s">
        <v>16</v>
      </c>
      <c r="L53" s="41" t="s">
        <v>16</v>
      </c>
      <c r="M53" s="47" t="s">
        <v>74</v>
      </c>
      <c r="N53" s="46" t="s">
        <v>16</v>
      </c>
      <c r="O53" s="32" t="s">
        <v>16</v>
      </c>
      <c r="P53" s="43" t="s">
        <v>285</v>
      </c>
      <c r="Q53" s="46" t="s">
        <v>16</v>
      </c>
      <c r="R53" s="32" t="s">
        <v>34</v>
      </c>
      <c r="S53" s="33" t="s">
        <v>35</v>
      </c>
      <c r="T53" s="34" t="s">
        <v>36</v>
      </c>
      <c r="U53" s="45"/>
      <c r="V53" s="45"/>
      <c r="W53" s="45"/>
      <c r="X53" s="45"/>
      <c r="Y53" s="45"/>
      <c r="Z53" s="45"/>
    </row>
    <row r="54" spans="1:26" ht="19.899999999999999" customHeight="1" x14ac:dyDescent="0.25">
      <c r="A54" s="38" t="s">
        <v>120</v>
      </c>
      <c r="B54" s="56" t="s">
        <v>265</v>
      </c>
      <c r="C54" s="32" t="s">
        <v>64</v>
      </c>
      <c r="D54" s="33" t="s">
        <v>266</v>
      </c>
      <c r="E54" s="39" t="s">
        <v>16</v>
      </c>
      <c r="F54" s="40" t="s">
        <v>45</v>
      </c>
      <c r="G54" s="39" t="s">
        <v>16</v>
      </c>
      <c r="H54" s="38" t="s">
        <v>16</v>
      </c>
      <c r="I54" s="40" t="s">
        <v>16</v>
      </c>
      <c r="J54" s="38" t="s">
        <v>59</v>
      </c>
      <c r="K54" s="40" t="s">
        <v>23</v>
      </c>
      <c r="L54" s="42" t="s">
        <v>16</v>
      </c>
      <c r="M54" s="43" t="s">
        <v>60</v>
      </c>
      <c r="N54" s="48" t="s">
        <v>104</v>
      </c>
      <c r="O54" s="39" t="s">
        <v>16</v>
      </c>
      <c r="P54" s="38" t="s">
        <v>16</v>
      </c>
      <c r="Q54" s="40" t="s">
        <v>60</v>
      </c>
      <c r="R54" s="39" t="s">
        <v>34</v>
      </c>
      <c r="S54" s="38" t="s">
        <v>55</v>
      </c>
      <c r="T54" s="44" t="s">
        <v>36</v>
      </c>
      <c r="U54" s="13"/>
      <c r="V54" s="13"/>
      <c r="W54" s="13"/>
      <c r="X54" s="13"/>
      <c r="Y54" s="13"/>
      <c r="Z54" s="13"/>
    </row>
    <row r="55" spans="1:26" ht="19.899999999999999" customHeight="1" x14ac:dyDescent="0.25">
      <c r="A55" s="33" t="s">
        <v>121</v>
      </c>
      <c r="B55" s="56" t="s">
        <v>272</v>
      </c>
      <c r="C55" s="32" t="s">
        <v>84</v>
      </c>
      <c r="D55" s="33" t="s">
        <v>273</v>
      </c>
      <c r="E55" s="32" t="s">
        <v>16</v>
      </c>
      <c r="F55" s="46" t="s">
        <v>122</v>
      </c>
      <c r="G55" s="32" t="s">
        <v>16</v>
      </c>
      <c r="H55" s="33" t="s">
        <v>16</v>
      </c>
      <c r="I55" s="46" t="s">
        <v>16</v>
      </c>
      <c r="J55" s="33" t="s">
        <v>59</v>
      </c>
      <c r="K55" s="40" t="s">
        <v>23</v>
      </c>
      <c r="L55" s="41" t="s">
        <v>16</v>
      </c>
      <c r="M55" s="47" t="s">
        <v>51</v>
      </c>
      <c r="N55" s="46" t="s">
        <v>16</v>
      </c>
      <c r="O55" s="32" t="s">
        <v>16</v>
      </c>
      <c r="P55" s="43" t="s">
        <v>286</v>
      </c>
      <c r="Q55" s="46" t="s">
        <v>16</v>
      </c>
      <c r="R55" s="32" t="s">
        <v>34</v>
      </c>
      <c r="S55" s="38" t="s">
        <v>55</v>
      </c>
      <c r="T55" s="34" t="s">
        <v>36</v>
      </c>
      <c r="U55" s="45"/>
      <c r="V55" s="45"/>
      <c r="W55" s="45"/>
      <c r="X55" s="45"/>
      <c r="Y55" s="45"/>
      <c r="Z55" s="45"/>
    </row>
    <row r="56" spans="1:26" ht="19.899999999999999" customHeight="1" x14ac:dyDescent="0.25">
      <c r="A56" s="38" t="s">
        <v>123</v>
      </c>
      <c r="B56" s="56" t="s">
        <v>223</v>
      </c>
      <c r="C56" s="32" t="s">
        <v>64</v>
      </c>
      <c r="D56" s="33" t="s">
        <v>89</v>
      </c>
      <c r="E56" s="41" t="s">
        <v>287</v>
      </c>
      <c r="F56" s="34" t="s">
        <v>65</v>
      </c>
      <c r="G56" s="39" t="s">
        <v>16</v>
      </c>
      <c r="H56" s="38" t="s">
        <v>16</v>
      </c>
      <c r="I56" s="40" t="s">
        <v>16</v>
      </c>
      <c r="J56" s="33" t="s">
        <v>14</v>
      </c>
      <c r="K56" s="40" t="s">
        <v>119</v>
      </c>
      <c r="L56" s="42" t="s">
        <v>16</v>
      </c>
      <c r="M56" s="43" t="s">
        <v>288</v>
      </c>
      <c r="N56" s="48" t="s">
        <v>124</v>
      </c>
      <c r="O56" s="39" t="s">
        <v>16</v>
      </c>
      <c r="P56" s="38" t="s">
        <v>16</v>
      </c>
      <c r="Q56" s="40" t="s">
        <v>16</v>
      </c>
      <c r="R56" s="39" t="s">
        <v>54</v>
      </c>
      <c r="S56" s="38" t="s">
        <v>55</v>
      </c>
      <c r="T56" s="44" t="s">
        <v>36</v>
      </c>
      <c r="U56" s="13"/>
      <c r="V56" s="13"/>
      <c r="W56" s="13"/>
      <c r="X56" s="13"/>
      <c r="Y56" s="13"/>
      <c r="Z56" s="13"/>
    </row>
    <row r="57" spans="1:26" ht="19.899999999999999" customHeight="1" x14ac:dyDescent="0.25">
      <c r="A57" s="33" t="s">
        <v>125</v>
      </c>
      <c r="B57" s="77" t="s">
        <v>223</v>
      </c>
      <c r="C57" s="32" t="s">
        <v>64</v>
      </c>
      <c r="D57" s="33" t="s">
        <v>89</v>
      </c>
      <c r="E57" s="41" t="s">
        <v>289</v>
      </c>
      <c r="F57" s="34" t="s">
        <v>72</v>
      </c>
      <c r="G57" s="32" t="s">
        <v>16</v>
      </c>
      <c r="H57" s="33" t="s">
        <v>16</v>
      </c>
      <c r="I57" s="46" t="s">
        <v>16</v>
      </c>
      <c r="J57" s="33" t="s">
        <v>14</v>
      </c>
      <c r="K57" s="46" t="s">
        <v>16</v>
      </c>
      <c r="L57" s="41" t="s">
        <v>16</v>
      </c>
      <c r="M57" s="47" t="s">
        <v>74</v>
      </c>
      <c r="N57" s="46" t="s">
        <v>16</v>
      </c>
      <c r="O57" s="32" t="s">
        <v>16</v>
      </c>
      <c r="P57" s="33" t="s">
        <v>16</v>
      </c>
      <c r="Q57" s="46" t="s">
        <v>16</v>
      </c>
      <c r="R57" s="32" t="s">
        <v>16</v>
      </c>
      <c r="S57" s="33" t="s">
        <v>16</v>
      </c>
      <c r="T57" s="34" t="s">
        <v>36</v>
      </c>
      <c r="U57" s="13"/>
      <c r="V57" s="13"/>
      <c r="W57" s="13"/>
      <c r="X57" s="13"/>
      <c r="Y57" s="13"/>
      <c r="Z57" s="13"/>
    </row>
    <row r="58" spans="1:26" ht="19.899999999999999" customHeight="1" x14ac:dyDescent="0.25">
      <c r="A58" s="67" t="s">
        <v>126</v>
      </c>
      <c r="B58" s="56" t="s">
        <v>223</v>
      </c>
      <c r="C58" s="32" t="s">
        <v>64</v>
      </c>
      <c r="D58" s="33" t="s">
        <v>89</v>
      </c>
      <c r="E58" s="41" t="s">
        <v>90</v>
      </c>
      <c r="F58" s="34" t="s">
        <v>127</v>
      </c>
      <c r="G58" s="39" t="s">
        <v>16</v>
      </c>
      <c r="H58" s="38" t="s">
        <v>16</v>
      </c>
      <c r="I58" s="40" t="s">
        <v>16</v>
      </c>
      <c r="J58" s="33" t="s">
        <v>14</v>
      </c>
      <c r="K58" s="40" t="s">
        <v>87</v>
      </c>
      <c r="L58" s="42" t="s">
        <v>16</v>
      </c>
      <c r="M58" s="43" t="s">
        <v>290</v>
      </c>
      <c r="N58" s="48" t="s">
        <v>128</v>
      </c>
      <c r="O58" s="39" t="s">
        <v>16</v>
      </c>
      <c r="P58" s="38" t="s">
        <v>16</v>
      </c>
      <c r="Q58" s="40" t="s">
        <v>16</v>
      </c>
      <c r="R58" s="39" t="s">
        <v>54</v>
      </c>
      <c r="S58" s="38" t="s">
        <v>55</v>
      </c>
      <c r="T58" s="44" t="s">
        <v>36</v>
      </c>
      <c r="U58" s="13"/>
      <c r="V58" s="13"/>
      <c r="W58" s="13"/>
      <c r="X58" s="13"/>
      <c r="Y58" s="13"/>
      <c r="Z58" s="13"/>
    </row>
    <row r="59" spans="1:26" ht="19.899999999999999" customHeight="1" x14ac:dyDescent="0.25">
      <c r="A59" s="67" t="s">
        <v>291</v>
      </c>
      <c r="B59" s="59" t="s">
        <v>248</v>
      </c>
      <c r="C59" s="32" t="s">
        <v>1741</v>
      </c>
      <c r="D59" s="33" t="s">
        <v>249</v>
      </c>
      <c r="E59" s="41" t="s">
        <v>292</v>
      </c>
      <c r="F59" s="34" t="s">
        <v>127</v>
      </c>
      <c r="G59" s="39" t="s">
        <v>16</v>
      </c>
      <c r="H59" s="38" t="s">
        <v>16</v>
      </c>
      <c r="I59" s="40" t="s">
        <v>16</v>
      </c>
      <c r="J59" s="33" t="s">
        <v>14</v>
      </c>
      <c r="K59" s="40" t="s">
        <v>293</v>
      </c>
      <c r="L59" s="42" t="s">
        <v>16</v>
      </c>
      <c r="M59" s="43" t="s">
        <v>294</v>
      </c>
      <c r="N59" s="48" t="s">
        <v>128</v>
      </c>
      <c r="O59" s="39" t="s">
        <v>16</v>
      </c>
      <c r="P59" s="38" t="s">
        <v>16</v>
      </c>
      <c r="Q59" s="40" t="s">
        <v>16</v>
      </c>
      <c r="R59" s="39" t="s">
        <v>54</v>
      </c>
      <c r="S59" s="38" t="s">
        <v>55</v>
      </c>
      <c r="T59" s="44" t="s">
        <v>36</v>
      </c>
      <c r="U59" s="13"/>
      <c r="V59" s="13"/>
      <c r="W59" s="13"/>
      <c r="X59" s="13"/>
      <c r="Y59" s="13"/>
      <c r="Z59" s="13"/>
    </row>
    <row r="60" spans="1:26" ht="19.899999999999999" customHeight="1" x14ac:dyDescent="0.25">
      <c r="A60" s="67" t="s">
        <v>295</v>
      </c>
      <c r="B60" s="56" t="s">
        <v>223</v>
      </c>
      <c r="C60" s="32" t="s">
        <v>64</v>
      </c>
      <c r="D60" s="33" t="s">
        <v>89</v>
      </c>
      <c r="E60" s="41" t="s">
        <v>296</v>
      </c>
      <c r="F60" s="34" t="s">
        <v>127</v>
      </c>
      <c r="G60" s="39" t="s">
        <v>16</v>
      </c>
      <c r="H60" s="38" t="s">
        <v>16</v>
      </c>
      <c r="I60" s="40" t="s">
        <v>16</v>
      </c>
      <c r="J60" s="33" t="s">
        <v>14</v>
      </c>
      <c r="K60" s="40" t="s">
        <v>293</v>
      </c>
      <c r="L60" s="42" t="s">
        <v>16</v>
      </c>
      <c r="M60" s="43" t="s">
        <v>297</v>
      </c>
      <c r="N60" s="48" t="s">
        <v>128</v>
      </c>
      <c r="O60" s="39" t="s">
        <v>16</v>
      </c>
      <c r="P60" s="38" t="s">
        <v>16</v>
      </c>
      <c r="Q60" s="40" t="s">
        <v>16</v>
      </c>
      <c r="R60" s="39" t="s">
        <v>54</v>
      </c>
      <c r="S60" s="38" t="s">
        <v>55</v>
      </c>
      <c r="T60" s="44" t="s">
        <v>36</v>
      </c>
      <c r="U60" s="13"/>
      <c r="V60" s="13"/>
      <c r="W60" s="13"/>
      <c r="X60" s="13"/>
      <c r="Y60" s="13"/>
      <c r="Z60" s="13"/>
    </row>
    <row r="61" spans="1:26" ht="19.899999999999999" customHeight="1" x14ac:dyDescent="0.25">
      <c r="A61" s="69" t="s">
        <v>129</v>
      </c>
      <c r="B61" s="62" t="s">
        <v>130</v>
      </c>
      <c r="C61" s="63" t="s">
        <v>64</v>
      </c>
      <c r="D61" s="33" t="s">
        <v>131</v>
      </c>
      <c r="E61" s="41" t="s">
        <v>132</v>
      </c>
      <c r="F61" s="34" t="s">
        <v>65</v>
      </c>
      <c r="G61" s="39" t="s">
        <v>16</v>
      </c>
      <c r="H61" s="38" t="s">
        <v>16</v>
      </c>
      <c r="I61" s="40" t="s">
        <v>16</v>
      </c>
      <c r="J61" s="33" t="s">
        <v>59</v>
      </c>
      <c r="K61" s="40" t="s">
        <v>29</v>
      </c>
      <c r="L61" s="42" t="s">
        <v>16</v>
      </c>
      <c r="M61" s="43" t="s">
        <v>60</v>
      </c>
      <c r="N61" s="40" t="s">
        <v>16</v>
      </c>
      <c r="O61" s="42" t="s">
        <v>133</v>
      </c>
      <c r="P61" s="38" t="s">
        <v>16</v>
      </c>
      <c r="Q61" s="48" t="s">
        <v>51</v>
      </c>
      <c r="R61" s="39" t="s">
        <v>54</v>
      </c>
      <c r="S61" s="38" t="s">
        <v>35</v>
      </c>
      <c r="T61" s="44" t="s">
        <v>36</v>
      </c>
      <c r="U61" s="13"/>
      <c r="V61" s="13"/>
      <c r="W61" s="13"/>
      <c r="X61" s="13"/>
      <c r="Y61" s="13"/>
      <c r="Z61" s="13"/>
    </row>
    <row r="62" spans="1:26" ht="19.899999999999999" customHeight="1" x14ac:dyDescent="0.25">
      <c r="A62" s="69" t="s">
        <v>134</v>
      </c>
      <c r="B62" s="65" t="s">
        <v>135</v>
      </c>
      <c r="C62" s="32" t="s">
        <v>64</v>
      </c>
      <c r="D62" s="33" t="s">
        <v>136</v>
      </c>
      <c r="E62" s="41" t="s">
        <v>137</v>
      </c>
      <c r="F62" s="34" t="s">
        <v>138</v>
      </c>
      <c r="G62" s="39" t="s">
        <v>16</v>
      </c>
      <c r="H62" s="38" t="s">
        <v>16</v>
      </c>
      <c r="I62" s="40" t="s">
        <v>16</v>
      </c>
      <c r="J62" s="33" t="s">
        <v>59</v>
      </c>
      <c r="K62" s="40" t="s">
        <v>24</v>
      </c>
      <c r="L62" s="42" t="s">
        <v>16</v>
      </c>
      <c r="M62" s="43" t="s">
        <v>51</v>
      </c>
      <c r="N62" s="40" t="s">
        <v>16</v>
      </c>
      <c r="O62" s="42" t="s">
        <v>133</v>
      </c>
      <c r="P62" s="43" t="s">
        <v>139</v>
      </c>
      <c r="Q62" s="40" t="s">
        <v>16</v>
      </c>
      <c r="R62" s="39" t="s">
        <v>54</v>
      </c>
      <c r="S62" s="38" t="s">
        <v>35</v>
      </c>
      <c r="T62" s="44" t="s">
        <v>36</v>
      </c>
      <c r="U62" s="13"/>
      <c r="V62" s="13"/>
      <c r="W62" s="13"/>
      <c r="X62" s="13"/>
      <c r="Y62" s="13"/>
      <c r="Z62" s="13"/>
    </row>
    <row r="63" spans="1:26" ht="19.899999999999999" customHeight="1" x14ac:dyDescent="0.25">
      <c r="A63" s="68" t="s">
        <v>140</v>
      </c>
      <c r="B63" s="79" t="s">
        <v>298</v>
      </c>
      <c r="C63" s="32" t="s">
        <v>84</v>
      </c>
      <c r="D63" s="33" t="s">
        <v>299</v>
      </c>
      <c r="E63" s="41" t="s">
        <v>300</v>
      </c>
      <c r="F63" s="34" t="s">
        <v>127</v>
      </c>
      <c r="G63" s="32" t="s">
        <v>16</v>
      </c>
      <c r="H63" s="33" t="s">
        <v>16</v>
      </c>
      <c r="I63" s="46" t="s">
        <v>16</v>
      </c>
      <c r="J63" s="33" t="s">
        <v>21</v>
      </c>
      <c r="K63" s="46" t="s">
        <v>87</v>
      </c>
      <c r="L63" s="41" t="s">
        <v>16</v>
      </c>
      <c r="M63" s="47" t="s">
        <v>141</v>
      </c>
      <c r="N63" s="46" t="s">
        <v>16</v>
      </c>
      <c r="O63" s="32" t="s">
        <v>16</v>
      </c>
      <c r="P63" s="33" t="s">
        <v>16</v>
      </c>
      <c r="Q63" s="46" t="s">
        <v>57</v>
      </c>
      <c r="R63" s="32" t="s">
        <v>16</v>
      </c>
      <c r="S63" s="33" t="s">
        <v>17</v>
      </c>
      <c r="T63" s="34" t="s">
        <v>36</v>
      </c>
      <c r="U63" s="13"/>
      <c r="V63" s="13"/>
      <c r="W63" s="13"/>
      <c r="X63" s="13"/>
      <c r="Y63" s="13"/>
      <c r="Z63" s="13"/>
    </row>
    <row r="64" spans="1:26" ht="19.899999999999999" customHeight="1" x14ac:dyDescent="0.25">
      <c r="A64" s="33" t="s">
        <v>142</v>
      </c>
      <c r="B64" s="62" t="s">
        <v>301</v>
      </c>
      <c r="C64" s="63" t="s">
        <v>64</v>
      </c>
      <c r="D64" s="33" t="s">
        <v>302</v>
      </c>
      <c r="E64" s="41" t="s">
        <v>303</v>
      </c>
      <c r="F64" s="34" t="s">
        <v>143</v>
      </c>
      <c r="G64" s="32" t="s">
        <v>16</v>
      </c>
      <c r="H64" s="33" t="s">
        <v>16</v>
      </c>
      <c r="I64" s="46" t="s">
        <v>16</v>
      </c>
      <c r="J64" s="33" t="s">
        <v>19</v>
      </c>
      <c r="K64" s="46" t="s">
        <v>23</v>
      </c>
      <c r="L64" s="41" t="s">
        <v>16</v>
      </c>
      <c r="M64" s="47" t="s">
        <v>60</v>
      </c>
      <c r="N64" s="50" t="s">
        <v>104</v>
      </c>
      <c r="O64" s="32" t="s">
        <v>16</v>
      </c>
      <c r="P64" s="33" t="s">
        <v>16</v>
      </c>
      <c r="Q64" s="46" t="s">
        <v>57</v>
      </c>
      <c r="R64" s="32" t="s">
        <v>16</v>
      </c>
      <c r="S64" s="33" t="s">
        <v>17</v>
      </c>
      <c r="T64" s="34" t="s">
        <v>36</v>
      </c>
      <c r="U64" s="13"/>
      <c r="V64" s="13"/>
      <c r="W64" s="13"/>
      <c r="X64" s="13"/>
      <c r="Y64" s="13"/>
      <c r="Z64" s="13"/>
    </row>
    <row r="65" spans="1:26" ht="19.899999999999999" customHeight="1" x14ac:dyDescent="0.25">
      <c r="A65" s="33" t="s">
        <v>144</v>
      </c>
      <c r="B65" s="59" t="s">
        <v>304</v>
      </c>
      <c r="C65" s="32" t="s">
        <v>64</v>
      </c>
      <c r="D65" s="33" t="s">
        <v>305</v>
      </c>
      <c r="E65" s="41" t="s">
        <v>306</v>
      </c>
      <c r="F65" s="34" t="s">
        <v>65</v>
      </c>
      <c r="G65" s="32" t="s">
        <v>16</v>
      </c>
      <c r="H65" s="33" t="s">
        <v>16</v>
      </c>
      <c r="I65" s="46" t="s">
        <v>16</v>
      </c>
      <c r="J65" s="33" t="s">
        <v>19</v>
      </c>
      <c r="K65" s="46" t="s">
        <v>23</v>
      </c>
      <c r="L65" s="41" t="s">
        <v>16</v>
      </c>
      <c r="M65" s="47" t="s">
        <v>145</v>
      </c>
      <c r="N65" s="46" t="s">
        <v>16</v>
      </c>
      <c r="O65" s="32" t="s">
        <v>16</v>
      </c>
      <c r="P65" s="33" t="s">
        <v>16</v>
      </c>
      <c r="Q65" s="46" t="s">
        <v>57</v>
      </c>
      <c r="R65" s="32" t="s">
        <v>16</v>
      </c>
      <c r="S65" s="33" t="s">
        <v>17</v>
      </c>
      <c r="T65" s="34" t="s">
        <v>36</v>
      </c>
      <c r="U65" s="13"/>
      <c r="V65" s="13"/>
      <c r="W65" s="13"/>
      <c r="X65" s="13"/>
      <c r="Y65" s="13"/>
      <c r="Z65" s="13"/>
    </row>
    <row r="66" spans="1:26" ht="19.899999999999999" customHeight="1" x14ac:dyDescent="0.25">
      <c r="A66" s="31" t="s">
        <v>307</v>
      </c>
      <c r="B66" s="85" t="s">
        <v>200</v>
      </c>
      <c r="C66" s="32" t="s">
        <v>64</v>
      </c>
      <c r="D66" s="33" t="s">
        <v>201</v>
      </c>
      <c r="E66" s="129" t="s">
        <v>202</v>
      </c>
      <c r="F66" s="35" t="s">
        <v>16</v>
      </c>
      <c r="G66" s="35" t="s">
        <v>16</v>
      </c>
      <c r="H66" s="35" t="s">
        <v>16</v>
      </c>
      <c r="I66" s="35" t="s">
        <v>16</v>
      </c>
      <c r="J66" s="38" t="s">
        <v>19</v>
      </c>
      <c r="K66" s="40" t="s">
        <v>15</v>
      </c>
      <c r="L66" s="35" t="s">
        <v>16</v>
      </c>
      <c r="M66" s="129" t="s">
        <v>92</v>
      </c>
      <c r="N66" s="35" t="s">
        <v>16</v>
      </c>
      <c r="O66" s="35" t="s">
        <v>16</v>
      </c>
      <c r="P66" s="35" t="s">
        <v>16</v>
      </c>
      <c r="Q66" s="35" t="s">
        <v>16</v>
      </c>
      <c r="R66" s="35" t="s">
        <v>16</v>
      </c>
      <c r="S66" s="33" t="s">
        <v>17</v>
      </c>
      <c r="T66" s="35" t="s">
        <v>16</v>
      </c>
      <c r="U66" s="13"/>
      <c r="V66" s="13"/>
      <c r="W66" s="13"/>
      <c r="X66" s="13"/>
      <c r="Y66" s="13"/>
      <c r="Z66" s="13"/>
    </row>
    <row r="67" spans="1:26" ht="19.899999999999999" customHeight="1" x14ac:dyDescent="0.25">
      <c r="A67" s="38" t="s">
        <v>146</v>
      </c>
      <c r="B67" s="66" t="s">
        <v>70</v>
      </c>
      <c r="C67" s="32" t="s">
        <v>64</v>
      </c>
      <c r="D67" s="38" t="s">
        <v>71</v>
      </c>
      <c r="E67" s="42" t="s">
        <v>308</v>
      </c>
      <c r="F67" s="44" t="s">
        <v>147</v>
      </c>
      <c r="G67" s="39" t="s">
        <v>16</v>
      </c>
      <c r="H67" s="38" t="s">
        <v>16</v>
      </c>
      <c r="I67" s="40" t="s">
        <v>47</v>
      </c>
      <c r="J67" s="38" t="s">
        <v>21</v>
      </c>
      <c r="K67" s="40" t="s">
        <v>16</v>
      </c>
      <c r="L67" s="39" t="s">
        <v>16</v>
      </c>
      <c r="M67" s="38" t="s">
        <v>16</v>
      </c>
      <c r="N67" s="40" t="s">
        <v>16</v>
      </c>
      <c r="O67" s="39" t="s">
        <v>16</v>
      </c>
      <c r="P67" s="38" t="s">
        <v>16</v>
      </c>
      <c r="Q67" s="40" t="s">
        <v>16</v>
      </c>
      <c r="R67" s="39" t="s">
        <v>34</v>
      </c>
      <c r="S67" s="38" t="s">
        <v>55</v>
      </c>
      <c r="T67" s="44" t="s">
        <v>36</v>
      </c>
      <c r="U67" s="13"/>
      <c r="V67" s="13"/>
      <c r="W67" s="13"/>
      <c r="X67" s="13"/>
      <c r="Y67" s="13"/>
      <c r="Z67" s="13"/>
    </row>
    <row r="68" spans="1:26" ht="19.899999999999999" customHeight="1" x14ac:dyDescent="0.25">
      <c r="A68" s="38" t="s">
        <v>148</v>
      </c>
      <c r="B68" s="59" t="s">
        <v>171</v>
      </c>
      <c r="C68" s="32" t="s">
        <v>64</v>
      </c>
      <c r="D68" s="38" t="s">
        <v>172</v>
      </c>
      <c r="E68" s="42" t="s">
        <v>309</v>
      </c>
      <c r="F68" s="40" t="s">
        <v>16</v>
      </c>
      <c r="G68" s="39" t="s">
        <v>16</v>
      </c>
      <c r="H68" s="38" t="s">
        <v>16</v>
      </c>
      <c r="I68" s="40" t="s">
        <v>16</v>
      </c>
      <c r="J68" s="38" t="s">
        <v>21</v>
      </c>
      <c r="K68" s="40" t="s">
        <v>16</v>
      </c>
      <c r="L68" s="39" t="s">
        <v>16</v>
      </c>
      <c r="M68" s="38" t="s">
        <v>16</v>
      </c>
      <c r="N68" s="40" t="s">
        <v>16</v>
      </c>
      <c r="O68" s="39" t="s">
        <v>16</v>
      </c>
      <c r="P68" s="38" t="s">
        <v>16</v>
      </c>
      <c r="Q68" s="40" t="s">
        <v>16</v>
      </c>
      <c r="R68" s="39" t="s">
        <v>34</v>
      </c>
      <c r="S68" s="38" t="s">
        <v>35</v>
      </c>
      <c r="T68" s="44" t="s">
        <v>36</v>
      </c>
      <c r="U68" s="13"/>
      <c r="V68" s="13"/>
      <c r="W68" s="13"/>
      <c r="X68" s="13"/>
      <c r="Y68" s="13"/>
      <c r="Z68" s="13"/>
    </row>
    <row r="69" spans="1:26" ht="19.899999999999999" customHeight="1" x14ac:dyDescent="0.25">
      <c r="A69" s="38" t="s">
        <v>149</v>
      </c>
      <c r="B69" s="53" t="s">
        <v>18</v>
      </c>
      <c r="C69" s="32" t="s">
        <v>150</v>
      </c>
      <c r="D69" s="52" t="s">
        <v>27</v>
      </c>
      <c r="E69" s="42" t="s">
        <v>151</v>
      </c>
      <c r="F69" s="40" t="s">
        <v>16</v>
      </c>
      <c r="G69" s="39" t="s">
        <v>16</v>
      </c>
      <c r="H69" s="38" t="s">
        <v>16</v>
      </c>
      <c r="I69" s="40" t="s">
        <v>16</v>
      </c>
      <c r="J69" s="38" t="s">
        <v>21</v>
      </c>
      <c r="K69" s="40" t="s">
        <v>16</v>
      </c>
      <c r="L69" s="39" t="s">
        <v>16</v>
      </c>
      <c r="M69" s="38" t="s">
        <v>16</v>
      </c>
      <c r="N69" s="40" t="s">
        <v>16</v>
      </c>
      <c r="O69" s="39" t="s">
        <v>16</v>
      </c>
      <c r="P69" s="38" t="s">
        <v>16</v>
      </c>
      <c r="Q69" s="40" t="s">
        <v>16</v>
      </c>
      <c r="R69" s="39" t="s">
        <v>34</v>
      </c>
      <c r="S69" s="38" t="s">
        <v>55</v>
      </c>
      <c r="T69" s="44" t="s">
        <v>36</v>
      </c>
      <c r="U69" s="13"/>
      <c r="V69" s="13"/>
      <c r="W69" s="13"/>
      <c r="X69" s="13"/>
      <c r="Y69" s="13"/>
      <c r="Z69" s="13"/>
    </row>
    <row r="70" spans="1:26" ht="19.899999999999999" customHeight="1" x14ac:dyDescent="0.25">
      <c r="A70" s="38" t="s">
        <v>152</v>
      </c>
      <c r="B70" s="79" t="s">
        <v>298</v>
      </c>
      <c r="C70" s="32" t="s">
        <v>84</v>
      </c>
      <c r="D70" s="33" t="s">
        <v>299</v>
      </c>
      <c r="E70" s="42" t="s">
        <v>1483</v>
      </c>
      <c r="F70" s="40" t="s">
        <v>45</v>
      </c>
      <c r="G70" s="39" t="s">
        <v>16</v>
      </c>
      <c r="H70" s="38" t="s">
        <v>16</v>
      </c>
      <c r="I70" s="40" t="s">
        <v>16</v>
      </c>
      <c r="J70" s="38" t="s">
        <v>22</v>
      </c>
      <c r="K70" s="40" t="s">
        <v>16</v>
      </c>
      <c r="L70" s="39" t="s">
        <v>16</v>
      </c>
      <c r="M70" s="38" t="s">
        <v>16</v>
      </c>
      <c r="N70" s="40" t="s">
        <v>16</v>
      </c>
      <c r="O70" s="39" t="s">
        <v>16</v>
      </c>
      <c r="P70" s="38" t="s">
        <v>16</v>
      </c>
      <c r="Q70" s="40" t="s">
        <v>16</v>
      </c>
      <c r="R70" s="39" t="s">
        <v>34</v>
      </c>
      <c r="S70" s="38" t="s">
        <v>55</v>
      </c>
      <c r="T70" s="44" t="s">
        <v>36</v>
      </c>
      <c r="U70" s="13"/>
      <c r="V70" s="13"/>
      <c r="W70" s="13"/>
      <c r="X70" s="13"/>
      <c r="Y70" s="13"/>
      <c r="Z70" s="13"/>
    </row>
    <row r="71" spans="1:26" ht="19.899999999999999" customHeight="1" x14ac:dyDescent="0.25">
      <c r="A71" s="38" t="s">
        <v>153</v>
      </c>
      <c r="B71" s="59" t="s">
        <v>171</v>
      </c>
      <c r="C71" s="32" t="s">
        <v>64</v>
      </c>
      <c r="D71" s="38" t="s">
        <v>172</v>
      </c>
      <c r="E71" s="42" t="s">
        <v>1481</v>
      </c>
      <c r="F71" s="40" t="s">
        <v>16</v>
      </c>
      <c r="G71" s="39" t="s">
        <v>16</v>
      </c>
      <c r="H71" s="38" t="s">
        <v>16</v>
      </c>
      <c r="I71" s="40" t="s">
        <v>16</v>
      </c>
      <c r="J71" s="38" t="s">
        <v>22</v>
      </c>
      <c r="K71" s="40" t="s">
        <v>16</v>
      </c>
      <c r="L71" s="39" t="s">
        <v>16</v>
      </c>
      <c r="M71" s="38" t="s">
        <v>16</v>
      </c>
      <c r="N71" s="40" t="s">
        <v>16</v>
      </c>
      <c r="O71" s="39" t="s">
        <v>16</v>
      </c>
      <c r="P71" s="38" t="s">
        <v>16</v>
      </c>
      <c r="Q71" s="40" t="s">
        <v>16</v>
      </c>
      <c r="R71" s="39" t="s">
        <v>34</v>
      </c>
      <c r="S71" s="38" t="s">
        <v>35</v>
      </c>
      <c r="T71" s="44" t="s">
        <v>36</v>
      </c>
      <c r="U71" s="13"/>
      <c r="V71" s="13"/>
      <c r="W71" s="13"/>
      <c r="X71" s="13"/>
      <c r="Y71" s="13"/>
      <c r="Z71" s="13"/>
    </row>
    <row r="72" spans="1:26" ht="19.899999999999999" customHeight="1" x14ac:dyDescent="0.25">
      <c r="A72" s="38" t="s">
        <v>154</v>
      </c>
      <c r="B72" s="55" t="s">
        <v>70</v>
      </c>
      <c r="C72" s="32" t="s">
        <v>64</v>
      </c>
      <c r="D72" s="33" t="s">
        <v>71</v>
      </c>
      <c r="E72" s="42" t="s">
        <v>310</v>
      </c>
      <c r="F72" s="40" t="s">
        <v>16</v>
      </c>
      <c r="G72" s="39" t="s">
        <v>16</v>
      </c>
      <c r="H72" s="38" t="s">
        <v>16</v>
      </c>
      <c r="I72" s="40" t="s">
        <v>16</v>
      </c>
      <c r="J72" s="38" t="s">
        <v>22</v>
      </c>
      <c r="K72" s="40" t="s">
        <v>16</v>
      </c>
      <c r="L72" s="39" t="s">
        <v>16</v>
      </c>
      <c r="M72" s="38" t="s">
        <v>16</v>
      </c>
      <c r="N72" s="40" t="s">
        <v>16</v>
      </c>
      <c r="O72" s="39" t="s">
        <v>16</v>
      </c>
      <c r="P72" s="38" t="s">
        <v>16</v>
      </c>
      <c r="Q72" s="40" t="s">
        <v>16</v>
      </c>
      <c r="R72" s="39" t="s">
        <v>34</v>
      </c>
      <c r="S72" s="38" t="s">
        <v>35</v>
      </c>
      <c r="T72" s="44" t="s">
        <v>36</v>
      </c>
      <c r="U72" s="13"/>
      <c r="V72" s="13"/>
      <c r="W72" s="13"/>
      <c r="X72" s="13"/>
      <c r="Y72" s="13"/>
      <c r="Z72" s="13"/>
    </row>
    <row r="73" spans="1:26" ht="19.899999999999999" customHeight="1" x14ac:dyDescent="0.25">
      <c r="A73" s="38" t="s">
        <v>155</v>
      </c>
      <c r="B73" s="58" t="s">
        <v>156</v>
      </c>
      <c r="C73" s="32" t="s">
        <v>64</v>
      </c>
      <c r="D73" s="38" t="s">
        <v>157</v>
      </c>
      <c r="E73" s="42" t="s">
        <v>158</v>
      </c>
      <c r="F73" s="40" t="s">
        <v>45</v>
      </c>
      <c r="G73" s="39" t="s">
        <v>16</v>
      </c>
      <c r="H73" s="38" t="s">
        <v>16</v>
      </c>
      <c r="I73" s="40" t="s">
        <v>16</v>
      </c>
      <c r="J73" s="38" t="s">
        <v>22</v>
      </c>
      <c r="K73" s="40" t="s">
        <v>16</v>
      </c>
      <c r="L73" s="39" t="s">
        <v>16</v>
      </c>
      <c r="M73" s="38" t="s">
        <v>16</v>
      </c>
      <c r="N73" s="40" t="s">
        <v>16</v>
      </c>
      <c r="O73" s="39" t="s">
        <v>16</v>
      </c>
      <c r="P73" s="38" t="s">
        <v>16</v>
      </c>
      <c r="Q73" s="40" t="s">
        <v>16</v>
      </c>
      <c r="R73" s="39" t="s">
        <v>34</v>
      </c>
      <c r="S73" s="38" t="s">
        <v>35</v>
      </c>
      <c r="T73" s="44" t="s">
        <v>36</v>
      </c>
      <c r="U73" s="13"/>
      <c r="V73" s="13"/>
      <c r="W73" s="13"/>
      <c r="X73" s="13"/>
      <c r="Y73" s="13"/>
      <c r="Z73" s="13"/>
    </row>
    <row r="74" spans="1:26" ht="19.899999999999999" customHeight="1" x14ac:dyDescent="0.25">
      <c r="A74" s="38" t="s">
        <v>159</v>
      </c>
      <c r="B74" s="54" t="s">
        <v>70</v>
      </c>
      <c r="C74" s="51" t="s">
        <v>64</v>
      </c>
      <c r="D74" s="38" t="s">
        <v>71</v>
      </c>
      <c r="E74" s="42" t="s">
        <v>160</v>
      </c>
      <c r="F74" s="44" t="s">
        <v>122</v>
      </c>
      <c r="G74" s="39" t="s">
        <v>16</v>
      </c>
      <c r="H74" s="38" t="s">
        <v>16</v>
      </c>
      <c r="I74" s="40" t="s">
        <v>16</v>
      </c>
      <c r="J74" s="38" t="s">
        <v>25</v>
      </c>
      <c r="K74" s="40" t="s">
        <v>16</v>
      </c>
      <c r="L74" s="39" t="s">
        <v>16</v>
      </c>
      <c r="M74" s="38" t="s">
        <v>16</v>
      </c>
      <c r="N74" s="40" t="s">
        <v>16</v>
      </c>
      <c r="O74" s="42" t="s">
        <v>160</v>
      </c>
      <c r="P74" s="38" t="s">
        <v>16</v>
      </c>
      <c r="Q74" s="40" t="s">
        <v>16</v>
      </c>
      <c r="R74" s="39" t="s">
        <v>34</v>
      </c>
      <c r="S74" s="38" t="s">
        <v>35</v>
      </c>
      <c r="T74" s="44" t="s">
        <v>36</v>
      </c>
      <c r="U74" s="13"/>
      <c r="V74" s="13"/>
      <c r="W74" s="13"/>
      <c r="X74" s="13"/>
      <c r="Y74" s="13"/>
      <c r="Z74" s="13"/>
    </row>
    <row r="75" spans="1:26" ht="19.899999999999999" customHeight="1" x14ac:dyDescent="0.25">
      <c r="A75" s="38" t="s">
        <v>161</v>
      </c>
      <c r="B75" s="70" t="s">
        <v>70</v>
      </c>
      <c r="C75" s="51" t="s">
        <v>64</v>
      </c>
      <c r="D75" s="38" t="s">
        <v>71</v>
      </c>
      <c r="E75" s="42" t="s">
        <v>162</v>
      </c>
      <c r="F75" s="44" t="s">
        <v>122</v>
      </c>
      <c r="G75" s="39" t="s">
        <v>16</v>
      </c>
      <c r="H75" s="38" t="s">
        <v>16</v>
      </c>
      <c r="I75" s="40" t="s">
        <v>16</v>
      </c>
      <c r="J75" s="38" t="s">
        <v>25</v>
      </c>
      <c r="K75" s="40" t="s">
        <v>16</v>
      </c>
      <c r="L75" s="39" t="s">
        <v>16</v>
      </c>
      <c r="M75" s="38" t="s">
        <v>16</v>
      </c>
      <c r="N75" s="40" t="s">
        <v>16</v>
      </c>
      <c r="O75" s="42" t="s">
        <v>163</v>
      </c>
      <c r="P75" s="38" t="s">
        <v>16</v>
      </c>
      <c r="Q75" s="40" t="s">
        <v>16</v>
      </c>
      <c r="R75" s="39" t="s">
        <v>34</v>
      </c>
      <c r="S75" s="38" t="s">
        <v>55</v>
      </c>
      <c r="T75" s="44" t="s">
        <v>36</v>
      </c>
      <c r="U75" s="13"/>
      <c r="V75" s="13"/>
      <c r="W75" s="13"/>
      <c r="X75" s="13"/>
      <c r="Y75" s="13"/>
      <c r="Z75" s="13"/>
    </row>
    <row r="76" spans="1:26" ht="19.899999999999999" customHeight="1" x14ac:dyDescent="0.25">
      <c r="A76" s="38" t="s">
        <v>164</v>
      </c>
      <c r="B76" s="53" t="s">
        <v>70</v>
      </c>
      <c r="C76" s="51" t="s">
        <v>64</v>
      </c>
      <c r="D76" s="38" t="s">
        <v>71</v>
      </c>
      <c r="E76" s="42" t="s">
        <v>165</v>
      </c>
      <c r="F76" s="44" t="s">
        <v>122</v>
      </c>
      <c r="G76" s="39" t="s">
        <v>16</v>
      </c>
      <c r="H76" s="38" t="s">
        <v>16</v>
      </c>
      <c r="I76" s="40" t="s">
        <v>16</v>
      </c>
      <c r="J76" s="38" t="s">
        <v>25</v>
      </c>
      <c r="K76" s="40" t="s">
        <v>16</v>
      </c>
      <c r="L76" s="39" t="s">
        <v>16</v>
      </c>
      <c r="M76" s="38" t="s">
        <v>16</v>
      </c>
      <c r="N76" s="40" t="s">
        <v>16</v>
      </c>
      <c r="O76" s="42" t="s">
        <v>166</v>
      </c>
      <c r="P76" s="38" t="s">
        <v>16</v>
      </c>
      <c r="Q76" s="40" t="s">
        <v>16</v>
      </c>
      <c r="R76" s="39" t="s">
        <v>34</v>
      </c>
      <c r="S76" s="38" t="s">
        <v>35</v>
      </c>
      <c r="T76" s="44" t="s">
        <v>36</v>
      </c>
      <c r="U76" s="13"/>
      <c r="V76" s="13"/>
      <c r="W76" s="13"/>
      <c r="X76" s="13"/>
      <c r="Y76" s="13"/>
      <c r="Z76" s="13"/>
    </row>
    <row r="77" spans="1:26" ht="19.899999999999999" customHeight="1" x14ac:dyDescent="0.25">
      <c r="A77" s="38" t="s">
        <v>167</v>
      </c>
      <c r="B77" s="53" t="s">
        <v>70</v>
      </c>
      <c r="C77" s="51" t="s">
        <v>64</v>
      </c>
      <c r="D77" s="38" t="s">
        <v>71</v>
      </c>
      <c r="E77" s="42" t="s">
        <v>168</v>
      </c>
      <c r="F77" s="40" t="s">
        <v>45</v>
      </c>
      <c r="G77" s="39" t="s">
        <v>16</v>
      </c>
      <c r="H77" s="38" t="s">
        <v>16</v>
      </c>
      <c r="I77" s="40" t="s">
        <v>16</v>
      </c>
      <c r="J77" s="38" t="s">
        <v>28</v>
      </c>
      <c r="K77" s="40" t="s">
        <v>16</v>
      </c>
      <c r="L77" s="39" t="s">
        <v>16</v>
      </c>
      <c r="M77" s="38" t="s">
        <v>16</v>
      </c>
      <c r="N77" s="40" t="s">
        <v>16</v>
      </c>
      <c r="O77" s="42" t="s">
        <v>169</v>
      </c>
      <c r="P77" s="38" t="s">
        <v>16</v>
      </c>
      <c r="Q77" s="40" t="s">
        <v>16</v>
      </c>
      <c r="R77" s="39" t="s">
        <v>34</v>
      </c>
      <c r="S77" s="38" t="s">
        <v>35</v>
      </c>
      <c r="T77" s="44" t="s">
        <v>36</v>
      </c>
      <c r="U77" s="13"/>
      <c r="V77" s="13"/>
      <c r="W77" s="13"/>
      <c r="X77" s="13"/>
      <c r="Y77" s="13"/>
      <c r="Z77" s="13"/>
    </row>
    <row r="78" spans="1:26" ht="19.899999999999999" customHeight="1" x14ac:dyDescent="0.25">
      <c r="A78" s="38" t="s">
        <v>170</v>
      </c>
      <c r="B78" s="59" t="s">
        <v>171</v>
      </c>
      <c r="C78" s="32" t="s">
        <v>64</v>
      </c>
      <c r="D78" s="38" t="s">
        <v>172</v>
      </c>
      <c r="E78" s="42" t="s">
        <v>30</v>
      </c>
      <c r="F78" s="40" t="s">
        <v>45</v>
      </c>
      <c r="G78" s="39" t="s">
        <v>16</v>
      </c>
      <c r="H78" s="38" t="s">
        <v>16</v>
      </c>
      <c r="I78" s="40" t="s">
        <v>16</v>
      </c>
      <c r="J78" s="38" t="s">
        <v>28</v>
      </c>
      <c r="K78" s="40" t="s">
        <v>16</v>
      </c>
      <c r="L78" s="39" t="s">
        <v>16</v>
      </c>
      <c r="M78" s="38" t="s">
        <v>16</v>
      </c>
      <c r="N78" s="40" t="s">
        <v>16</v>
      </c>
      <c r="O78" s="42" t="s">
        <v>31</v>
      </c>
      <c r="P78" s="38" t="s">
        <v>16</v>
      </c>
      <c r="Q78" s="40" t="s">
        <v>16</v>
      </c>
      <c r="R78" s="39" t="s">
        <v>34</v>
      </c>
      <c r="S78" s="38" t="s">
        <v>55</v>
      </c>
      <c r="T78" s="44" t="s">
        <v>36</v>
      </c>
      <c r="U78" s="13"/>
      <c r="V78" s="13"/>
      <c r="W78" s="13"/>
      <c r="X78" s="13"/>
      <c r="Y78" s="13"/>
      <c r="Z78" s="13"/>
    </row>
    <row r="79" spans="1:26" ht="19.899999999999999" customHeight="1" x14ac:dyDescent="0.25">
      <c r="A79" s="60" t="s">
        <v>173</v>
      </c>
      <c r="B79" s="59" t="s">
        <v>171</v>
      </c>
      <c r="C79" s="61" t="s">
        <v>64</v>
      </c>
      <c r="D79" s="38" t="s">
        <v>172</v>
      </c>
      <c r="E79" s="42" t="s">
        <v>224</v>
      </c>
      <c r="F79" s="40" t="s">
        <v>45</v>
      </c>
      <c r="G79" s="39" t="s">
        <v>16</v>
      </c>
      <c r="H79" s="38" t="s">
        <v>16</v>
      </c>
      <c r="I79" s="40" t="s">
        <v>16</v>
      </c>
      <c r="J79" s="38" t="s">
        <v>28</v>
      </c>
      <c r="K79" s="40" t="s">
        <v>16</v>
      </c>
      <c r="L79" s="39" t="s">
        <v>16</v>
      </c>
      <c r="M79" s="38" t="s">
        <v>16</v>
      </c>
      <c r="N79" s="40" t="s">
        <v>16</v>
      </c>
      <c r="O79" s="42" t="s">
        <v>1479</v>
      </c>
      <c r="P79" s="38" t="s">
        <v>16</v>
      </c>
      <c r="Q79" s="40" t="s">
        <v>16</v>
      </c>
      <c r="R79" s="39" t="s">
        <v>34</v>
      </c>
      <c r="S79" s="38" t="s">
        <v>35</v>
      </c>
      <c r="T79" s="44" t="s">
        <v>36</v>
      </c>
      <c r="U79" s="13"/>
      <c r="V79" s="13"/>
      <c r="W79" s="13"/>
      <c r="X79" s="13"/>
      <c r="Y79" s="13"/>
      <c r="Z79" s="13"/>
    </row>
    <row r="80" spans="1:26" ht="19.899999999999999" customHeight="1" x14ac:dyDescent="0.25">
      <c r="A80" s="38" t="s">
        <v>175</v>
      </c>
      <c r="B80" s="138" t="s">
        <v>70</v>
      </c>
      <c r="C80" s="51" t="s">
        <v>64</v>
      </c>
      <c r="D80" s="38" t="s">
        <v>71</v>
      </c>
      <c r="E80" s="42" t="s">
        <v>1480</v>
      </c>
      <c r="F80" s="40" t="s">
        <v>45</v>
      </c>
      <c r="G80" s="39" t="s">
        <v>16</v>
      </c>
      <c r="H80" s="38" t="s">
        <v>16</v>
      </c>
      <c r="I80" s="40" t="s">
        <v>16</v>
      </c>
      <c r="J80" s="38" t="s">
        <v>28</v>
      </c>
      <c r="K80" s="40" t="s">
        <v>16</v>
      </c>
      <c r="L80" s="39" t="s">
        <v>16</v>
      </c>
      <c r="M80" s="38" t="s">
        <v>16</v>
      </c>
      <c r="N80" s="40" t="s">
        <v>16</v>
      </c>
      <c r="O80" s="42" t="s">
        <v>176</v>
      </c>
      <c r="P80" s="38" t="s">
        <v>16</v>
      </c>
      <c r="Q80" s="40" t="s">
        <v>16</v>
      </c>
      <c r="R80" s="39" t="s">
        <v>34</v>
      </c>
      <c r="S80" s="38" t="s">
        <v>55</v>
      </c>
      <c r="T80" s="44" t="s">
        <v>36</v>
      </c>
      <c r="U80" s="13"/>
      <c r="V80" s="13"/>
      <c r="W80" s="13"/>
      <c r="X80" s="13"/>
      <c r="Y80" s="13"/>
      <c r="Z80" s="13"/>
    </row>
    <row r="81" spans="1:27" ht="19.899999999999999" customHeight="1" x14ac:dyDescent="0.25">
      <c r="A81" s="60" t="s">
        <v>177</v>
      </c>
      <c r="B81" s="62" t="s">
        <v>171</v>
      </c>
      <c r="C81" s="63" t="s">
        <v>64</v>
      </c>
      <c r="D81" s="38" t="s">
        <v>172</v>
      </c>
      <c r="E81" s="42" t="s">
        <v>311</v>
      </c>
      <c r="F81" s="44" t="s">
        <v>122</v>
      </c>
      <c r="G81" s="39" t="s">
        <v>16</v>
      </c>
      <c r="H81" s="38" t="s">
        <v>16</v>
      </c>
      <c r="I81" s="40" t="s">
        <v>16</v>
      </c>
      <c r="J81" s="38" t="s">
        <v>19</v>
      </c>
      <c r="K81" s="40" t="s">
        <v>16</v>
      </c>
      <c r="L81" s="39" t="s">
        <v>16</v>
      </c>
      <c r="M81" s="38" t="s">
        <v>16</v>
      </c>
      <c r="N81" s="40" t="s">
        <v>16</v>
      </c>
      <c r="O81" s="42" t="s">
        <v>16</v>
      </c>
      <c r="P81" s="38" t="s">
        <v>16</v>
      </c>
      <c r="Q81" s="40" t="s">
        <v>16</v>
      </c>
      <c r="R81" s="39" t="s">
        <v>34</v>
      </c>
      <c r="S81" s="38" t="s">
        <v>55</v>
      </c>
      <c r="T81" s="44" t="s">
        <v>36</v>
      </c>
      <c r="U81" s="13"/>
      <c r="V81" s="13"/>
      <c r="W81" s="13"/>
      <c r="X81" s="13"/>
      <c r="Y81" s="13"/>
      <c r="Z81" s="13"/>
    </row>
    <row r="82" spans="1:27" ht="19.899999999999999" customHeight="1" x14ac:dyDescent="0.25">
      <c r="A82" s="60" t="s">
        <v>178</v>
      </c>
      <c r="B82" s="64" t="s">
        <v>171</v>
      </c>
      <c r="C82" s="63" t="s">
        <v>64</v>
      </c>
      <c r="D82" s="38" t="s">
        <v>172</v>
      </c>
      <c r="E82" s="42" t="s">
        <v>312</v>
      </c>
      <c r="F82" s="40" t="s">
        <v>16</v>
      </c>
      <c r="G82" s="39" t="s">
        <v>16</v>
      </c>
      <c r="H82" s="38" t="s">
        <v>16</v>
      </c>
      <c r="I82" s="40" t="s">
        <v>16</v>
      </c>
      <c r="J82" s="38" t="s">
        <v>19</v>
      </c>
      <c r="K82" s="40" t="s">
        <v>16</v>
      </c>
      <c r="L82" s="39" t="s">
        <v>16</v>
      </c>
      <c r="M82" s="38" t="s">
        <v>16</v>
      </c>
      <c r="N82" s="40" t="s">
        <v>16</v>
      </c>
      <c r="O82" s="39" t="s">
        <v>16</v>
      </c>
      <c r="P82" s="38" t="s">
        <v>16</v>
      </c>
      <c r="Q82" s="40" t="s">
        <v>16</v>
      </c>
      <c r="R82" s="39" t="s">
        <v>34</v>
      </c>
      <c r="S82" s="38" t="s">
        <v>35</v>
      </c>
      <c r="T82" s="44" t="s">
        <v>36</v>
      </c>
      <c r="U82" s="13"/>
      <c r="V82" s="13"/>
      <c r="W82" s="13"/>
      <c r="X82" s="13"/>
      <c r="Y82" s="13"/>
      <c r="Z82" s="13"/>
    </row>
    <row r="83" spans="1:27" ht="19.899999999999999" customHeight="1" x14ac:dyDescent="0.25">
      <c r="A83" s="60" t="s">
        <v>179</v>
      </c>
      <c r="B83" s="62" t="s">
        <v>171</v>
      </c>
      <c r="C83" s="63" t="s">
        <v>64</v>
      </c>
      <c r="D83" s="38" t="s">
        <v>172</v>
      </c>
      <c r="E83" s="42" t="s">
        <v>313</v>
      </c>
      <c r="F83" s="44" t="s">
        <v>122</v>
      </c>
      <c r="G83" s="39" t="s">
        <v>16</v>
      </c>
      <c r="H83" s="38" t="s">
        <v>16</v>
      </c>
      <c r="I83" s="40" t="s">
        <v>16</v>
      </c>
      <c r="J83" s="38" t="s">
        <v>14</v>
      </c>
      <c r="K83" s="40" t="s">
        <v>16</v>
      </c>
      <c r="L83" s="39" t="s">
        <v>16</v>
      </c>
      <c r="M83" s="38" t="s">
        <v>16</v>
      </c>
      <c r="N83" s="40" t="s">
        <v>16</v>
      </c>
      <c r="O83" s="42" t="s">
        <v>16</v>
      </c>
      <c r="P83" s="38" t="s">
        <v>16</v>
      </c>
      <c r="Q83" s="40" t="s">
        <v>16</v>
      </c>
      <c r="R83" s="39" t="s">
        <v>34</v>
      </c>
      <c r="S83" s="38" t="s">
        <v>35</v>
      </c>
      <c r="T83" s="44" t="s">
        <v>36</v>
      </c>
      <c r="U83" s="13"/>
      <c r="V83" s="13"/>
      <c r="W83" s="13"/>
      <c r="X83" s="13"/>
      <c r="Y83" s="13"/>
      <c r="Z83" s="13"/>
    </row>
    <row r="84" spans="1:27" ht="19.899999999999999" customHeight="1" x14ac:dyDescent="0.25">
      <c r="A84" s="60" t="s">
        <v>180</v>
      </c>
      <c r="B84" s="64" t="s">
        <v>171</v>
      </c>
      <c r="C84" s="63" t="s">
        <v>64</v>
      </c>
      <c r="D84" s="38" t="s">
        <v>172</v>
      </c>
      <c r="E84" s="42" t="s">
        <v>314</v>
      </c>
      <c r="F84" s="44" t="s">
        <v>122</v>
      </c>
      <c r="G84" s="39" t="s">
        <v>16</v>
      </c>
      <c r="H84" s="38" t="s">
        <v>16</v>
      </c>
      <c r="I84" s="40" t="s">
        <v>16</v>
      </c>
      <c r="J84" s="38" t="s">
        <v>14</v>
      </c>
      <c r="K84" s="40" t="s">
        <v>16</v>
      </c>
      <c r="L84" s="39" t="s">
        <v>16</v>
      </c>
      <c r="M84" s="38" t="s">
        <v>16</v>
      </c>
      <c r="N84" s="40" t="s">
        <v>16</v>
      </c>
      <c r="O84" s="42" t="s">
        <v>16</v>
      </c>
      <c r="P84" s="38" t="s">
        <v>16</v>
      </c>
      <c r="Q84" s="40" t="s">
        <v>16</v>
      </c>
      <c r="R84" s="39" t="s">
        <v>34</v>
      </c>
      <c r="S84" s="38" t="s">
        <v>55</v>
      </c>
      <c r="T84" s="44" t="s">
        <v>36</v>
      </c>
      <c r="U84" s="13"/>
      <c r="V84" s="13"/>
      <c r="W84" s="13"/>
      <c r="X84" s="13"/>
      <c r="Y84" s="13"/>
      <c r="Z84" s="13"/>
    </row>
    <row r="85" spans="1:27" ht="19.899999999999999" customHeight="1" x14ac:dyDescent="0.25">
      <c r="A85" s="60" t="s">
        <v>181</v>
      </c>
      <c r="B85" s="66" t="s">
        <v>70</v>
      </c>
      <c r="C85" s="32" t="s">
        <v>64</v>
      </c>
      <c r="D85" s="38" t="s">
        <v>71</v>
      </c>
      <c r="E85" s="42" t="s">
        <v>1482</v>
      </c>
      <c r="F85" s="40" t="s">
        <v>45</v>
      </c>
      <c r="G85" s="39" t="s">
        <v>16</v>
      </c>
      <c r="H85" s="38" t="s">
        <v>16</v>
      </c>
      <c r="I85" s="40" t="s">
        <v>16</v>
      </c>
      <c r="J85" s="38" t="s">
        <v>73</v>
      </c>
      <c r="K85" s="40" t="s">
        <v>16</v>
      </c>
      <c r="L85" s="39" t="s">
        <v>16</v>
      </c>
      <c r="M85" s="38" t="s">
        <v>16</v>
      </c>
      <c r="N85" s="40" t="s">
        <v>16</v>
      </c>
      <c r="O85" s="39" t="s">
        <v>16</v>
      </c>
      <c r="P85" s="38" t="s">
        <v>16</v>
      </c>
      <c r="Q85" s="40" t="s">
        <v>16</v>
      </c>
      <c r="R85" s="39" t="s">
        <v>16</v>
      </c>
      <c r="S85" s="38" t="s">
        <v>35</v>
      </c>
      <c r="T85" s="44" t="s">
        <v>36</v>
      </c>
      <c r="U85" s="13"/>
      <c r="V85" s="13"/>
      <c r="W85" s="13"/>
      <c r="X85" s="13"/>
      <c r="Y85" s="13"/>
      <c r="Z85" s="13"/>
    </row>
    <row r="86" spans="1:27" ht="19.899999999999999" customHeight="1" x14ac:dyDescent="0.25">
      <c r="A86" s="38" t="s">
        <v>182</v>
      </c>
      <c r="B86" s="71" t="s">
        <v>183</v>
      </c>
      <c r="C86" s="35" t="s">
        <v>184</v>
      </c>
      <c r="D86" s="33" t="s">
        <v>185</v>
      </c>
      <c r="E86" s="42" t="s">
        <v>186</v>
      </c>
      <c r="F86" s="44" t="s">
        <v>122</v>
      </c>
      <c r="G86" s="39" t="s">
        <v>16</v>
      </c>
      <c r="H86" s="38" t="s">
        <v>16</v>
      </c>
      <c r="I86" s="40" t="s">
        <v>16</v>
      </c>
      <c r="J86" s="57" t="s">
        <v>14</v>
      </c>
      <c r="K86" s="40" t="s">
        <v>16</v>
      </c>
      <c r="L86" s="39" t="s">
        <v>16</v>
      </c>
      <c r="M86" s="38" t="s">
        <v>16</v>
      </c>
      <c r="N86" s="40" t="s">
        <v>16</v>
      </c>
      <c r="O86" s="42" t="s">
        <v>16</v>
      </c>
      <c r="P86" s="38" t="s">
        <v>16</v>
      </c>
      <c r="Q86" s="40" t="s">
        <v>16</v>
      </c>
      <c r="R86" s="39" t="s">
        <v>34</v>
      </c>
      <c r="S86" s="38" t="s">
        <v>35</v>
      </c>
      <c r="T86" s="44" t="s">
        <v>36</v>
      </c>
      <c r="U86" s="13"/>
      <c r="V86" s="13"/>
      <c r="W86" s="13"/>
      <c r="X86" s="13"/>
      <c r="Y86" s="13"/>
      <c r="Z86" s="13"/>
    </row>
    <row r="87" spans="1:27" ht="18" customHeight="1" x14ac:dyDescent="0.25">
      <c r="A87" s="38" t="s">
        <v>1389</v>
      </c>
      <c r="B87" s="13" t="s">
        <v>298</v>
      </c>
      <c r="C87" s="63" t="s">
        <v>84</v>
      </c>
      <c r="D87" s="33" t="s">
        <v>299</v>
      </c>
      <c r="E87" s="39" t="s">
        <v>16</v>
      </c>
      <c r="F87" s="39" t="s">
        <v>16</v>
      </c>
      <c r="G87" s="39" t="s">
        <v>16</v>
      </c>
      <c r="H87" s="39" t="s">
        <v>16</v>
      </c>
      <c r="I87" s="13"/>
      <c r="J87" s="39" t="s">
        <v>16</v>
      </c>
      <c r="K87" s="39" t="s">
        <v>16</v>
      </c>
      <c r="L87" s="39" t="s">
        <v>16</v>
      </c>
      <c r="M87" s="38" t="s">
        <v>16</v>
      </c>
      <c r="N87" s="40" t="s">
        <v>16</v>
      </c>
      <c r="O87" s="42" t="s">
        <v>16</v>
      </c>
      <c r="P87" s="38" t="s">
        <v>16</v>
      </c>
      <c r="Q87" s="40" t="s">
        <v>16</v>
      </c>
      <c r="R87" s="39" t="s">
        <v>34</v>
      </c>
      <c r="S87" s="38" t="s">
        <v>16</v>
      </c>
      <c r="T87" s="44" t="s">
        <v>36</v>
      </c>
      <c r="U87" s="13"/>
      <c r="V87" s="13"/>
      <c r="W87" s="13"/>
      <c r="X87" s="13"/>
      <c r="Y87" s="13"/>
      <c r="Z87" s="13"/>
      <c r="AA87" s="13"/>
    </row>
    <row r="88" spans="1:27" ht="19.899999999999999" customHeight="1" x14ac:dyDescent="0.25">
      <c r="A88" s="31" t="s">
        <v>1393</v>
      </c>
      <c r="B88" s="85" t="s">
        <v>197</v>
      </c>
      <c r="C88" s="32" t="s">
        <v>67</v>
      </c>
      <c r="D88" s="33" t="s">
        <v>198</v>
      </c>
      <c r="E88" s="35" t="s">
        <v>16</v>
      </c>
      <c r="F88" s="35" t="s">
        <v>16</v>
      </c>
      <c r="G88" s="35" t="s">
        <v>16</v>
      </c>
      <c r="H88" s="35" t="s">
        <v>16</v>
      </c>
      <c r="I88" s="35" t="s">
        <v>16</v>
      </c>
      <c r="J88" s="38" t="s">
        <v>14</v>
      </c>
      <c r="K88" s="35" t="s">
        <v>16</v>
      </c>
      <c r="L88" s="35" t="s">
        <v>16</v>
      </c>
      <c r="M88" s="35" t="s">
        <v>16</v>
      </c>
      <c r="N88" s="35" t="s">
        <v>16</v>
      </c>
      <c r="O88" s="35" t="s">
        <v>16</v>
      </c>
      <c r="P88" s="35" t="s">
        <v>16</v>
      </c>
      <c r="Q88" s="35" t="s">
        <v>16</v>
      </c>
      <c r="R88" s="35" t="s">
        <v>16</v>
      </c>
      <c r="S88" s="35" t="s">
        <v>16</v>
      </c>
      <c r="T88" s="35" t="s">
        <v>16</v>
      </c>
      <c r="U88" s="13"/>
      <c r="V88" s="13"/>
      <c r="W88" s="13"/>
      <c r="X88" s="13"/>
      <c r="Y88" s="13"/>
      <c r="Z88" s="13"/>
    </row>
    <row r="89" spans="1:27" ht="19.899999999999999" customHeight="1" x14ac:dyDescent="0.25">
      <c r="A89" s="31" t="s">
        <v>1394</v>
      </c>
      <c r="B89" s="85" t="s">
        <v>197</v>
      </c>
      <c r="C89" s="32" t="s">
        <v>67</v>
      </c>
      <c r="D89" s="33" t="s">
        <v>198</v>
      </c>
      <c r="E89" s="35" t="s">
        <v>16</v>
      </c>
      <c r="F89" s="35" t="s">
        <v>16</v>
      </c>
      <c r="G89" s="35" t="s">
        <v>16</v>
      </c>
      <c r="H89" s="35" t="s">
        <v>16</v>
      </c>
      <c r="I89" s="35" t="s">
        <v>16</v>
      </c>
      <c r="J89" s="38" t="s">
        <v>14</v>
      </c>
      <c r="K89" s="35" t="s">
        <v>16</v>
      </c>
      <c r="L89" s="35" t="s">
        <v>16</v>
      </c>
      <c r="M89" s="35" t="s">
        <v>16</v>
      </c>
      <c r="N89" s="35" t="s">
        <v>16</v>
      </c>
      <c r="O89" s="35" t="s">
        <v>16</v>
      </c>
      <c r="P89" s="35" t="s">
        <v>16</v>
      </c>
      <c r="Q89" s="35" t="s">
        <v>16</v>
      </c>
      <c r="R89" s="35" t="s">
        <v>16</v>
      </c>
      <c r="S89" s="35" t="s">
        <v>16</v>
      </c>
      <c r="T89" s="35" t="s">
        <v>16</v>
      </c>
      <c r="U89" s="13"/>
      <c r="V89" s="13"/>
      <c r="W89" s="13"/>
      <c r="X89" s="13"/>
      <c r="Y89" s="13"/>
      <c r="Z89" s="13"/>
    </row>
    <row r="90" spans="1:27" ht="19.899999999999999" customHeight="1" x14ac:dyDescent="0.25">
      <c r="A90" s="31" t="s">
        <v>1395</v>
      </c>
      <c r="B90" s="85" t="s">
        <v>197</v>
      </c>
      <c r="C90" s="32" t="s">
        <v>67</v>
      </c>
      <c r="D90" s="33" t="s">
        <v>198</v>
      </c>
      <c r="E90" s="35" t="s">
        <v>16</v>
      </c>
      <c r="F90" s="35" t="s">
        <v>16</v>
      </c>
      <c r="G90" s="35" t="s">
        <v>16</v>
      </c>
      <c r="H90" s="35" t="s">
        <v>16</v>
      </c>
      <c r="I90" s="35" t="s">
        <v>16</v>
      </c>
      <c r="J90" s="38" t="s">
        <v>14</v>
      </c>
      <c r="K90" s="35" t="s">
        <v>16</v>
      </c>
      <c r="L90" s="35" t="s">
        <v>16</v>
      </c>
      <c r="M90" s="35" t="s">
        <v>16</v>
      </c>
      <c r="N90" s="35" t="s">
        <v>16</v>
      </c>
      <c r="O90" s="35" t="s">
        <v>16</v>
      </c>
      <c r="P90" s="35" t="s">
        <v>16</v>
      </c>
      <c r="Q90" s="35" t="s">
        <v>16</v>
      </c>
      <c r="R90" s="35" t="s">
        <v>16</v>
      </c>
      <c r="S90" s="35" t="s">
        <v>16</v>
      </c>
      <c r="T90" s="35" t="s">
        <v>16</v>
      </c>
      <c r="U90" s="13"/>
      <c r="V90" s="13"/>
      <c r="W90" s="13"/>
      <c r="X90" s="13"/>
      <c r="Y90" s="13"/>
      <c r="Z90" s="13"/>
    </row>
    <row r="91" spans="1:27" ht="19.899999999999999" customHeight="1" x14ac:dyDescent="0.25">
      <c r="A91" s="38" t="s">
        <v>1396</v>
      </c>
      <c r="B91" s="72" t="s">
        <v>218</v>
      </c>
      <c r="C91" s="32" t="s">
        <v>1741</v>
      </c>
      <c r="D91" s="33" t="s">
        <v>1485</v>
      </c>
      <c r="E91" s="39" t="s">
        <v>16</v>
      </c>
      <c r="F91" s="34" t="s">
        <v>65</v>
      </c>
      <c r="G91" s="39" t="s">
        <v>16</v>
      </c>
      <c r="H91" s="38" t="s">
        <v>16</v>
      </c>
      <c r="I91" s="40" t="s">
        <v>16</v>
      </c>
      <c r="J91" s="38" t="s">
        <v>59</v>
      </c>
      <c r="K91" s="40" t="s">
        <v>23</v>
      </c>
      <c r="L91" s="42" t="s">
        <v>16</v>
      </c>
      <c r="M91" s="49" t="s">
        <v>74</v>
      </c>
      <c r="N91" s="40" t="s">
        <v>16</v>
      </c>
      <c r="O91" s="39" t="s">
        <v>16</v>
      </c>
      <c r="P91" s="43" t="s">
        <v>282</v>
      </c>
      <c r="Q91" s="40" t="s">
        <v>16</v>
      </c>
      <c r="R91" s="39" t="s">
        <v>34</v>
      </c>
      <c r="S91" s="38" t="s">
        <v>55</v>
      </c>
      <c r="T91" s="44" t="s">
        <v>36</v>
      </c>
      <c r="U91" s="45"/>
      <c r="V91" s="45"/>
      <c r="W91" s="45"/>
      <c r="X91" s="45"/>
      <c r="Y91" s="45"/>
      <c r="Z91" s="45"/>
    </row>
    <row r="92" spans="1:27" ht="19.899999999999999" customHeight="1" x14ac:dyDescent="0.25">
      <c r="A92" s="31" t="s">
        <v>1505</v>
      </c>
      <c r="B92" s="85" t="s">
        <v>212</v>
      </c>
      <c r="C92" s="32" t="s">
        <v>67</v>
      </c>
      <c r="D92" s="33" t="s">
        <v>213</v>
      </c>
      <c r="E92" s="35" t="s">
        <v>16</v>
      </c>
      <c r="F92" s="35" t="s">
        <v>16</v>
      </c>
      <c r="G92" s="35" t="s">
        <v>16</v>
      </c>
      <c r="H92" s="35" t="s">
        <v>16</v>
      </c>
      <c r="I92" s="35" t="s">
        <v>16</v>
      </c>
      <c r="J92" s="35" t="s">
        <v>16</v>
      </c>
      <c r="K92" s="35" t="s">
        <v>16</v>
      </c>
      <c r="L92" s="35" t="s">
        <v>16</v>
      </c>
      <c r="M92" s="35" t="s">
        <v>16</v>
      </c>
      <c r="N92" s="35" t="s">
        <v>16</v>
      </c>
      <c r="O92" s="35" t="s">
        <v>16</v>
      </c>
      <c r="P92" s="35" t="s">
        <v>16</v>
      </c>
      <c r="Q92" s="35" t="s">
        <v>16</v>
      </c>
      <c r="R92" s="35" t="s">
        <v>16</v>
      </c>
      <c r="S92" s="35" t="s">
        <v>16</v>
      </c>
      <c r="T92" s="35" t="s">
        <v>16</v>
      </c>
      <c r="U92" s="13"/>
      <c r="V92" s="13"/>
      <c r="W92" s="13"/>
      <c r="X92" s="13"/>
      <c r="Y92" s="13"/>
      <c r="Z92" s="13"/>
    </row>
    <row r="93" spans="1:27" ht="19.899999999999999" customHeight="1" x14ac:dyDescent="0.25">
      <c r="A93" s="38" t="s">
        <v>1397</v>
      </c>
      <c r="B93" s="72" t="s">
        <v>218</v>
      </c>
      <c r="C93" s="32" t="s">
        <v>1741</v>
      </c>
      <c r="D93" s="33" t="s">
        <v>1485</v>
      </c>
      <c r="E93" s="32" t="s">
        <v>16</v>
      </c>
      <c r="F93" s="34" t="s">
        <v>65</v>
      </c>
      <c r="G93" s="32" t="s">
        <v>16</v>
      </c>
      <c r="H93" s="33" t="s">
        <v>16</v>
      </c>
      <c r="I93" s="46" t="s">
        <v>16</v>
      </c>
      <c r="J93" s="33" t="s">
        <v>59</v>
      </c>
      <c r="K93" s="46" t="s">
        <v>16</v>
      </c>
      <c r="L93" s="41" t="s">
        <v>16</v>
      </c>
      <c r="M93" s="47" t="s">
        <v>74</v>
      </c>
      <c r="N93" s="46" t="s">
        <v>16</v>
      </c>
      <c r="O93" s="32" t="s">
        <v>16</v>
      </c>
      <c r="P93" s="43" t="s">
        <v>285</v>
      </c>
      <c r="Q93" s="46">
        <v>1675</v>
      </c>
      <c r="R93" s="32" t="s">
        <v>34</v>
      </c>
      <c r="S93" s="33" t="s">
        <v>35</v>
      </c>
      <c r="T93" s="34" t="s">
        <v>36</v>
      </c>
      <c r="U93" s="45"/>
      <c r="V93" s="45"/>
      <c r="W93" s="45"/>
      <c r="X93" s="45"/>
      <c r="Y93" s="45"/>
      <c r="Z93" s="45"/>
    </row>
    <row r="94" spans="1:27" ht="19.899999999999999" customHeight="1" x14ac:dyDescent="0.25">
      <c r="A94" s="31" t="s">
        <v>1398</v>
      </c>
      <c r="B94" s="85" t="s">
        <v>197</v>
      </c>
      <c r="C94" s="32" t="s">
        <v>67</v>
      </c>
      <c r="D94" s="33" t="s">
        <v>198</v>
      </c>
      <c r="E94" s="35" t="s">
        <v>16</v>
      </c>
      <c r="F94" s="35" t="s">
        <v>16</v>
      </c>
      <c r="G94" s="35" t="s">
        <v>16</v>
      </c>
      <c r="H94" s="35" t="s">
        <v>16</v>
      </c>
      <c r="I94" s="35" t="s">
        <v>16</v>
      </c>
      <c r="J94" s="38" t="s">
        <v>14</v>
      </c>
      <c r="K94" s="35" t="s">
        <v>16</v>
      </c>
      <c r="L94" s="35" t="s">
        <v>16</v>
      </c>
      <c r="M94" s="35" t="s">
        <v>16</v>
      </c>
      <c r="N94" s="35" t="s">
        <v>16</v>
      </c>
      <c r="O94" s="35" t="s">
        <v>16</v>
      </c>
      <c r="P94" s="35" t="s">
        <v>16</v>
      </c>
      <c r="Q94" s="35" t="s">
        <v>16</v>
      </c>
      <c r="R94" s="35" t="s">
        <v>16</v>
      </c>
      <c r="S94" s="35" t="s">
        <v>16</v>
      </c>
      <c r="T94" s="35" t="s">
        <v>16</v>
      </c>
      <c r="U94" s="13"/>
      <c r="V94" s="13"/>
      <c r="W94" s="13"/>
      <c r="X94" s="13"/>
      <c r="Y94" s="13"/>
      <c r="Z94" s="13"/>
    </row>
    <row r="95" spans="1:27" ht="19.899999999999999" customHeight="1" x14ac:dyDescent="0.25">
      <c r="A95" s="31" t="s">
        <v>1399</v>
      </c>
      <c r="B95" s="85" t="s">
        <v>197</v>
      </c>
      <c r="C95" s="32" t="s">
        <v>67</v>
      </c>
      <c r="D95" s="33" t="s">
        <v>198</v>
      </c>
      <c r="E95" s="35" t="s">
        <v>16</v>
      </c>
      <c r="F95" s="35" t="s">
        <v>16</v>
      </c>
      <c r="G95" s="35" t="s">
        <v>16</v>
      </c>
      <c r="H95" s="35" t="s">
        <v>16</v>
      </c>
      <c r="I95" s="35" t="s">
        <v>16</v>
      </c>
      <c r="J95" s="38" t="s">
        <v>14</v>
      </c>
      <c r="K95" s="35" t="s">
        <v>16</v>
      </c>
      <c r="L95" s="35" t="s">
        <v>16</v>
      </c>
      <c r="M95" s="35" t="s">
        <v>16</v>
      </c>
      <c r="N95" s="35" t="s">
        <v>16</v>
      </c>
      <c r="O95" s="35" t="s">
        <v>16</v>
      </c>
      <c r="P95" s="35" t="s">
        <v>16</v>
      </c>
      <c r="Q95" s="35" t="s">
        <v>16</v>
      </c>
      <c r="R95" s="35" t="s">
        <v>16</v>
      </c>
      <c r="S95" s="35" t="s">
        <v>16</v>
      </c>
      <c r="T95" s="35" t="s">
        <v>16</v>
      </c>
      <c r="U95" s="13"/>
      <c r="V95" s="13"/>
      <c r="W95" s="13"/>
      <c r="X95" s="13"/>
      <c r="Y95" s="13"/>
      <c r="Z95" s="13"/>
    </row>
    <row r="96" spans="1:27" ht="19.899999999999999" customHeight="1" x14ac:dyDescent="0.25">
      <c r="A96" s="31" t="s">
        <v>1400</v>
      </c>
      <c r="B96" s="78" t="s">
        <v>1709</v>
      </c>
      <c r="C96" s="99" t="s">
        <v>64</v>
      </c>
      <c r="D96" s="100" t="s">
        <v>1710</v>
      </c>
      <c r="E96" s="35" t="s">
        <v>16</v>
      </c>
      <c r="F96" s="34" t="s">
        <v>65</v>
      </c>
      <c r="G96" s="35" t="s">
        <v>116</v>
      </c>
      <c r="H96" s="31" t="s">
        <v>16</v>
      </c>
      <c r="I96" s="34" t="s">
        <v>47</v>
      </c>
      <c r="J96" s="31" t="s">
        <v>16</v>
      </c>
      <c r="K96" s="34" t="s">
        <v>16</v>
      </c>
      <c r="L96" s="35" t="s">
        <v>48</v>
      </c>
      <c r="M96" s="31" t="s">
        <v>16</v>
      </c>
      <c r="N96" s="34" t="s">
        <v>16</v>
      </c>
      <c r="O96" s="35" t="s">
        <v>16</v>
      </c>
      <c r="P96" s="31" t="s">
        <v>16</v>
      </c>
      <c r="Q96" s="34" t="s">
        <v>16</v>
      </c>
      <c r="R96" s="35" t="s">
        <v>16</v>
      </c>
      <c r="S96" s="31" t="s">
        <v>16</v>
      </c>
      <c r="T96" s="34" t="s">
        <v>36</v>
      </c>
      <c r="U96" s="13"/>
      <c r="V96" s="13"/>
      <c r="W96" s="13"/>
      <c r="X96" s="13"/>
      <c r="Y96" s="13"/>
      <c r="Z96" s="13"/>
    </row>
    <row r="97" spans="1:26" ht="19.899999999999999" customHeight="1" x14ac:dyDescent="0.25">
      <c r="A97" s="31" t="s">
        <v>1401</v>
      </c>
      <c r="B97" s="78" t="s">
        <v>194</v>
      </c>
      <c r="C97" s="99" t="s">
        <v>64</v>
      </c>
      <c r="D97" s="100" t="s">
        <v>195</v>
      </c>
      <c r="E97" s="35" t="s">
        <v>16</v>
      </c>
      <c r="F97" s="34" t="s">
        <v>65</v>
      </c>
      <c r="G97" s="35" t="s">
        <v>116</v>
      </c>
      <c r="H97" s="31" t="s">
        <v>16</v>
      </c>
      <c r="I97" s="34" t="s">
        <v>47</v>
      </c>
      <c r="J97" s="31" t="s">
        <v>16</v>
      </c>
      <c r="K97" s="34" t="s">
        <v>16</v>
      </c>
      <c r="L97" s="35" t="s">
        <v>48</v>
      </c>
      <c r="M97" s="31" t="s">
        <v>16</v>
      </c>
      <c r="N97" s="34" t="s">
        <v>16</v>
      </c>
      <c r="O97" s="35" t="s">
        <v>16</v>
      </c>
      <c r="P97" s="31" t="s">
        <v>16</v>
      </c>
      <c r="Q97" s="34" t="s">
        <v>16</v>
      </c>
      <c r="R97" s="35" t="s">
        <v>16</v>
      </c>
      <c r="S97" s="31" t="s">
        <v>16</v>
      </c>
      <c r="T97" s="34" t="s">
        <v>36</v>
      </c>
      <c r="U97" s="13"/>
      <c r="V97" s="13"/>
      <c r="W97" s="13"/>
      <c r="X97" s="13"/>
      <c r="Y97" s="13"/>
      <c r="Z97" s="13"/>
    </row>
    <row r="98" spans="1:26" ht="19.899999999999999" customHeight="1" x14ac:dyDescent="0.25">
      <c r="A98" s="31" t="s">
        <v>1509</v>
      </c>
      <c r="B98" s="85" t="s">
        <v>189</v>
      </c>
      <c r="C98" s="97" t="s">
        <v>64</v>
      </c>
      <c r="D98" s="98" t="s">
        <v>190</v>
      </c>
      <c r="E98" s="35" t="s">
        <v>16</v>
      </c>
      <c r="F98" s="34" t="s">
        <v>65</v>
      </c>
      <c r="G98" s="35" t="s">
        <v>68</v>
      </c>
      <c r="H98" s="31" t="s">
        <v>16</v>
      </c>
      <c r="I98" s="34" t="s">
        <v>47</v>
      </c>
      <c r="J98" s="31" t="s">
        <v>16</v>
      </c>
      <c r="K98" s="34" t="s">
        <v>16</v>
      </c>
      <c r="L98" s="35" t="s">
        <v>48</v>
      </c>
      <c r="M98" s="31" t="s">
        <v>16</v>
      </c>
      <c r="N98" s="34" t="s">
        <v>16</v>
      </c>
      <c r="O98" s="35" t="s">
        <v>16</v>
      </c>
      <c r="P98" s="31" t="s">
        <v>16</v>
      </c>
      <c r="Q98" s="34" t="s">
        <v>16</v>
      </c>
      <c r="R98" s="35" t="s">
        <v>16</v>
      </c>
      <c r="S98" s="31" t="s">
        <v>16</v>
      </c>
      <c r="T98" s="34" t="s">
        <v>36</v>
      </c>
      <c r="U98" s="13"/>
      <c r="V98" s="13"/>
      <c r="W98" s="13"/>
      <c r="X98" s="13"/>
      <c r="Y98" s="13"/>
      <c r="Z98" s="13"/>
    </row>
    <row r="99" spans="1:26" ht="19.899999999999999" customHeight="1" x14ac:dyDescent="0.25">
      <c r="A99" s="31" t="s">
        <v>1402</v>
      </c>
      <c r="B99" s="85" t="s">
        <v>1390</v>
      </c>
      <c r="C99" s="32" t="s">
        <v>84</v>
      </c>
      <c r="D99" s="33" t="s">
        <v>1391</v>
      </c>
      <c r="E99" s="92" t="s">
        <v>16</v>
      </c>
      <c r="F99" s="35" t="s">
        <v>16</v>
      </c>
      <c r="G99" s="35" t="s">
        <v>16</v>
      </c>
      <c r="H99" s="35" t="s">
        <v>16</v>
      </c>
      <c r="I99" s="35" t="s">
        <v>16</v>
      </c>
      <c r="J99" s="35" t="s">
        <v>16</v>
      </c>
      <c r="K99" s="35" t="s">
        <v>16</v>
      </c>
      <c r="L99" s="35" t="s">
        <v>16</v>
      </c>
      <c r="M99" s="35" t="s">
        <v>16</v>
      </c>
      <c r="N99" s="35" t="s">
        <v>16</v>
      </c>
      <c r="O99" s="35" t="s">
        <v>16</v>
      </c>
      <c r="P99" s="35" t="s">
        <v>16</v>
      </c>
      <c r="Q99" s="35" t="s">
        <v>16</v>
      </c>
      <c r="R99" s="35" t="s">
        <v>16</v>
      </c>
      <c r="S99" s="35" t="s">
        <v>16</v>
      </c>
      <c r="T99" s="35" t="s">
        <v>16</v>
      </c>
      <c r="U99" s="13"/>
      <c r="V99" s="13"/>
      <c r="W99" s="13"/>
      <c r="X99" s="13"/>
      <c r="Y99" s="13"/>
      <c r="Z99" s="13"/>
    </row>
    <row r="100" spans="1:26" ht="19.899999999999999" customHeight="1" x14ac:dyDescent="0.25">
      <c r="A100" s="31" t="s">
        <v>1403</v>
      </c>
      <c r="B100" s="85" t="s">
        <v>214</v>
      </c>
      <c r="C100" s="32" t="s">
        <v>84</v>
      </c>
      <c r="D100" s="33" t="s">
        <v>215</v>
      </c>
      <c r="E100" s="35" t="s">
        <v>16</v>
      </c>
      <c r="F100" s="35" t="s">
        <v>16</v>
      </c>
      <c r="G100" s="35" t="s">
        <v>16</v>
      </c>
      <c r="H100" s="35" t="s">
        <v>16</v>
      </c>
      <c r="I100" s="35" t="s">
        <v>16</v>
      </c>
      <c r="J100" s="35" t="s">
        <v>16</v>
      </c>
      <c r="K100" s="35" t="s">
        <v>16</v>
      </c>
      <c r="L100" s="35" t="s">
        <v>16</v>
      </c>
      <c r="M100" s="35" t="s">
        <v>16</v>
      </c>
      <c r="N100" s="35" t="s">
        <v>16</v>
      </c>
      <c r="O100" s="35" t="s">
        <v>16</v>
      </c>
      <c r="P100" s="35" t="s">
        <v>16</v>
      </c>
      <c r="Q100" s="35" t="s">
        <v>16</v>
      </c>
      <c r="R100" s="35" t="s">
        <v>16</v>
      </c>
      <c r="S100" s="35" t="s">
        <v>16</v>
      </c>
      <c r="T100" s="35" t="s">
        <v>16</v>
      </c>
      <c r="U100" s="13"/>
      <c r="V100" s="13"/>
      <c r="W100" s="13"/>
      <c r="X100" s="13"/>
      <c r="Y100" s="13"/>
      <c r="Z100" s="13"/>
    </row>
    <row r="101" spans="1:26" ht="19.899999999999999" customHeight="1" x14ac:dyDescent="0.25">
      <c r="A101" s="31" t="s">
        <v>1404</v>
      </c>
      <c r="B101" s="85" t="s">
        <v>197</v>
      </c>
      <c r="C101" s="32" t="s">
        <v>67</v>
      </c>
      <c r="D101" s="33" t="s">
        <v>198</v>
      </c>
      <c r="E101" s="35" t="s">
        <v>16</v>
      </c>
      <c r="F101" s="35" t="s">
        <v>16</v>
      </c>
      <c r="G101" s="35" t="s">
        <v>16</v>
      </c>
      <c r="H101" s="35" t="s">
        <v>16</v>
      </c>
      <c r="I101" s="35" t="s">
        <v>16</v>
      </c>
      <c r="J101" s="38" t="s">
        <v>14</v>
      </c>
      <c r="K101" s="35" t="s">
        <v>16</v>
      </c>
      <c r="L101" s="35" t="s">
        <v>16</v>
      </c>
      <c r="M101" s="35" t="s">
        <v>16</v>
      </c>
      <c r="N101" s="35" t="s">
        <v>16</v>
      </c>
      <c r="O101" s="35" t="s">
        <v>16</v>
      </c>
      <c r="P101" s="35" t="s">
        <v>16</v>
      </c>
      <c r="Q101" s="35" t="s">
        <v>16</v>
      </c>
      <c r="R101" s="35" t="s">
        <v>16</v>
      </c>
      <c r="S101" s="35" t="s">
        <v>16</v>
      </c>
      <c r="T101" s="35" t="s">
        <v>16</v>
      </c>
      <c r="U101" s="13"/>
      <c r="V101" s="13"/>
      <c r="W101" s="13"/>
      <c r="X101" s="13"/>
      <c r="Y101" s="13"/>
      <c r="Z101" s="13"/>
    </row>
    <row r="102" spans="1:26" ht="19.899999999999999" customHeight="1" x14ac:dyDescent="0.25">
      <c r="A102" s="31" t="s">
        <v>1405</v>
      </c>
      <c r="B102" s="85" t="s">
        <v>197</v>
      </c>
      <c r="C102" s="32" t="s">
        <v>67</v>
      </c>
      <c r="D102" s="33" t="s">
        <v>198</v>
      </c>
      <c r="E102" s="35" t="s">
        <v>16</v>
      </c>
      <c r="F102" s="35" t="s">
        <v>16</v>
      </c>
      <c r="G102" s="35" t="s">
        <v>16</v>
      </c>
      <c r="H102" s="35" t="s">
        <v>16</v>
      </c>
      <c r="I102" s="35" t="s">
        <v>16</v>
      </c>
      <c r="J102" s="38" t="s">
        <v>14</v>
      </c>
      <c r="K102" s="35" t="s">
        <v>16</v>
      </c>
      <c r="L102" s="35" t="s">
        <v>16</v>
      </c>
      <c r="M102" s="35" t="s">
        <v>16</v>
      </c>
      <c r="N102" s="35" t="s">
        <v>16</v>
      </c>
      <c r="O102" s="35" t="s">
        <v>16</v>
      </c>
      <c r="P102" s="35" t="s">
        <v>16</v>
      </c>
      <c r="Q102" s="35" t="s">
        <v>16</v>
      </c>
      <c r="R102" s="35" t="s">
        <v>16</v>
      </c>
      <c r="S102" s="35" t="s">
        <v>16</v>
      </c>
      <c r="T102" s="35" t="s">
        <v>16</v>
      </c>
      <c r="U102" s="13"/>
      <c r="V102" s="13"/>
      <c r="W102" s="13"/>
      <c r="X102" s="13"/>
      <c r="Y102" s="13"/>
      <c r="Z102" s="13"/>
    </row>
    <row r="103" spans="1:26" ht="19.899999999999999" customHeight="1" x14ac:dyDescent="0.25">
      <c r="A103" s="31" t="s">
        <v>1406</v>
      </c>
      <c r="B103" s="85" t="s">
        <v>197</v>
      </c>
      <c r="C103" s="32" t="s">
        <v>67</v>
      </c>
      <c r="D103" s="33" t="s">
        <v>198</v>
      </c>
      <c r="E103" s="35" t="s">
        <v>16</v>
      </c>
      <c r="F103" s="35" t="s">
        <v>16</v>
      </c>
      <c r="G103" s="35" t="s">
        <v>16</v>
      </c>
      <c r="H103" s="35" t="s">
        <v>16</v>
      </c>
      <c r="I103" s="35" t="s">
        <v>16</v>
      </c>
      <c r="J103" s="38" t="s">
        <v>14</v>
      </c>
      <c r="K103" s="35" t="s">
        <v>16</v>
      </c>
      <c r="L103" s="35" t="s">
        <v>16</v>
      </c>
      <c r="M103" s="35" t="s">
        <v>16</v>
      </c>
      <c r="N103" s="35" t="s">
        <v>16</v>
      </c>
      <c r="O103" s="35" t="s">
        <v>16</v>
      </c>
      <c r="P103" s="35" t="s">
        <v>16</v>
      </c>
      <c r="Q103" s="35" t="s">
        <v>16</v>
      </c>
      <c r="R103" s="35" t="s">
        <v>16</v>
      </c>
      <c r="S103" s="35" t="s">
        <v>16</v>
      </c>
      <c r="T103" s="35" t="s">
        <v>16</v>
      </c>
      <c r="U103" s="13"/>
      <c r="V103" s="13"/>
      <c r="W103" s="13"/>
      <c r="X103" s="13"/>
      <c r="Y103" s="13"/>
      <c r="Z103" s="13"/>
    </row>
    <row r="104" spans="1:26" ht="19.899999999999999" customHeight="1" x14ac:dyDescent="0.25">
      <c r="A104" s="31" t="s">
        <v>1407</v>
      </c>
      <c r="B104" s="85" t="s">
        <v>197</v>
      </c>
      <c r="C104" s="32" t="s">
        <v>67</v>
      </c>
      <c r="D104" s="33" t="s">
        <v>198</v>
      </c>
      <c r="E104" s="35" t="s">
        <v>16</v>
      </c>
      <c r="F104" s="35" t="s">
        <v>16</v>
      </c>
      <c r="G104" s="35" t="s">
        <v>16</v>
      </c>
      <c r="H104" s="35" t="s">
        <v>16</v>
      </c>
      <c r="I104" s="35" t="s">
        <v>16</v>
      </c>
      <c r="J104" s="38" t="s">
        <v>14</v>
      </c>
      <c r="K104" s="35" t="s">
        <v>16</v>
      </c>
      <c r="L104" s="35" t="s">
        <v>16</v>
      </c>
      <c r="M104" s="35" t="s">
        <v>16</v>
      </c>
      <c r="N104" s="35" t="s">
        <v>16</v>
      </c>
      <c r="O104" s="35" t="s">
        <v>16</v>
      </c>
      <c r="P104" s="35" t="s">
        <v>16</v>
      </c>
      <c r="Q104" s="35" t="s">
        <v>16</v>
      </c>
      <c r="R104" s="35" t="s">
        <v>16</v>
      </c>
      <c r="S104" s="35" t="s">
        <v>16</v>
      </c>
      <c r="T104" s="35" t="s">
        <v>16</v>
      </c>
      <c r="U104" s="13"/>
      <c r="V104" s="13"/>
      <c r="W104" s="13"/>
      <c r="X104" s="13"/>
      <c r="Y104" s="13"/>
      <c r="Z104" s="13"/>
    </row>
    <row r="105" spans="1:26" ht="19.899999999999999" customHeight="1" x14ac:dyDescent="0.25">
      <c r="A105" s="33" t="s">
        <v>1408</v>
      </c>
      <c r="B105" s="76" t="s">
        <v>1528</v>
      </c>
      <c r="C105" s="32" t="s">
        <v>64</v>
      </c>
      <c r="D105" s="33" t="s">
        <v>1529</v>
      </c>
      <c r="E105" s="41" t="s">
        <v>1530</v>
      </c>
      <c r="F105" s="34" t="s">
        <v>65</v>
      </c>
      <c r="G105" s="32" t="s">
        <v>16</v>
      </c>
      <c r="H105" s="33" t="s">
        <v>16</v>
      </c>
      <c r="I105" s="46" t="s">
        <v>16</v>
      </c>
      <c r="J105" s="38" t="s">
        <v>14</v>
      </c>
      <c r="K105" s="46" t="s">
        <v>16</v>
      </c>
      <c r="L105" s="41" t="s">
        <v>16</v>
      </c>
      <c r="M105" s="33">
        <v>100</v>
      </c>
      <c r="N105" s="46" t="s">
        <v>16</v>
      </c>
      <c r="O105" s="32" t="s">
        <v>16</v>
      </c>
      <c r="P105" s="33" t="s">
        <v>16</v>
      </c>
      <c r="Q105" s="46" t="s">
        <v>16</v>
      </c>
      <c r="R105" s="32" t="s">
        <v>16</v>
      </c>
      <c r="S105" s="33" t="s">
        <v>16</v>
      </c>
      <c r="T105" s="34" t="s">
        <v>79</v>
      </c>
      <c r="U105" s="13"/>
      <c r="V105" s="13"/>
      <c r="W105" s="13"/>
      <c r="X105" s="13"/>
      <c r="Y105" s="13"/>
      <c r="Z105" s="13"/>
    </row>
    <row r="106" spans="1:26" ht="19.899999999999999" customHeight="1" x14ac:dyDescent="0.25">
      <c r="A106" s="33" t="s">
        <v>1409</v>
      </c>
      <c r="B106" s="78" t="s">
        <v>1800</v>
      </c>
      <c r="C106" s="32" t="s">
        <v>1813</v>
      </c>
      <c r="D106" s="33" t="s">
        <v>1801</v>
      </c>
      <c r="E106" s="41" t="s">
        <v>1799</v>
      </c>
      <c r="F106" s="34" t="s">
        <v>65</v>
      </c>
      <c r="G106" s="32" t="s">
        <v>16</v>
      </c>
      <c r="H106" s="33" t="s">
        <v>16</v>
      </c>
      <c r="I106" s="46" t="s">
        <v>16</v>
      </c>
      <c r="J106" s="38" t="s">
        <v>14</v>
      </c>
      <c r="K106" s="46" t="s">
        <v>16</v>
      </c>
      <c r="L106" s="32" t="s">
        <v>16</v>
      </c>
      <c r="M106" s="47" t="s">
        <v>1798</v>
      </c>
      <c r="N106" s="46" t="s">
        <v>16</v>
      </c>
      <c r="O106" s="32" t="s">
        <v>16</v>
      </c>
      <c r="P106" s="33" t="s">
        <v>16</v>
      </c>
      <c r="Q106" s="46" t="s">
        <v>16</v>
      </c>
      <c r="R106" s="32" t="s">
        <v>16</v>
      </c>
      <c r="S106" s="38" t="s">
        <v>35</v>
      </c>
      <c r="T106" s="34" t="s">
        <v>79</v>
      </c>
      <c r="U106" s="13"/>
      <c r="V106" s="13"/>
      <c r="W106" s="13"/>
      <c r="X106" s="13"/>
      <c r="Y106" s="13"/>
      <c r="Z106" s="13"/>
    </row>
    <row r="107" spans="1:26" ht="19.899999999999999" customHeight="1" x14ac:dyDescent="0.25">
      <c r="A107" s="31" t="s">
        <v>1520</v>
      </c>
      <c r="B107" s="85" t="s">
        <v>197</v>
      </c>
      <c r="C107" s="32" t="s">
        <v>67</v>
      </c>
      <c r="D107" s="33" t="s">
        <v>198</v>
      </c>
      <c r="E107" s="35" t="s">
        <v>16</v>
      </c>
      <c r="F107" s="35" t="s">
        <v>16</v>
      </c>
      <c r="G107" s="35" t="s">
        <v>16</v>
      </c>
      <c r="H107" s="35" t="s">
        <v>16</v>
      </c>
      <c r="I107" s="35" t="s">
        <v>16</v>
      </c>
      <c r="J107" s="38" t="s">
        <v>14</v>
      </c>
      <c r="K107" s="35" t="s">
        <v>16</v>
      </c>
      <c r="L107" s="35" t="s">
        <v>16</v>
      </c>
      <c r="M107" s="35" t="s">
        <v>16</v>
      </c>
      <c r="N107" s="35" t="s">
        <v>16</v>
      </c>
      <c r="O107" s="35" t="s">
        <v>16</v>
      </c>
      <c r="P107" s="35" t="s">
        <v>16</v>
      </c>
      <c r="Q107" s="35" t="s">
        <v>16</v>
      </c>
      <c r="R107" s="35" t="s">
        <v>16</v>
      </c>
      <c r="S107" s="35" t="s">
        <v>16</v>
      </c>
      <c r="T107" s="35" t="s">
        <v>16</v>
      </c>
      <c r="U107" s="13"/>
      <c r="V107" s="13"/>
      <c r="W107" s="13"/>
      <c r="X107" s="13"/>
      <c r="Y107" s="13"/>
      <c r="Z107" s="13"/>
    </row>
    <row r="108" spans="1:26" ht="19.899999999999999" customHeight="1" x14ac:dyDescent="0.25">
      <c r="A108" s="38" t="s">
        <v>1502</v>
      </c>
      <c r="B108" s="56" t="s">
        <v>1526</v>
      </c>
      <c r="C108" s="32" t="s">
        <v>1818</v>
      </c>
      <c r="D108" s="33" t="s">
        <v>1527</v>
      </c>
      <c r="E108" s="39" t="s">
        <v>16</v>
      </c>
      <c r="F108" s="40" t="s">
        <v>65</v>
      </c>
      <c r="G108" s="39" t="s">
        <v>16</v>
      </c>
      <c r="H108" s="38" t="s">
        <v>16</v>
      </c>
      <c r="I108" s="40" t="s">
        <v>16</v>
      </c>
      <c r="J108" s="38" t="s">
        <v>59</v>
      </c>
      <c r="K108" s="40" t="s">
        <v>24</v>
      </c>
      <c r="L108" s="42" t="s">
        <v>16</v>
      </c>
      <c r="M108" s="43" t="s">
        <v>74</v>
      </c>
      <c r="N108" s="40" t="s">
        <v>16</v>
      </c>
      <c r="O108" s="39" t="s">
        <v>16</v>
      </c>
      <c r="P108" s="38" t="s">
        <v>16</v>
      </c>
      <c r="Q108" s="40">
        <v>75</v>
      </c>
      <c r="R108" s="39" t="s">
        <v>34</v>
      </c>
      <c r="S108" s="38" t="s">
        <v>55</v>
      </c>
      <c r="T108" s="44" t="s">
        <v>79</v>
      </c>
      <c r="U108" s="13"/>
      <c r="V108" s="13"/>
      <c r="W108" s="13"/>
      <c r="X108" s="13"/>
      <c r="Y108" s="13"/>
      <c r="Z108" s="13"/>
    </row>
    <row r="109" spans="1:26" ht="19.899999999999999" customHeight="1" x14ac:dyDescent="0.25">
      <c r="A109" s="33" t="s">
        <v>1410</v>
      </c>
      <c r="B109" s="59" t="s">
        <v>304</v>
      </c>
      <c r="C109" s="32" t="s">
        <v>64</v>
      </c>
      <c r="D109" s="33" t="s">
        <v>305</v>
      </c>
      <c r="E109" s="41" t="s">
        <v>306</v>
      </c>
      <c r="F109" s="34" t="s">
        <v>65</v>
      </c>
      <c r="G109" s="32" t="s">
        <v>16</v>
      </c>
      <c r="H109" s="33" t="s">
        <v>16</v>
      </c>
      <c r="I109" s="46" t="s">
        <v>16</v>
      </c>
      <c r="J109" s="33" t="s">
        <v>19</v>
      </c>
      <c r="K109" s="46" t="s">
        <v>23</v>
      </c>
      <c r="L109" s="41" t="s">
        <v>16</v>
      </c>
      <c r="M109" s="47" t="s">
        <v>145</v>
      </c>
      <c r="N109" s="46" t="s">
        <v>16</v>
      </c>
      <c r="O109" s="32" t="s">
        <v>16</v>
      </c>
      <c r="P109" s="33" t="s">
        <v>16</v>
      </c>
      <c r="Q109" s="46" t="s">
        <v>57</v>
      </c>
      <c r="R109" s="32" t="s">
        <v>16</v>
      </c>
      <c r="S109" s="33" t="s">
        <v>17</v>
      </c>
      <c r="T109" s="34" t="s">
        <v>36</v>
      </c>
      <c r="U109" s="13"/>
      <c r="V109" s="13"/>
      <c r="W109" s="13"/>
      <c r="X109" s="13"/>
      <c r="Y109" s="13"/>
      <c r="Z109" s="13"/>
    </row>
    <row r="110" spans="1:26" ht="19.899999999999999" customHeight="1" x14ac:dyDescent="0.25">
      <c r="A110" s="33" t="s">
        <v>1412</v>
      </c>
      <c r="B110" s="56" t="s">
        <v>272</v>
      </c>
      <c r="C110" s="32" t="s">
        <v>64</v>
      </c>
      <c r="D110" s="33" t="s">
        <v>273</v>
      </c>
      <c r="E110" s="32" t="s">
        <v>16</v>
      </c>
      <c r="F110" s="34" t="s">
        <v>65</v>
      </c>
      <c r="G110" s="32" t="s">
        <v>16</v>
      </c>
      <c r="H110" s="33" t="s">
        <v>16</v>
      </c>
      <c r="I110" s="46" t="s">
        <v>16</v>
      </c>
      <c r="J110" s="33" t="s">
        <v>59</v>
      </c>
      <c r="K110" s="46" t="s">
        <v>16</v>
      </c>
      <c r="L110" s="41" t="s">
        <v>16</v>
      </c>
      <c r="M110" s="43" t="s">
        <v>95</v>
      </c>
      <c r="N110" s="46">
        <v>1</v>
      </c>
      <c r="O110" s="32" t="s">
        <v>16</v>
      </c>
      <c r="P110" s="33" t="s">
        <v>16</v>
      </c>
      <c r="Q110" s="46">
        <v>77400</v>
      </c>
      <c r="R110" s="32" t="s">
        <v>34</v>
      </c>
      <c r="S110" s="33" t="s">
        <v>35</v>
      </c>
      <c r="T110" s="34" t="s">
        <v>36</v>
      </c>
      <c r="U110" s="13"/>
      <c r="V110" s="13"/>
      <c r="W110" s="13"/>
      <c r="X110" s="13"/>
      <c r="Y110" s="13"/>
      <c r="Z110" s="13"/>
    </row>
    <row r="111" spans="1:26" ht="19.899999999999999" customHeight="1" x14ac:dyDescent="0.25">
      <c r="A111" s="33" t="s">
        <v>1413</v>
      </c>
      <c r="B111" s="72" t="s">
        <v>218</v>
      </c>
      <c r="C111" s="32" t="s">
        <v>1741</v>
      </c>
      <c r="D111" s="33" t="s">
        <v>1485</v>
      </c>
      <c r="E111" s="32" t="s">
        <v>16</v>
      </c>
      <c r="F111" s="34" t="s">
        <v>65</v>
      </c>
      <c r="G111" s="32" t="s">
        <v>16</v>
      </c>
      <c r="H111" s="33" t="s">
        <v>16</v>
      </c>
      <c r="I111" s="46" t="s">
        <v>16</v>
      </c>
      <c r="J111" s="33" t="s">
        <v>59</v>
      </c>
      <c r="K111" s="46" t="s">
        <v>16</v>
      </c>
      <c r="L111" s="41" t="s">
        <v>16</v>
      </c>
      <c r="M111" s="47" t="s">
        <v>74</v>
      </c>
      <c r="N111" s="46" t="s">
        <v>16</v>
      </c>
      <c r="O111" s="32" t="s">
        <v>16</v>
      </c>
      <c r="P111" s="43" t="s">
        <v>285</v>
      </c>
      <c r="Q111" s="46">
        <v>1675</v>
      </c>
      <c r="R111" s="32" t="s">
        <v>34</v>
      </c>
      <c r="S111" s="33" t="s">
        <v>35</v>
      </c>
      <c r="T111" s="34" t="s">
        <v>36</v>
      </c>
      <c r="U111" s="45"/>
      <c r="V111" s="45"/>
      <c r="W111" s="45"/>
      <c r="X111" s="45"/>
      <c r="Y111" s="45"/>
      <c r="Z111" s="45"/>
    </row>
    <row r="112" spans="1:26" ht="19.899999999999999" customHeight="1" x14ac:dyDescent="0.25">
      <c r="A112" s="33" t="s">
        <v>1415</v>
      </c>
      <c r="B112" s="77" t="s">
        <v>223</v>
      </c>
      <c r="C112" s="32" t="s">
        <v>64</v>
      </c>
      <c r="D112" s="33" t="s">
        <v>89</v>
      </c>
      <c r="E112" s="41" t="s">
        <v>239</v>
      </c>
      <c r="F112" s="34" t="s">
        <v>86</v>
      </c>
      <c r="G112" s="32" t="s">
        <v>16</v>
      </c>
      <c r="H112" s="33" t="s">
        <v>16</v>
      </c>
      <c r="I112" s="46" t="s">
        <v>16</v>
      </c>
      <c r="J112" s="33" t="s">
        <v>28</v>
      </c>
      <c r="K112" s="46" t="s">
        <v>254</v>
      </c>
      <c r="L112" s="41" t="s">
        <v>16</v>
      </c>
      <c r="M112" s="47" t="s">
        <v>252</v>
      </c>
      <c r="N112" s="46" t="s">
        <v>16</v>
      </c>
      <c r="O112" s="32">
        <v>67555684</v>
      </c>
      <c r="P112" s="33" t="s">
        <v>16</v>
      </c>
      <c r="Q112" s="46" t="s">
        <v>57</v>
      </c>
      <c r="R112" s="32" t="s">
        <v>16</v>
      </c>
      <c r="S112" s="33" t="s">
        <v>17</v>
      </c>
      <c r="T112" s="34" t="s">
        <v>36</v>
      </c>
      <c r="U112" s="13"/>
      <c r="V112" s="13"/>
      <c r="W112" s="13"/>
      <c r="X112" s="13"/>
      <c r="Y112" s="13"/>
      <c r="Z112" s="13"/>
    </row>
    <row r="113" spans="1:27" ht="19.899999999999999" customHeight="1" x14ac:dyDescent="0.25">
      <c r="A113" s="33" t="s">
        <v>1414</v>
      </c>
      <c r="B113" s="77" t="s">
        <v>223</v>
      </c>
      <c r="C113" s="32" t="s">
        <v>64</v>
      </c>
      <c r="D113" s="33" t="s">
        <v>89</v>
      </c>
      <c r="E113" s="41" t="s">
        <v>239</v>
      </c>
      <c r="F113" s="34" t="s">
        <v>86</v>
      </c>
      <c r="G113" s="32" t="s">
        <v>16</v>
      </c>
      <c r="H113" s="33" t="s">
        <v>16</v>
      </c>
      <c r="I113" s="46" t="s">
        <v>16</v>
      </c>
      <c r="J113" s="33" t="s">
        <v>28</v>
      </c>
      <c r="K113" s="46" t="s">
        <v>254</v>
      </c>
      <c r="L113" s="41" t="s">
        <v>16</v>
      </c>
      <c r="M113" s="47" t="s">
        <v>252</v>
      </c>
      <c r="N113" s="46" t="s">
        <v>16</v>
      </c>
      <c r="O113" s="32">
        <v>67555684</v>
      </c>
      <c r="P113" s="33" t="s">
        <v>16</v>
      </c>
      <c r="Q113" s="46" t="s">
        <v>57</v>
      </c>
      <c r="R113" s="32" t="s">
        <v>16</v>
      </c>
      <c r="S113" s="33" t="s">
        <v>17</v>
      </c>
      <c r="T113" s="34" t="s">
        <v>36</v>
      </c>
      <c r="U113" s="13"/>
      <c r="V113" s="13"/>
      <c r="W113" s="13"/>
      <c r="X113" s="13"/>
      <c r="Y113" s="13"/>
      <c r="Z113" s="13"/>
    </row>
    <row r="114" spans="1:27" ht="18" customHeight="1" x14ac:dyDescent="0.25">
      <c r="A114" s="38" t="s">
        <v>1416</v>
      </c>
      <c r="B114" s="13" t="s">
        <v>298</v>
      </c>
      <c r="C114" s="63" t="s">
        <v>84</v>
      </c>
      <c r="D114" s="33" t="s">
        <v>299</v>
      </c>
      <c r="E114" s="39" t="s">
        <v>16</v>
      </c>
      <c r="F114" s="39" t="s">
        <v>16</v>
      </c>
      <c r="G114" s="39" t="s">
        <v>16</v>
      </c>
      <c r="H114" s="39" t="s">
        <v>16</v>
      </c>
      <c r="I114" s="13"/>
      <c r="J114" s="39" t="s">
        <v>16</v>
      </c>
      <c r="K114" s="39" t="s">
        <v>16</v>
      </c>
      <c r="L114" s="39" t="s">
        <v>16</v>
      </c>
      <c r="M114" s="38" t="s">
        <v>16</v>
      </c>
      <c r="N114" s="40" t="s">
        <v>16</v>
      </c>
      <c r="O114" s="42" t="s">
        <v>16</v>
      </c>
      <c r="P114" s="38" t="s">
        <v>16</v>
      </c>
      <c r="Q114" s="40" t="s">
        <v>16</v>
      </c>
      <c r="R114" s="39" t="s">
        <v>34</v>
      </c>
      <c r="S114" s="38" t="s">
        <v>16</v>
      </c>
      <c r="T114" s="44" t="s">
        <v>36</v>
      </c>
      <c r="U114" s="13"/>
      <c r="V114" s="13"/>
      <c r="W114" s="13"/>
      <c r="X114" s="13"/>
      <c r="Y114" s="13"/>
      <c r="Z114" s="13"/>
      <c r="AA114" s="13"/>
    </row>
    <row r="115" spans="1:27" ht="19.899999999999999" customHeight="1" x14ac:dyDescent="0.25">
      <c r="A115" s="31" t="s">
        <v>1417</v>
      </c>
      <c r="B115" s="85" t="s">
        <v>1390</v>
      </c>
      <c r="C115" s="32" t="s">
        <v>84</v>
      </c>
      <c r="D115" s="33" t="s">
        <v>1391</v>
      </c>
      <c r="E115" s="92" t="s">
        <v>16</v>
      </c>
      <c r="F115" s="35" t="s">
        <v>16</v>
      </c>
      <c r="G115" s="35" t="s">
        <v>16</v>
      </c>
      <c r="H115" s="35" t="s">
        <v>16</v>
      </c>
      <c r="I115" s="35" t="s">
        <v>16</v>
      </c>
      <c r="J115" s="35" t="s">
        <v>16</v>
      </c>
      <c r="K115" s="35" t="s">
        <v>16</v>
      </c>
      <c r="L115" s="35" t="s">
        <v>16</v>
      </c>
      <c r="M115" s="35" t="s">
        <v>16</v>
      </c>
      <c r="N115" s="35" t="s">
        <v>16</v>
      </c>
      <c r="O115" s="35" t="s">
        <v>16</v>
      </c>
      <c r="P115" s="35" t="s">
        <v>16</v>
      </c>
      <c r="Q115" s="35" t="s">
        <v>16</v>
      </c>
      <c r="R115" s="35" t="s">
        <v>16</v>
      </c>
      <c r="S115" s="35" t="s">
        <v>16</v>
      </c>
      <c r="T115" s="35" t="s">
        <v>16</v>
      </c>
      <c r="U115" s="13"/>
      <c r="V115" s="13"/>
      <c r="W115" s="13"/>
      <c r="X115" s="13"/>
      <c r="Y115" s="13"/>
      <c r="Z115" s="13"/>
    </row>
    <row r="116" spans="1:27" ht="19.899999999999999" customHeight="1" x14ac:dyDescent="0.25">
      <c r="A116" s="33" t="s">
        <v>1418</v>
      </c>
      <c r="B116" s="77" t="s">
        <v>223</v>
      </c>
      <c r="C116" s="32" t="s">
        <v>64</v>
      </c>
      <c r="D116" s="33" t="s">
        <v>89</v>
      </c>
      <c r="E116" s="41" t="s">
        <v>289</v>
      </c>
      <c r="F116" s="34" t="s">
        <v>72</v>
      </c>
      <c r="G116" s="32" t="s">
        <v>16</v>
      </c>
      <c r="H116" s="33" t="s">
        <v>16</v>
      </c>
      <c r="I116" s="46" t="s">
        <v>16</v>
      </c>
      <c r="J116" s="33" t="s">
        <v>14</v>
      </c>
      <c r="K116" s="46" t="s">
        <v>16</v>
      </c>
      <c r="L116" s="41" t="s">
        <v>16</v>
      </c>
      <c r="M116" s="47" t="s">
        <v>74</v>
      </c>
      <c r="N116" s="46" t="s">
        <v>16</v>
      </c>
      <c r="O116" s="32" t="s">
        <v>16</v>
      </c>
      <c r="P116" s="33" t="s">
        <v>16</v>
      </c>
      <c r="Q116" s="46" t="s">
        <v>16</v>
      </c>
      <c r="R116" s="32" t="s">
        <v>16</v>
      </c>
      <c r="S116" s="33" t="s">
        <v>16</v>
      </c>
      <c r="T116" s="34" t="s">
        <v>36</v>
      </c>
      <c r="U116" s="13"/>
      <c r="V116" s="13"/>
      <c r="W116" s="13"/>
      <c r="X116" s="13"/>
      <c r="Y116" s="13"/>
      <c r="Z116" s="13"/>
    </row>
    <row r="117" spans="1:27" ht="19.899999999999999" customHeight="1" x14ac:dyDescent="0.25">
      <c r="A117" s="74" t="s">
        <v>1419</v>
      </c>
      <c r="B117" s="77" t="s">
        <v>171</v>
      </c>
      <c r="C117" s="32" t="s">
        <v>64</v>
      </c>
      <c r="D117" s="33" t="s">
        <v>172</v>
      </c>
      <c r="E117" s="93" t="s">
        <v>224</v>
      </c>
      <c r="F117" s="34" t="s">
        <v>72</v>
      </c>
      <c r="G117" s="39" t="s">
        <v>16</v>
      </c>
      <c r="H117" s="38" t="s">
        <v>16</v>
      </c>
      <c r="I117" s="40" t="s">
        <v>16</v>
      </c>
      <c r="J117" s="33" t="s">
        <v>28</v>
      </c>
      <c r="K117" s="40" t="s">
        <v>16</v>
      </c>
      <c r="L117" s="42" t="s">
        <v>16</v>
      </c>
      <c r="M117" s="43" t="s">
        <v>60</v>
      </c>
      <c r="N117" s="40" t="s">
        <v>16</v>
      </c>
      <c r="O117" s="39">
        <v>2320042938</v>
      </c>
      <c r="P117" s="38" t="s">
        <v>16</v>
      </c>
      <c r="Q117" s="40" t="s">
        <v>16</v>
      </c>
      <c r="R117" s="39" t="s">
        <v>16</v>
      </c>
      <c r="S117" s="38" t="s">
        <v>16</v>
      </c>
      <c r="T117" s="44" t="s">
        <v>36</v>
      </c>
      <c r="U117" s="13"/>
      <c r="V117" s="13"/>
      <c r="W117" s="13"/>
      <c r="X117" s="13"/>
      <c r="Y117" s="13"/>
      <c r="Z117" s="13"/>
    </row>
    <row r="118" spans="1:27" ht="19.899999999999999" customHeight="1" x14ac:dyDescent="0.25">
      <c r="A118" s="74" t="s">
        <v>1421</v>
      </c>
      <c r="B118" s="77" t="s">
        <v>225</v>
      </c>
      <c r="C118" s="32" t="s">
        <v>64</v>
      </c>
      <c r="D118" s="33" t="s">
        <v>226</v>
      </c>
      <c r="E118" s="93" t="s">
        <v>227</v>
      </c>
      <c r="F118" s="34" t="s">
        <v>72</v>
      </c>
      <c r="G118" s="39" t="s">
        <v>16</v>
      </c>
      <c r="H118" s="38" t="s">
        <v>16</v>
      </c>
      <c r="I118" s="40" t="s">
        <v>16</v>
      </c>
      <c r="J118" s="33" t="s">
        <v>28</v>
      </c>
      <c r="K118" s="40" t="s">
        <v>16</v>
      </c>
      <c r="L118" s="42" t="s">
        <v>16</v>
      </c>
      <c r="M118" s="43" t="s">
        <v>60</v>
      </c>
      <c r="N118" s="40" t="s">
        <v>16</v>
      </c>
      <c r="O118" s="39">
        <v>2302853555</v>
      </c>
      <c r="P118" s="38" t="s">
        <v>16</v>
      </c>
      <c r="Q118" s="40" t="s">
        <v>16</v>
      </c>
      <c r="R118" s="39" t="s">
        <v>16</v>
      </c>
      <c r="S118" s="38" t="s">
        <v>16</v>
      </c>
      <c r="T118" s="44" t="s">
        <v>36</v>
      </c>
      <c r="U118" s="13"/>
      <c r="V118" s="13"/>
      <c r="W118" s="13"/>
      <c r="X118" s="13"/>
      <c r="Y118" s="13"/>
      <c r="Z118" s="13"/>
    </row>
    <row r="119" spans="1:27" ht="19.899999999999999" customHeight="1" x14ac:dyDescent="0.25">
      <c r="A119" s="67" t="s">
        <v>1525</v>
      </c>
      <c r="B119" s="59" t="s">
        <v>1814</v>
      </c>
      <c r="C119" s="32" t="s">
        <v>64</v>
      </c>
      <c r="D119" s="33" t="s">
        <v>1815</v>
      </c>
      <c r="E119" s="41" t="s">
        <v>1816</v>
      </c>
      <c r="F119" s="34" t="s">
        <v>127</v>
      </c>
      <c r="G119" s="39" t="s">
        <v>16</v>
      </c>
      <c r="H119" s="38" t="s">
        <v>16</v>
      </c>
      <c r="I119" s="40" t="s">
        <v>16</v>
      </c>
      <c r="J119" s="33" t="s">
        <v>14</v>
      </c>
      <c r="K119" s="40" t="s">
        <v>293</v>
      </c>
      <c r="L119" s="42" t="s">
        <v>16</v>
      </c>
      <c r="M119" s="43" t="s">
        <v>1817</v>
      </c>
      <c r="N119" s="48" t="s">
        <v>128</v>
      </c>
      <c r="O119" s="39" t="s">
        <v>16</v>
      </c>
      <c r="P119" s="38" t="s">
        <v>16</v>
      </c>
      <c r="Q119" s="40" t="s">
        <v>16</v>
      </c>
      <c r="R119" s="39" t="s">
        <v>54</v>
      </c>
      <c r="S119" s="38" t="s">
        <v>55</v>
      </c>
      <c r="T119" s="44" t="s">
        <v>36</v>
      </c>
      <c r="U119" s="13"/>
      <c r="V119" s="13"/>
      <c r="W119" s="13"/>
      <c r="X119" s="13"/>
      <c r="Y119" s="13"/>
      <c r="Z119" s="13"/>
    </row>
    <row r="120" spans="1:27" ht="19.899999999999999" customHeight="1" x14ac:dyDescent="0.25">
      <c r="A120" s="31" t="s">
        <v>1718</v>
      </c>
      <c r="B120" s="85" t="s">
        <v>1716</v>
      </c>
      <c r="C120" s="32" t="s">
        <v>1719</v>
      </c>
      <c r="D120" s="33" t="s">
        <v>1717</v>
      </c>
      <c r="E120" s="35" t="s">
        <v>16</v>
      </c>
      <c r="F120" s="35" t="s">
        <v>1719</v>
      </c>
      <c r="G120" s="35" t="s">
        <v>16</v>
      </c>
      <c r="H120" s="35" t="s">
        <v>16</v>
      </c>
      <c r="I120" s="35" t="s">
        <v>16</v>
      </c>
      <c r="J120" s="35" t="s">
        <v>16</v>
      </c>
      <c r="K120" s="35" t="s">
        <v>16</v>
      </c>
      <c r="L120" s="35" t="s">
        <v>16</v>
      </c>
      <c r="M120" s="35" t="s">
        <v>16</v>
      </c>
      <c r="N120" s="35" t="s">
        <v>16</v>
      </c>
      <c r="O120" s="35" t="s">
        <v>16</v>
      </c>
      <c r="P120" s="35" t="s">
        <v>16</v>
      </c>
      <c r="Q120" s="35" t="s">
        <v>16</v>
      </c>
      <c r="R120" s="35" t="s">
        <v>16</v>
      </c>
      <c r="S120" s="35" t="s">
        <v>16</v>
      </c>
      <c r="T120" s="35" t="s">
        <v>16</v>
      </c>
      <c r="U120" s="13"/>
      <c r="V120" s="13"/>
      <c r="W120" s="13"/>
      <c r="X120" s="13"/>
      <c r="Y120" s="13"/>
      <c r="Z120" s="13"/>
    </row>
    <row r="121" spans="1:27" ht="19.899999999999999" customHeight="1" x14ac:dyDescent="0.25">
      <c r="A121" s="67" t="s">
        <v>1507</v>
      </c>
      <c r="B121" s="56" t="s">
        <v>223</v>
      </c>
      <c r="C121" s="32" t="s">
        <v>64</v>
      </c>
      <c r="D121" s="33" t="s">
        <v>89</v>
      </c>
      <c r="E121" s="41" t="s">
        <v>296</v>
      </c>
      <c r="F121" s="34" t="s">
        <v>127</v>
      </c>
      <c r="G121" s="39" t="s">
        <v>16</v>
      </c>
      <c r="H121" s="38" t="s">
        <v>16</v>
      </c>
      <c r="I121" s="40" t="s">
        <v>16</v>
      </c>
      <c r="J121" s="33" t="s">
        <v>14</v>
      </c>
      <c r="K121" s="40" t="s">
        <v>293</v>
      </c>
      <c r="L121" s="42" t="s">
        <v>16</v>
      </c>
      <c r="M121" s="43" t="s">
        <v>297</v>
      </c>
      <c r="N121" s="48" t="s">
        <v>128</v>
      </c>
      <c r="O121" s="39" t="s">
        <v>16</v>
      </c>
      <c r="P121" s="38" t="s">
        <v>16</v>
      </c>
      <c r="Q121" s="40" t="s">
        <v>16</v>
      </c>
      <c r="R121" s="39" t="s">
        <v>54</v>
      </c>
      <c r="S121" s="38" t="s">
        <v>55</v>
      </c>
      <c r="T121" s="44" t="s">
        <v>36</v>
      </c>
      <c r="U121" s="13"/>
      <c r="V121" s="13"/>
      <c r="W121" s="13"/>
      <c r="X121" s="13"/>
      <c r="Y121" s="13"/>
      <c r="Z121" s="13"/>
    </row>
    <row r="122" spans="1:27" ht="19.899999999999999" customHeight="1" x14ac:dyDescent="0.25">
      <c r="A122" s="67" t="s">
        <v>1422</v>
      </c>
      <c r="B122" s="59" t="s">
        <v>248</v>
      </c>
      <c r="C122" s="32" t="s">
        <v>1741</v>
      </c>
      <c r="D122" s="33" t="s">
        <v>249</v>
      </c>
      <c r="E122" s="41" t="s">
        <v>292</v>
      </c>
      <c r="F122" s="34" t="s">
        <v>127</v>
      </c>
      <c r="G122" s="39" t="s">
        <v>16</v>
      </c>
      <c r="H122" s="38" t="s">
        <v>16</v>
      </c>
      <c r="I122" s="40" t="s">
        <v>16</v>
      </c>
      <c r="J122" s="33" t="s">
        <v>14</v>
      </c>
      <c r="K122" s="40" t="s">
        <v>293</v>
      </c>
      <c r="L122" s="42" t="s">
        <v>16</v>
      </c>
      <c r="M122" s="43" t="s">
        <v>294</v>
      </c>
      <c r="N122" s="48" t="s">
        <v>128</v>
      </c>
      <c r="O122" s="39" t="s">
        <v>16</v>
      </c>
      <c r="P122" s="38" t="s">
        <v>16</v>
      </c>
      <c r="Q122" s="40" t="s">
        <v>16</v>
      </c>
      <c r="R122" s="39" t="s">
        <v>54</v>
      </c>
      <c r="S122" s="38" t="s">
        <v>55</v>
      </c>
      <c r="T122" s="44" t="s">
        <v>36</v>
      </c>
      <c r="U122" s="13"/>
      <c r="V122" s="13"/>
      <c r="W122" s="13"/>
      <c r="X122" s="13"/>
      <c r="Y122" s="13"/>
      <c r="Z122" s="13"/>
    </row>
    <row r="123" spans="1:27" ht="19.899999999999999" customHeight="1" x14ac:dyDescent="0.25">
      <c r="A123" s="68" t="s">
        <v>1423</v>
      </c>
      <c r="B123" s="77" t="s">
        <v>223</v>
      </c>
      <c r="C123" s="32" t="s">
        <v>64</v>
      </c>
      <c r="D123" s="33" t="s">
        <v>89</v>
      </c>
      <c r="E123" s="41" t="s">
        <v>257</v>
      </c>
      <c r="F123" s="34" t="s">
        <v>86</v>
      </c>
      <c r="G123" s="32" t="s">
        <v>16</v>
      </c>
      <c r="H123" s="33" t="s">
        <v>16</v>
      </c>
      <c r="I123" s="46" t="s">
        <v>16</v>
      </c>
      <c r="J123" s="33" t="s">
        <v>28</v>
      </c>
      <c r="K123" s="46" t="s">
        <v>240</v>
      </c>
      <c r="L123" s="41" t="s">
        <v>16</v>
      </c>
      <c r="M123" s="47" t="s">
        <v>258</v>
      </c>
      <c r="N123" s="46">
        <v>1</v>
      </c>
      <c r="O123" s="32">
        <v>67555684</v>
      </c>
      <c r="P123" s="33" t="s">
        <v>16</v>
      </c>
      <c r="Q123" s="46" t="s">
        <v>57</v>
      </c>
      <c r="R123" s="32" t="s">
        <v>16</v>
      </c>
      <c r="S123" s="33" t="s">
        <v>55</v>
      </c>
      <c r="T123" s="34" t="s">
        <v>36</v>
      </c>
      <c r="U123" s="13"/>
      <c r="V123" s="13"/>
      <c r="W123" s="13"/>
      <c r="X123" s="13"/>
      <c r="Y123" s="13"/>
      <c r="Z123" s="13"/>
    </row>
    <row r="124" spans="1:27" ht="19.899999999999999" customHeight="1" x14ac:dyDescent="0.25">
      <c r="A124" s="68" t="s">
        <v>1424</v>
      </c>
      <c r="B124" s="77" t="s">
        <v>223</v>
      </c>
      <c r="C124" s="32" t="s">
        <v>64</v>
      </c>
      <c r="D124" s="33" t="s">
        <v>89</v>
      </c>
      <c r="E124" s="41" t="s">
        <v>253</v>
      </c>
      <c r="F124" s="34" t="s">
        <v>86</v>
      </c>
      <c r="G124" s="32" t="s">
        <v>16</v>
      </c>
      <c r="H124" s="33" t="s">
        <v>16</v>
      </c>
      <c r="I124" s="46" t="s">
        <v>16</v>
      </c>
      <c r="J124" s="33" t="s">
        <v>14</v>
      </c>
      <c r="K124" s="46" t="s">
        <v>15</v>
      </c>
      <c r="L124" s="41" t="s">
        <v>16</v>
      </c>
      <c r="M124" s="47" t="s">
        <v>92</v>
      </c>
      <c r="N124" s="46" t="s">
        <v>16</v>
      </c>
      <c r="O124" s="32" t="s">
        <v>16</v>
      </c>
      <c r="P124" s="33" t="s">
        <v>16</v>
      </c>
      <c r="Q124" s="46" t="s">
        <v>57</v>
      </c>
      <c r="R124" s="32" t="s">
        <v>16</v>
      </c>
      <c r="S124" s="33" t="s">
        <v>17</v>
      </c>
      <c r="T124" s="34" t="s">
        <v>36</v>
      </c>
      <c r="U124" s="13"/>
      <c r="V124" s="13"/>
      <c r="W124" s="13"/>
      <c r="X124" s="13"/>
      <c r="Y124" s="13"/>
      <c r="Z124" s="13"/>
    </row>
    <row r="125" spans="1:27" ht="19.899999999999999" customHeight="1" x14ac:dyDescent="0.25">
      <c r="A125" s="80" t="s">
        <v>1510</v>
      </c>
      <c r="B125" s="72" t="s">
        <v>187</v>
      </c>
      <c r="C125" s="32" t="s">
        <v>64</v>
      </c>
      <c r="D125" s="33" t="s">
        <v>188</v>
      </c>
      <c r="E125" s="35" t="s">
        <v>16</v>
      </c>
      <c r="F125" s="34" t="s">
        <v>65</v>
      </c>
      <c r="G125" s="35" t="s">
        <v>46</v>
      </c>
      <c r="H125" s="31" t="s">
        <v>16</v>
      </c>
      <c r="I125" s="34" t="s">
        <v>47</v>
      </c>
      <c r="J125" s="31" t="s">
        <v>16</v>
      </c>
      <c r="K125" s="34" t="s">
        <v>16</v>
      </c>
      <c r="L125" s="35" t="s">
        <v>48</v>
      </c>
      <c r="M125" s="31" t="s">
        <v>16</v>
      </c>
      <c r="N125" s="34" t="s">
        <v>16</v>
      </c>
      <c r="O125" s="35" t="s">
        <v>16</v>
      </c>
      <c r="P125" s="31" t="s">
        <v>16</v>
      </c>
      <c r="Q125" s="34" t="s">
        <v>16</v>
      </c>
      <c r="R125" s="35" t="s">
        <v>16</v>
      </c>
      <c r="S125" s="31" t="s">
        <v>16</v>
      </c>
      <c r="T125" s="34" t="s">
        <v>36</v>
      </c>
      <c r="U125" s="13"/>
      <c r="V125" s="13"/>
      <c r="W125" s="13"/>
      <c r="X125" s="13"/>
      <c r="Y125" s="13"/>
      <c r="Z125" s="13"/>
    </row>
    <row r="126" spans="1:27" ht="19.899999999999999" customHeight="1" x14ac:dyDescent="0.25">
      <c r="A126" s="31" t="s">
        <v>1425</v>
      </c>
      <c r="B126" s="85" t="s">
        <v>212</v>
      </c>
      <c r="C126" s="32" t="s">
        <v>67</v>
      </c>
      <c r="D126" s="33" t="s">
        <v>213</v>
      </c>
      <c r="E126" s="35" t="s">
        <v>16</v>
      </c>
      <c r="F126" s="35" t="s">
        <v>16</v>
      </c>
      <c r="G126" s="35" t="s">
        <v>16</v>
      </c>
      <c r="H126" s="35" t="s">
        <v>16</v>
      </c>
      <c r="I126" s="35" t="s">
        <v>16</v>
      </c>
      <c r="J126" s="35" t="s">
        <v>16</v>
      </c>
      <c r="K126" s="35" t="s">
        <v>16</v>
      </c>
      <c r="L126" s="35" t="s">
        <v>16</v>
      </c>
      <c r="M126" s="35" t="s">
        <v>16</v>
      </c>
      <c r="N126" s="35" t="s">
        <v>16</v>
      </c>
      <c r="O126" s="35" t="s">
        <v>16</v>
      </c>
      <c r="P126" s="35" t="s">
        <v>16</v>
      </c>
      <c r="Q126" s="35" t="s">
        <v>16</v>
      </c>
      <c r="R126" s="35" t="s">
        <v>16</v>
      </c>
      <c r="S126" s="35" t="s">
        <v>16</v>
      </c>
      <c r="T126" s="35" t="s">
        <v>16</v>
      </c>
      <c r="U126" s="13"/>
      <c r="V126" s="13"/>
      <c r="W126" s="13"/>
      <c r="X126" s="13"/>
      <c r="Y126" s="13"/>
      <c r="Z126" s="13"/>
    </row>
    <row r="127" spans="1:27" ht="19.899999999999999" customHeight="1" x14ac:dyDescent="0.25">
      <c r="A127" s="31" t="s">
        <v>1426</v>
      </c>
      <c r="B127" s="85" t="s">
        <v>197</v>
      </c>
      <c r="C127" s="32" t="s">
        <v>67</v>
      </c>
      <c r="D127" s="33" t="s">
        <v>198</v>
      </c>
      <c r="E127" s="35" t="s">
        <v>16</v>
      </c>
      <c r="F127" s="35" t="s">
        <v>16</v>
      </c>
      <c r="G127" s="35" t="s">
        <v>16</v>
      </c>
      <c r="H127" s="35" t="s">
        <v>16</v>
      </c>
      <c r="I127" s="35" t="s">
        <v>16</v>
      </c>
      <c r="J127" s="38" t="s">
        <v>14</v>
      </c>
      <c r="K127" s="35" t="s">
        <v>16</v>
      </c>
      <c r="L127" s="35" t="s">
        <v>16</v>
      </c>
      <c r="M127" s="35" t="s">
        <v>16</v>
      </c>
      <c r="N127" s="35" t="s">
        <v>16</v>
      </c>
      <c r="O127" s="35" t="s">
        <v>16</v>
      </c>
      <c r="P127" s="35" t="s">
        <v>16</v>
      </c>
      <c r="Q127" s="35" t="s">
        <v>16</v>
      </c>
      <c r="R127" s="35" t="s">
        <v>16</v>
      </c>
      <c r="S127" s="35" t="s">
        <v>16</v>
      </c>
      <c r="T127" s="35" t="s">
        <v>16</v>
      </c>
      <c r="U127" s="13"/>
      <c r="V127" s="13"/>
      <c r="W127" s="13"/>
      <c r="X127" s="13"/>
      <c r="Y127" s="13"/>
      <c r="Z127" s="13"/>
    </row>
    <row r="128" spans="1:27" ht="19.899999999999999" customHeight="1" x14ac:dyDescent="0.25">
      <c r="A128" s="31" t="s">
        <v>1428</v>
      </c>
      <c r="B128" s="85" t="s">
        <v>200</v>
      </c>
      <c r="C128" s="32" t="s">
        <v>64</v>
      </c>
      <c r="D128" s="33" t="s">
        <v>201</v>
      </c>
      <c r="E128" s="129" t="s">
        <v>202</v>
      </c>
      <c r="F128" s="35" t="s">
        <v>16</v>
      </c>
      <c r="G128" s="35" t="s">
        <v>16</v>
      </c>
      <c r="H128" s="35" t="s">
        <v>16</v>
      </c>
      <c r="I128" s="35" t="s">
        <v>16</v>
      </c>
      <c r="J128" s="38" t="s">
        <v>19</v>
      </c>
      <c r="K128" s="40" t="s">
        <v>15</v>
      </c>
      <c r="L128" s="35" t="s">
        <v>16</v>
      </c>
      <c r="M128" s="129" t="s">
        <v>92</v>
      </c>
      <c r="N128" s="35" t="s">
        <v>16</v>
      </c>
      <c r="O128" s="35" t="s">
        <v>16</v>
      </c>
      <c r="P128" s="35" t="s">
        <v>16</v>
      </c>
      <c r="Q128" s="35" t="s">
        <v>16</v>
      </c>
      <c r="R128" s="35" t="s">
        <v>16</v>
      </c>
      <c r="S128" s="33" t="s">
        <v>17</v>
      </c>
      <c r="T128" s="35" t="s">
        <v>16</v>
      </c>
      <c r="U128" s="13"/>
      <c r="V128" s="13"/>
      <c r="W128" s="13"/>
      <c r="X128" s="13"/>
      <c r="Y128" s="13"/>
      <c r="Z128" s="13"/>
    </row>
    <row r="129" spans="1:26" ht="19.899999999999999" customHeight="1" x14ac:dyDescent="0.25">
      <c r="A129" s="68" t="s">
        <v>1508</v>
      </c>
      <c r="B129" s="79" t="s">
        <v>298</v>
      </c>
      <c r="C129" s="32" t="s">
        <v>84</v>
      </c>
      <c r="D129" s="33" t="s">
        <v>299</v>
      </c>
      <c r="E129" s="41" t="s">
        <v>300</v>
      </c>
      <c r="F129" s="34" t="s">
        <v>127</v>
      </c>
      <c r="G129" s="32" t="s">
        <v>16</v>
      </c>
      <c r="H129" s="33" t="s">
        <v>16</v>
      </c>
      <c r="I129" s="46" t="s">
        <v>16</v>
      </c>
      <c r="J129" s="33" t="s">
        <v>21</v>
      </c>
      <c r="K129" s="46" t="s">
        <v>87</v>
      </c>
      <c r="L129" s="41" t="s">
        <v>16</v>
      </c>
      <c r="M129" s="47" t="s">
        <v>141</v>
      </c>
      <c r="N129" s="46" t="s">
        <v>16</v>
      </c>
      <c r="O129" s="32" t="s">
        <v>16</v>
      </c>
      <c r="P129" s="33" t="s">
        <v>16</v>
      </c>
      <c r="Q129" s="46" t="s">
        <v>57</v>
      </c>
      <c r="R129" s="32" t="s">
        <v>16</v>
      </c>
      <c r="S129" s="33" t="s">
        <v>17</v>
      </c>
      <c r="T129" s="34" t="s">
        <v>36</v>
      </c>
      <c r="U129" s="13"/>
      <c r="V129" s="13"/>
      <c r="W129" s="13"/>
      <c r="X129" s="13"/>
      <c r="Y129" s="13"/>
      <c r="Z129" s="13"/>
    </row>
    <row r="130" spans="1:26" ht="19.899999999999999" customHeight="1" x14ac:dyDescent="0.25">
      <c r="A130" s="38" t="s">
        <v>1429</v>
      </c>
      <c r="B130" s="56" t="s">
        <v>1745</v>
      </c>
      <c r="C130" s="32" t="s">
        <v>64</v>
      </c>
      <c r="D130" s="33" t="s">
        <v>1746</v>
      </c>
      <c r="E130" s="39" t="s">
        <v>16</v>
      </c>
      <c r="F130" s="40" t="s">
        <v>65</v>
      </c>
      <c r="G130" s="39" t="s">
        <v>16</v>
      </c>
      <c r="H130" s="38" t="s">
        <v>16</v>
      </c>
      <c r="I130" s="40" t="s">
        <v>16</v>
      </c>
      <c r="J130" s="38" t="s">
        <v>59</v>
      </c>
      <c r="K130" s="40" t="s">
        <v>24</v>
      </c>
      <c r="L130" s="42" t="s">
        <v>16</v>
      </c>
      <c r="M130" s="43" t="s">
        <v>60</v>
      </c>
      <c r="N130" s="40" t="s">
        <v>16</v>
      </c>
      <c r="O130" s="39" t="s">
        <v>16</v>
      </c>
      <c r="P130" s="38" t="s">
        <v>16</v>
      </c>
      <c r="Q130" s="40">
        <v>200</v>
      </c>
      <c r="R130" s="39" t="s">
        <v>34</v>
      </c>
      <c r="S130" s="38" t="s">
        <v>55</v>
      </c>
      <c r="T130" s="44" t="s">
        <v>79</v>
      </c>
      <c r="U130" s="13"/>
      <c r="V130" s="13"/>
      <c r="W130" s="13"/>
      <c r="X130" s="13"/>
      <c r="Y130" s="13"/>
      <c r="Z130" s="13"/>
    </row>
    <row r="131" spans="1:26" ht="19.899999999999999" customHeight="1" x14ac:dyDescent="0.25">
      <c r="A131" s="38" t="s">
        <v>1430</v>
      </c>
      <c r="B131" s="59" t="s">
        <v>269</v>
      </c>
      <c r="C131" s="32" t="s">
        <v>64</v>
      </c>
      <c r="D131" s="33" t="s">
        <v>270</v>
      </c>
      <c r="E131" s="39" t="s">
        <v>16</v>
      </c>
      <c r="F131" s="34" t="s">
        <v>65</v>
      </c>
      <c r="G131" s="39" t="s">
        <v>16</v>
      </c>
      <c r="H131" s="38" t="s">
        <v>16</v>
      </c>
      <c r="I131" s="40" t="s">
        <v>16</v>
      </c>
      <c r="J131" s="38" t="s">
        <v>59</v>
      </c>
      <c r="K131" s="40" t="s">
        <v>15</v>
      </c>
      <c r="L131" s="42" t="s">
        <v>16</v>
      </c>
      <c r="M131" s="43" t="s">
        <v>60</v>
      </c>
      <c r="N131" s="40" t="s">
        <v>16</v>
      </c>
      <c r="O131" s="39" t="s">
        <v>16</v>
      </c>
      <c r="P131" s="38" t="s">
        <v>16</v>
      </c>
      <c r="Q131" s="48" t="s">
        <v>92</v>
      </c>
      <c r="R131" s="39" t="s">
        <v>34</v>
      </c>
      <c r="S131" s="38" t="s">
        <v>55</v>
      </c>
      <c r="T131" s="44" t="s">
        <v>79</v>
      </c>
      <c r="U131" s="13"/>
      <c r="V131" s="13"/>
      <c r="W131" s="13"/>
      <c r="X131" s="13"/>
      <c r="Y131" s="13"/>
      <c r="Z131" s="13"/>
    </row>
    <row r="132" spans="1:26" ht="19.899999999999999" customHeight="1" x14ac:dyDescent="0.25">
      <c r="A132" s="131" t="s">
        <v>1524</v>
      </c>
      <c r="B132" s="75" t="s">
        <v>220</v>
      </c>
      <c r="C132" s="32" t="s">
        <v>84</v>
      </c>
      <c r="D132" s="33" t="s">
        <v>77</v>
      </c>
      <c r="E132" s="41" t="s">
        <v>246</v>
      </c>
      <c r="F132" s="34" t="s">
        <v>86</v>
      </c>
      <c r="G132" s="39" t="s">
        <v>16</v>
      </c>
      <c r="H132" s="38" t="s">
        <v>16</v>
      </c>
      <c r="I132" s="40" t="s">
        <v>16</v>
      </c>
      <c r="J132" s="33" t="s">
        <v>19</v>
      </c>
      <c r="K132" s="40" t="s">
        <v>87</v>
      </c>
      <c r="L132" s="42" t="s">
        <v>16</v>
      </c>
      <c r="M132" s="43" t="s">
        <v>247</v>
      </c>
      <c r="N132" s="40" t="s">
        <v>16</v>
      </c>
      <c r="O132" s="39" t="s">
        <v>16</v>
      </c>
      <c r="P132" s="38" t="s">
        <v>16</v>
      </c>
      <c r="Q132" s="40" t="s">
        <v>16</v>
      </c>
      <c r="R132" s="39" t="s">
        <v>54</v>
      </c>
      <c r="S132" s="38" t="s">
        <v>55</v>
      </c>
      <c r="T132" s="44" t="s">
        <v>36</v>
      </c>
      <c r="U132" s="13"/>
      <c r="V132" s="13"/>
      <c r="W132" s="13"/>
      <c r="X132" s="13"/>
      <c r="Y132" s="13"/>
      <c r="Z132" s="13"/>
    </row>
    <row r="133" spans="1:26" ht="19.899999999999999" customHeight="1" x14ac:dyDescent="0.25">
      <c r="A133" s="131" t="s">
        <v>1506</v>
      </c>
      <c r="B133" s="75" t="s">
        <v>220</v>
      </c>
      <c r="C133" s="32" t="s">
        <v>84</v>
      </c>
      <c r="D133" s="33" t="s">
        <v>77</v>
      </c>
      <c r="E133" s="41" t="s">
        <v>1523</v>
      </c>
      <c r="F133" s="34" t="s">
        <v>86</v>
      </c>
      <c r="G133" s="39" t="s">
        <v>16</v>
      </c>
      <c r="H133" s="38" t="s">
        <v>16</v>
      </c>
      <c r="I133" s="40" t="s">
        <v>16</v>
      </c>
      <c r="J133" s="38" t="s">
        <v>14</v>
      </c>
      <c r="K133" s="40" t="s">
        <v>29</v>
      </c>
      <c r="L133" s="42" t="s">
        <v>16</v>
      </c>
      <c r="M133" s="43" t="s">
        <v>60</v>
      </c>
      <c r="N133" s="40">
        <v>1</v>
      </c>
      <c r="O133" s="39" t="s">
        <v>16</v>
      </c>
      <c r="P133" s="38" t="s">
        <v>16</v>
      </c>
      <c r="Q133" s="40" t="s">
        <v>16</v>
      </c>
      <c r="R133" s="39" t="s">
        <v>54</v>
      </c>
      <c r="S133" s="38" t="s">
        <v>55</v>
      </c>
      <c r="T133" s="44" t="s">
        <v>36</v>
      </c>
      <c r="U133" s="13"/>
      <c r="V133" s="13"/>
      <c r="W133" s="13"/>
      <c r="X133" s="13"/>
      <c r="Y133" s="13"/>
      <c r="Z133" s="13"/>
    </row>
    <row r="134" spans="1:26" ht="19.899999999999999" customHeight="1" x14ac:dyDescent="0.25">
      <c r="A134" s="31" t="s">
        <v>1431</v>
      </c>
      <c r="B134" s="85" t="s">
        <v>200</v>
      </c>
      <c r="C134" s="32" t="s">
        <v>64</v>
      </c>
      <c r="D134" s="33" t="s">
        <v>201</v>
      </c>
      <c r="E134" s="129" t="s">
        <v>202</v>
      </c>
      <c r="F134" s="35" t="s">
        <v>16</v>
      </c>
      <c r="G134" s="35" t="s">
        <v>16</v>
      </c>
      <c r="H134" s="35" t="s">
        <v>16</v>
      </c>
      <c r="I134" s="35" t="s">
        <v>16</v>
      </c>
      <c r="J134" s="38" t="s">
        <v>19</v>
      </c>
      <c r="K134" s="40" t="s">
        <v>15</v>
      </c>
      <c r="L134" s="35" t="s">
        <v>16</v>
      </c>
      <c r="M134" s="129" t="s">
        <v>92</v>
      </c>
      <c r="N134" s="35" t="s">
        <v>16</v>
      </c>
      <c r="O134" s="35" t="s">
        <v>16</v>
      </c>
      <c r="P134" s="35" t="s">
        <v>16</v>
      </c>
      <c r="Q134" s="35" t="s">
        <v>16</v>
      </c>
      <c r="R134" s="35" t="s">
        <v>16</v>
      </c>
      <c r="S134" s="33" t="s">
        <v>17</v>
      </c>
      <c r="T134" s="35" t="s">
        <v>16</v>
      </c>
      <c r="U134" s="13"/>
      <c r="V134" s="13"/>
      <c r="W134" s="13"/>
      <c r="X134" s="13"/>
      <c r="Y134" s="13"/>
      <c r="Z134" s="13"/>
    </row>
    <row r="135" spans="1:26" ht="19.899999999999999" customHeight="1" x14ac:dyDescent="0.25">
      <c r="A135" s="31" t="s">
        <v>1511</v>
      </c>
      <c r="B135" s="85" t="s">
        <v>1390</v>
      </c>
      <c r="C135" s="32" t="s">
        <v>84</v>
      </c>
      <c r="D135" s="33" t="s">
        <v>1391</v>
      </c>
      <c r="E135" s="92" t="s">
        <v>16</v>
      </c>
      <c r="F135" s="35" t="s">
        <v>16</v>
      </c>
      <c r="G135" s="35" t="s">
        <v>16</v>
      </c>
      <c r="H135" s="35" t="s">
        <v>16</v>
      </c>
      <c r="I135" s="35" t="s">
        <v>16</v>
      </c>
      <c r="J135" s="35" t="s">
        <v>16</v>
      </c>
      <c r="K135" s="35" t="s">
        <v>16</v>
      </c>
      <c r="L135" s="35" t="s">
        <v>16</v>
      </c>
      <c r="M135" s="35" t="s">
        <v>16</v>
      </c>
      <c r="N135" s="35" t="s">
        <v>16</v>
      </c>
      <c r="O135" s="35" t="s">
        <v>16</v>
      </c>
      <c r="P135" s="35" t="s">
        <v>16</v>
      </c>
      <c r="Q135" s="35" t="s">
        <v>16</v>
      </c>
      <c r="R135" s="35" t="s">
        <v>16</v>
      </c>
      <c r="S135" s="35" t="s">
        <v>16</v>
      </c>
      <c r="T135" s="35" t="s">
        <v>16</v>
      </c>
      <c r="U135" s="13"/>
      <c r="V135" s="13"/>
      <c r="W135" s="13"/>
      <c r="X135" s="13"/>
      <c r="Y135" s="13"/>
      <c r="Z135" s="13"/>
    </row>
    <row r="136" spans="1:26" ht="19.899999999999999" customHeight="1" x14ac:dyDescent="0.25">
      <c r="A136" s="31" t="s">
        <v>1512</v>
      </c>
      <c r="B136" s="85" t="s">
        <v>1390</v>
      </c>
      <c r="C136" s="32" t="s">
        <v>84</v>
      </c>
      <c r="D136" s="33" t="s">
        <v>1391</v>
      </c>
      <c r="E136" s="92" t="s">
        <v>16</v>
      </c>
      <c r="F136" s="35" t="s">
        <v>16</v>
      </c>
      <c r="G136" s="35" t="s">
        <v>16</v>
      </c>
      <c r="H136" s="35" t="s">
        <v>16</v>
      </c>
      <c r="I136" s="35" t="s">
        <v>16</v>
      </c>
      <c r="J136" s="35" t="s">
        <v>16</v>
      </c>
      <c r="K136" s="35" t="s">
        <v>16</v>
      </c>
      <c r="L136" s="35" t="s">
        <v>16</v>
      </c>
      <c r="M136" s="35" t="s">
        <v>16</v>
      </c>
      <c r="N136" s="35" t="s">
        <v>16</v>
      </c>
      <c r="O136" s="35" t="s">
        <v>16</v>
      </c>
      <c r="P136" s="35" t="s">
        <v>16</v>
      </c>
      <c r="Q136" s="35" t="s">
        <v>16</v>
      </c>
      <c r="R136" s="35" t="s">
        <v>16</v>
      </c>
      <c r="S136" s="35" t="s">
        <v>16</v>
      </c>
      <c r="T136" s="35" t="s">
        <v>16</v>
      </c>
      <c r="U136" s="13"/>
      <c r="V136" s="13"/>
      <c r="W136" s="13"/>
      <c r="X136" s="13"/>
      <c r="Y136" s="13"/>
      <c r="Z136" s="13"/>
    </row>
    <row r="137" spans="1:26" ht="19.899999999999999" customHeight="1" x14ac:dyDescent="0.25">
      <c r="A137" s="31" t="s">
        <v>1513</v>
      </c>
      <c r="B137" s="85" t="s">
        <v>1390</v>
      </c>
      <c r="C137" s="32" t="s">
        <v>84</v>
      </c>
      <c r="D137" s="33" t="s">
        <v>1391</v>
      </c>
      <c r="E137" s="92" t="s">
        <v>16</v>
      </c>
      <c r="F137" s="35" t="s">
        <v>16</v>
      </c>
      <c r="G137" s="35" t="s">
        <v>16</v>
      </c>
      <c r="H137" s="35" t="s">
        <v>16</v>
      </c>
      <c r="I137" s="35" t="s">
        <v>16</v>
      </c>
      <c r="J137" s="35" t="s">
        <v>16</v>
      </c>
      <c r="K137" s="35" t="s">
        <v>16</v>
      </c>
      <c r="L137" s="35" t="s">
        <v>16</v>
      </c>
      <c r="M137" s="35" t="s">
        <v>16</v>
      </c>
      <c r="N137" s="35" t="s">
        <v>16</v>
      </c>
      <c r="O137" s="35" t="s">
        <v>16</v>
      </c>
      <c r="P137" s="35" t="s">
        <v>16</v>
      </c>
      <c r="Q137" s="35" t="s">
        <v>16</v>
      </c>
      <c r="R137" s="35" t="s">
        <v>16</v>
      </c>
      <c r="S137" s="35" t="s">
        <v>16</v>
      </c>
      <c r="T137" s="35" t="s">
        <v>16</v>
      </c>
      <c r="U137" s="13"/>
      <c r="V137" s="13"/>
      <c r="W137" s="13"/>
      <c r="X137" s="13"/>
      <c r="Y137" s="13"/>
      <c r="Z137" s="13"/>
    </row>
    <row r="138" spans="1:26" ht="19.899999999999999" customHeight="1" x14ac:dyDescent="0.25">
      <c r="A138" s="74" t="s">
        <v>1432</v>
      </c>
      <c r="B138" s="77" t="s">
        <v>220</v>
      </c>
      <c r="C138" s="32" t="s">
        <v>84</v>
      </c>
      <c r="D138" s="33" t="s">
        <v>77</v>
      </c>
      <c r="E138" s="93" t="s">
        <v>221</v>
      </c>
      <c r="F138" s="34" t="s">
        <v>72</v>
      </c>
      <c r="G138" s="39" t="s">
        <v>16</v>
      </c>
      <c r="H138" s="38" t="s">
        <v>16</v>
      </c>
      <c r="I138" s="40" t="s">
        <v>16</v>
      </c>
      <c r="J138" s="38" t="s">
        <v>14</v>
      </c>
      <c r="K138" s="40" t="s">
        <v>16</v>
      </c>
      <c r="L138" s="42" t="s">
        <v>16</v>
      </c>
      <c r="M138" s="43" t="s">
        <v>60</v>
      </c>
      <c r="N138" s="40" t="s">
        <v>16</v>
      </c>
      <c r="O138" s="39" t="s">
        <v>16</v>
      </c>
      <c r="P138" s="38" t="s">
        <v>16</v>
      </c>
      <c r="Q138" s="40" t="s">
        <v>16</v>
      </c>
      <c r="R138" s="39" t="s">
        <v>16</v>
      </c>
      <c r="S138" s="38" t="s">
        <v>16</v>
      </c>
      <c r="T138" s="44" t="s">
        <v>36</v>
      </c>
      <c r="U138" s="13"/>
      <c r="V138" s="13"/>
      <c r="W138" s="13"/>
      <c r="X138" s="13"/>
      <c r="Y138" s="13"/>
      <c r="Z138" s="13"/>
    </row>
    <row r="139" spans="1:26" ht="19.899999999999999" customHeight="1" x14ac:dyDescent="0.25">
      <c r="A139" s="33" t="s">
        <v>1420</v>
      </c>
      <c r="B139" s="77" t="s">
        <v>231</v>
      </c>
      <c r="C139" s="32" t="s">
        <v>64</v>
      </c>
      <c r="D139" s="33" t="s">
        <v>232</v>
      </c>
      <c r="E139" s="93" t="s">
        <v>1812</v>
      </c>
      <c r="F139" s="34" t="s">
        <v>75</v>
      </c>
      <c r="G139" s="32" t="s">
        <v>16</v>
      </c>
      <c r="H139" s="33" t="s">
        <v>16</v>
      </c>
      <c r="I139" s="46" t="s">
        <v>16</v>
      </c>
      <c r="J139" s="33" t="s">
        <v>19</v>
      </c>
      <c r="K139" s="46" t="s">
        <v>16</v>
      </c>
      <c r="L139" s="41" t="s">
        <v>16</v>
      </c>
      <c r="M139" s="43" t="s">
        <v>234</v>
      </c>
      <c r="N139" s="46" t="s">
        <v>16</v>
      </c>
      <c r="O139" s="32" t="s">
        <v>16</v>
      </c>
      <c r="P139" s="33" t="s">
        <v>16</v>
      </c>
      <c r="Q139" s="46" t="s">
        <v>16</v>
      </c>
      <c r="R139" s="32" t="s">
        <v>16</v>
      </c>
      <c r="S139" s="38" t="s">
        <v>35</v>
      </c>
      <c r="T139" s="34" t="s">
        <v>36</v>
      </c>
      <c r="U139" s="13"/>
      <c r="V139" s="13"/>
      <c r="W139" s="13"/>
      <c r="X139" s="13"/>
      <c r="Y139" s="13"/>
      <c r="Z139" s="13"/>
    </row>
    <row r="140" spans="1:26" ht="19.899999999999999" customHeight="1" x14ac:dyDescent="0.25">
      <c r="A140" s="31" t="s">
        <v>1517</v>
      </c>
      <c r="B140" s="85" t="s">
        <v>200</v>
      </c>
      <c r="C140" s="32" t="s">
        <v>64</v>
      </c>
      <c r="D140" s="33" t="s">
        <v>201</v>
      </c>
      <c r="E140" s="129" t="s">
        <v>202</v>
      </c>
      <c r="F140" s="35" t="s">
        <v>16</v>
      </c>
      <c r="G140" s="35" t="s">
        <v>16</v>
      </c>
      <c r="H140" s="35" t="s">
        <v>16</v>
      </c>
      <c r="I140" s="35" t="s">
        <v>16</v>
      </c>
      <c r="J140" s="38" t="s">
        <v>19</v>
      </c>
      <c r="K140" s="40" t="s">
        <v>15</v>
      </c>
      <c r="L140" s="35" t="s">
        <v>16</v>
      </c>
      <c r="M140" s="129" t="s">
        <v>208</v>
      </c>
      <c r="N140" s="35" t="s">
        <v>16</v>
      </c>
      <c r="O140" s="35" t="s">
        <v>16</v>
      </c>
      <c r="P140" s="35" t="s">
        <v>16</v>
      </c>
      <c r="Q140" s="35" t="s">
        <v>16</v>
      </c>
      <c r="R140" s="35" t="s">
        <v>16</v>
      </c>
      <c r="S140" s="38" t="s">
        <v>55</v>
      </c>
      <c r="T140" s="35" t="s">
        <v>16</v>
      </c>
      <c r="U140" s="13"/>
      <c r="V140" s="13"/>
      <c r="W140" s="13"/>
      <c r="X140" s="13"/>
      <c r="Y140" s="13"/>
      <c r="Z140" s="13"/>
    </row>
    <row r="141" spans="1:26" ht="19.899999999999999" customHeight="1" x14ac:dyDescent="0.25">
      <c r="A141" s="31" t="s">
        <v>1433</v>
      </c>
      <c r="B141" s="85" t="s">
        <v>200</v>
      </c>
      <c r="C141" s="32" t="s">
        <v>64</v>
      </c>
      <c r="D141" s="33" t="s">
        <v>201</v>
      </c>
      <c r="E141" s="129" t="s">
        <v>202</v>
      </c>
      <c r="F141" s="35" t="s">
        <v>16</v>
      </c>
      <c r="G141" s="35" t="s">
        <v>16</v>
      </c>
      <c r="H141" s="35" t="s">
        <v>16</v>
      </c>
      <c r="I141" s="35" t="s">
        <v>16</v>
      </c>
      <c r="J141" s="38" t="s">
        <v>19</v>
      </c>
      <c r="K141" s="40" t="s">
        <v>15</v>
      </c>
      <c r="L141" s="35" t="s">
        <v>16</v>
      </c>
      <c r="M141" s="129" t="s">
        <v>204</v>
      </c>
      <c r="N141" s="35" t="s">
        <v>16</v>
      </c>
      <c r="O141" s="35" t="s">
        <v>16</v>
      </c>
      <c r="P141" s="35" t="s">
        <v>16</v>
      </c>
      <c r="Q141" s="35" t="s">
        <v>16</v>
      </c>
      <c r="R141" s="35" t="s">
        <v>16</v>
      </c>
      <c r="S141" s="38" t="s">
        <v>35</v>
      </c>
      <c r="T141" s="35" t="s">
        <v>16</v>
      </c>
      <c r="U141" s="13"/>
      <c r="V141" s="13"/>
      <c r="W141" s="13"/>
      <c r="X141" s="13"/>
      <c r="Y141" s="13"/>
      <c r="Z141" s="13"/>
    </row>
    <row r="142" spans="1:26" ht="19.899999999999999" customHeight="1" x14ac:dyDescent="0.25">
      <c r="A142" s="31" t="s">
        <v>1738</v>
      </c>
      <c r="B142" s="85" t="s">
        <v>200</v>
      </c>
      <c r="C142" s="32" t="s">
        <v>64</v>
      </c>
      <c r="D142" s="33" t="s">
        <v>201</v>
      </c>
      <c r="E142" s="129" t="s">
        <v>202</v>
      </c>
      <c r="F142" s="35" t="s">
        <v>16</v>
      </c>
      <c r="G142" s="35" t="s">
        <v>16</v>
      </c>
      <c r="H142" s="35" t="s">
        <v>16</v>
      </c>
      <c r="I142" s="35" t="s">
        <v>16</v>
      </c>
      <c r="J142" s="38" t="s">
        <v>19</v>
      </c>
      <c r="K142" s="40" t="s">
        <v>15</v>
      </c>
      <c r="L142" s="35" t="s">
        <v>16</v>
      </c>
      <c r="M142" s="129" t="s">
        <v>60</v>
      </c>
      <c r="N142" s="35" t="s">
        <v>16</v>
      </c>
      <c r="O142" s="35" t="s">
        <v>16</v>
      </c>
      <c r="P142" s="35" t="s">
        <v>16</v>
      </c>
      <c r="Q142" s="35" t="s">
        <v>1739</v>
      </c>
      <c r="R142" s="35" t="s">
        <v>1739</v>
      </c>
      <c r="S142" s="38" t="s">
        <v>55</v>
      </c>
      <c r="T142" s="35" t="s">
        <v>16</v>
      </c>
      <c r="U142" s="13"/>
      <c r="V142" s="13"/>
      <c r="W142" s="13"/>
      <c r="X142" s="13"/>
      <c r="Y142" s="13"/>
      <c r="Z142" s="13"/>
    </row>
    <row r="143" spans="1:26" ht="19.899999999999999" customHeight="1" x14ac:dyDescent="0.25">
      <c r="A143" s="31" t="s">
        <v>1434</v>
      </c>
      <c r="B143" s="85" t="s">
        <v>200</v>
      </c>
      <c r="C143" s="32" t="s">
        <v>64</v>
      </c>
      <c r="D143" s="33" t="s">
        <v>201</v>
      </c>
      <c r="E143" s="129" t="s">
        <v>202</v>
      </c>
      <c r="F143" s="35" t="s">
        <v>16</v>
      </c>
      <c r="G143" s="35" t="s">
        <v>16</v>
      </c>
      <c r="H143" s="35" t="s">
        <v>16</v>
      </c>
      <c r="I143" s="35" t="s">
        <v>16</v>
      </c>
      <c r="J143" s="38" t="s">
        <v>19</v>
      </c>
      <c r="K143" s="40" t="s">
        <v>15</v>
      </c>
      <c r="L143" s="35" t="s">
        <v>16</v>
      </c>
      <c r="M143" s="129" t="s">
        <v>1737</v>
      </c>
      <c r="N143" s="35" t="s">
        <v>16</v>
      </c>
      <c r="O143" s="35" t="s">
        <v>16</v>
      </c>
      <c r="P143" s="35" t="s">
        <v>16</v>
      </c>
      <c r="Q143" s="35" t="s">
        <v>16</v>
      </c>
      <c r="R143" s="35" t="s">
        <v>16</v>
      </c>
      <c r="S143" s="38" t="s">
        <v>55</v>
      </c>
      <c r="T143" s="35" t="s">
        <v>16</v>
      </c>
      <c r="U143" s="13"/>
      <c r="V143" s="13"/>
      <c r="W143" s="13"/>
      <c r="X143" s="13"/>
      <c r="Y143" s="13"/>
      <c r="Z143" s="13"/>
    </row>
    <row r="144" spans="1:26" ht="19.899999999999999" customHeight="1" x14ac:dyDescent="0.25">
      <c r="A144" s="31" t="s">
        <v>1435</v>
      </c>
      <c r="B144" s="85" t="s">
        <v>200</v>
      </c>
      <c r="C144" s="32" t="s">
        <v>64</v>
      </c>
      <c r="D144" s="33" t="s">
        <v>201</v>
      </c>
      <c r="E144" s="129" t="s">
        <v>202</v>
      </c>
      <c r="F144" s="35" t="s">
        <v>16</v>
      </c>
      <c r="G144" s="35" t="s">
        <v>16</v>
      </c>
      <c r="H144" s="35" t="s">
        <v>16</v>
      </c>
      <c r="I144" s="35" t="s">
        <v>16</v>
      </c>
      <c r="J144" s="38" t="s">
        <v>19</v>
      </c>
      <c r="K144" s="40" t="s">
        <v>15</v>
      </c>
      <c r="L144" s="35" t="s">
        <v>16</v>
      </c>
      <c r="M144" s="129" t="s">
        <v>208</v>
      </c>
      <c r="N144" s="35" t="s">
        <v>16</v>
      </c>
      <c r="O144" s="35" t="s">
        <v>16</v>
      </c>
      <c r="P144" s="35" t="s">
        <v>16</v>
      </c>
      <c r="Q144" s="35" t="s">
        <v>16</v>
      </c>
      <c r="R144" s="35" t="s">
        <v>16</v>
      </c>
      <c r="S144" s="38" t="s">
        <v>55</v>
      </c>
      <c r="T144" s="35" t="s">
        <v>16</v>
      </c>
      <c r="U144" s="13"/>
      <c r="V144" s="13"/>
      <c r="W144" s="13"/>
      <c r="X144" s="13"/>
      <c r="Y144" s="13"/>
      <c r="Z144" s="13"/>
    </row>
    <row r="145" spans="1:26" ht="19.899999999999999" customHeight="1" x14ac:dyDescent="0.25">
      <c r="A145" s="31" t="s">
        <v>1436</v>
      </c>
      <c r="B145" s="85" t="s">
        <v>200</v>
      </c>
      <c r="C145" s="32" t="s">
        <v>64</v>
      </c>
      <c r="D145" s="33" t="s">
        <v>201</v>
      </c>
      <c r="E145" s="129" t="s">
        <v>202</v>
      </c>
      <c r="F145" s="35" t="s">
        <v>16</v>
      </c>
      <c r="G145" s="35" t="s">
        <v>16</v>
      </c>
      <c r="H145" s="35" t="s">
        <v>16</v>
      </c>
      <c r="I145" s="35" t="s">
        <v>16</v>
      </c>
      <c r="J145" s="38" t="s">
        <v>19</v>
      </c>
      <c r="K145" s="40" t="s">
        <v>15</v>
      </c>
      <c r="L145" s="35" t="s">
        <v>16</v>
      </c>
      <c r="M145" s="129" t="s">
        <v>206</v>
      </c>
      <c r="N145" s="35" t="s">
        <v>16</v>
      </c>
      <c r="O145" s="35" t="s">
        <v>16</v>
      </c>
      <c r="P145" s="35" t="s">
        <v>16</v>
      </c>
      <c r="Q145" s="35" t="s">
        <v>16</v>
      </c>
      <c r="R145" s="35" t="s">
        <v>16</v>
      </c>
      <c r="S145" s="38" t="s">
        <v>55</v>
      </c>
      <c r="T145" s="35" t="s">
        <v>16</v>
      </c>
      <c r="U145" s="13"/>
      <c r="V145" s="13"/>
      <c r="W145" s="13"/>
      <c r="X145" s="13"/>
      <c r="Y145" s="13"/>
      <c r="Z145" s="13"/>
    </row>
    <row r="146" spans="1:26" ht="19.899999999999999" customHeight="1" x14ac:dyDescent="0.25">
      <c r="A146" s="31" t="s">
        <v>1437</v>
      </c>
      <c r="B146" s="85" t="s">
        <v>200</v>
      </c>
      <c r="C146" s="32" t="s">
        <v>64</v>
      </c>
      <c r="D146" s="33" t="s">
        <v>201</v>
      </c>
      <c r="E146" s="129" t="s">
        <v>202</v>
      </c>
      <c r="F146" s="35" t="s">
        <v>16</v>
      </c>
      <c r="G146" s="35" t="s">
        <v>16</v>
      </c>
      <c r="H146" s="35" t="s">
        <v>16</v>
      </c>
      <c r="I146" s="35" t="s">
        <v>16</v>
      </c>
      <c r="J146" s="38" t="s">
        <v>19</v>
      </c>
      <c r="K146" s="40" t="s">
        <v>15</v>
      </c>
      <c r="L146" s="35" t="s">
        <v>16</v>
      </c>
      <c r="M146" s="129" t="s">
        <v>204</v>
      </c>
      <c r="N146" s="35" t="s">
        <v>16</v>
      </c>
      <c r="O146" s="35" t="s">
        <v>16</v>
      </c>
      <c r="P146" s="35" t="s">
        <v>16</v>
      </c>
      <c r="Q146" s="35" t="s">
        <v>16</v>
      </c>
      <c r="R146" s="35" t="s">
        <v>16</v>
      </c>
      <c r="S146" s="38" t="s">
        <v>55</v>
      </c>
      <c r="T146" s="35" t="s">
        <v>16</v>
      </c>
      <c r="U146" s="13"/>
      <c r="V146" s="13"/>
      <c r="W146" s="13"/>
      <c r="X146" s="13"/>
      <c r="Y146" s="13"/>
      <c r="Z146" s="13"/>
    </row>
    <row r="147" spans="1:26" ht="19.899999999999999" customHeight="1" x14ac:dyDescent="0.25">
      <c r="A147" s="31" t="s">
        <v>1442</v>
      </c>
      <c r="B147" s="85" t="s">
        <v>197</v>
      </c>
      <c r="C147" s="32" t="s">
        <v>67</v>
      </c>
      <c r="D147" s="33" t="s">
        <v>198</v>
      </c>
      <c r="E147" s="35" t="s">
        <v>16</v>
      </c>
      <c r="F147" s="35" t="s">
        <v>16</v>
      </c>
      <c r="G147" s="35" t="s">
        <v>16</v>
      </c>
      <c r="H147" s="35" t="s">
        <v>16</v>
      </c>
      <c r="I147" s="35" t="s">
        <v>16</v>
      </c>
      <c r="J147" s="38" t="s">
        <v>14</v>
      </c>
      <c r="K147" s="35" t="s">
        <v>16</v>
      </c>
      <c r="L147" s="35" t="s">
        <v>16</v>
      </c>
      <c r="M147" s="35" t="s">
        <v>16</v>
      </c>
      <c r="N147" s="35" t="s">
        <v>16</v>
      </c>
      <c r="O147" s="35" t="s">
        <v>16</v>
      </c>
      <c r="P147" s="35" t="s">
        <v>16</v>
      </c>
      <c r="Q147" s="35" t="s">
        <v>16</v>
      </c>
      <c r="R147" s="35" t="s">
        <v>16</v>
      </c>
      <c r="S147" s="35" t="s">
        <v>16</v>
      </c>
      <c r="T147" s="35" t="s">
        <v>16</v>
      </c>
      <c r="U147" s="13"/>
      <c r="V147" s="13"/>
      <c r="W147" s="13"/>
      <c r="X147" s="13"/>
      <c r="Y147" s="13"/>
      <c r="Z147" s="13"/>
    </row>
    <row r="148" spans="1:26" ht="19.899999999999999" customHeight="1" x14ac:dyDescent="0.25">
      <c r="A148" s="31" t="s">
        <v>1443</v>
      </c>
      <c r="B148" s="85" t="s">
        <v>197</v>
      </c>
      <c r="C148" s="32" t="s">
        <v>67</v>
      </c>
      <c r="D148" s="33" t="s">
        <v>198</v>
      </c>
      <c r="E148" s="35" t="s">
        <v>16</v>
      </c>
      <c r="F148" s="35" t="s">
        <v>16</v>
      </c>
      <c r="G148" s="35" t="s">
        <v>16</v>
      </c>
      <c r="H148" s="35" t="s">
        <v>16</v>
      </c>
      <c r="I148" s="35" t="s">
        <v>16</v>
      </c>
      <c r="J148" s="38" t="s">
        <v>14</v>
      </c>
      <c r="K148" s="35" t="s">
        <v>16</v>
      </c>
      <c r="L148" s="35" t="s">
        <v>16</v>
      </c>
      <c r="M148" s="35" t="s">
        <v>16</v>
      </c>
      <c r="N148" s="35" t="s">
        <v>16</v>
      </c>
      <c r="O148" s="35" t="s">
        <v>16</v>
      </c>
      <c r="P148" s="35" t="s">
        <v>16</v>
      </c>
      <c r="Q148" s="35" t="s">
        <v>16</v>
      </c>
      <c r="R148" s="35" t="s">
        <v>16</v>
      </c>
      <c r="S148" s="35" t="s">
        <v>16</v>
      </c>
      <c r="T148" s="35" t="s">
        <v>16</v>
      </c>
      <c r="U148" s="13"/>
      <c r="V148" s="13"/>
      <c r="W148" s="13"/>
      <c r="X148" s="13"/>
      <c r="Y148" s="13"/>
      <c r="Z148" s="13"/>
    </row>
    <row r="149" spans="1:26" ht="19.899999999999999" customHeight="1" x14ac:dyDescent="0.25">
      <c r="A149" s="31" t="s">
        <v>1444</v>
      </c>
      <c r="B149" s="85" t="s">
        <v>197</v>
      </c>
      <c r="C149" s="32" t="s">
        <v>67</v>
      </c>
      <c r="D149" s="33" t="s">
        <v>198</v>
      </c>
      <c r="E149" s="35" t="s">
        <v>16</v>
      </c>
      <c r="F149" s="35" t="s">
        <v>16</v>
      </c>
      <c r="G149" s="35" t="s">
        <v>16</v>
      </c>
      <c r="H149" s="35" t="s">
        <v>16</v>
      </c>
      <c r="I149" s="35" t="s">
        <v>16</v>
      </c>
      <c r="J149" s="38" t="s">
        <v>14</v>
      </c>
      <c r="K149" s="35" t="s">
        <v>16</v>
      </c>
      <c r="L149" s="35" t="s">
        <v>16</v>
      </c>
      <c r="M149" s="35" t="s">
        <v>16</v>
      </c>
      <c r="N149" s="35" t="s">
        <v>16</v>
      </c>
      <c r="O149" s="35" t="s">
        <v>16</v>
      </c>
      <c r="P149" s="35" t="s">
        <v>16</v>
      </c>
      <c r="Q149" s="35" t="s">
        <v>16</v>
      </c>
      <c r="R149" s="35" t="s">
        <v>16</v>
      </c>
      <c r="S149" s="35" t="s">
        <v>16</v>
      </c>
      <c r="T149" s="35" t="s">
        <v>16</v>
      </c>
      <c r="U149" s="13"/>
      <c r="V149" s="13"/>
      <c r="W149" s="13"/>
      <c r="X149" s="13"/>
      <c r="Y149" s="13"/>
      <c r="Z149" s="13"/>
    </row>
    <row r="150" spans="1:26" ht="19.899999999999999" customHeight="1" x14ac:dyDescent="0.25">
      <c r="A150" s="31" t="s">
        <v>1445</v>
      </c>
      <c r="B150" s="85" t="s">
        <v>214</v>
      </c>
      <c r="C150" s="32" t="s">
        <v>84</v>
      </c>
      <c r="D150" s="33" t="s">
        <v>215</v>
      </c>
      <c r="E150" s="35" t="s">
        <v>16</v>
      </c>
      <c r="F150" s="35" t="s">
        <v>16</v>
      </c>
      <c r="G150" s="35" t="s">
        <v>16</v>
      </c>
      <c r="H150" s="35" t="s">
        <v>16</v>
      </c>
      <c r="I150" s="35" t="s">
        <v>16</v>
      </c>
      <c r="J150" s="35" t="s">
        <v>16</v>
      </c>
      <c r="K150" s="35" t="s">
        <v>16</v>
      </c>
      <c r="L150" s="35" t="s">
        <v>16</v>
      </c>
      <c r="M150" s="35" t="s">
        <v>16</v>
      </c>
      <c r="N150" s="35" t="s">
        <v>16</v>
      </c>
      <c r="O150" s="35" t="s">
        <v>16</v>
      </c>
      <c r="P150" s="35" t="s">
        <v>16</v>
      </c>
      <c r="Q150" s="35" t="s">
        <v>16</v>
      </c>
      <c r="R150" s="35" t="s">
        <v>16</v>
      </c>
      <c r="S150" s="35" t="s">
        <v>16</v>
      </c>
      <c r="T150" s="35" t="s">
        <v>16</v>
      </c>
      <c r="U150" s="13"/>
      <c r="V150" s="13"/>
      <c r="W150" s="13"/>
      <c r="X150" s="13"/>
      <c r="Y150" s="13"/>
      <c r="Z150" s="13"/>
    </row>
    <row r="151" spans="1:26" ht="19.899999999999999" customHeight="1" x14ac:dyDescent="0.25">
      <c r="A151" s="31" t="s">
        <v>1446</v>
      </c>
      <c r="B151" s="85" t="s">
        <v>214</v>
      </c>
      <c r="C151" s="32" t="s">
        <v>84</v>
      </c>
      <c r="D151" s="33" t="s">
        <v>215</v>
      </c>
      <c r="E151" s="35" t="s">
        <v>16</v>
      </c>
      <c r="F151" s="35" t="s">
        <v>16</v>
      </c>
      <c r="G151" s="35" t="s">
        <v>16</v>
      </c>
      <c r="H151" s="35" t="s">
        <v>16</v>
      </c>
      <c r="I151" s="35" t="s">
        <v>16</v>
      </c>
      <c r="J151" s="35" t="s">
        <v>16</v>
      </c>
      <c r="K151" s="35" t="s">
        <v>16</v>
      </c>
      <c r="L151" s="35" t="s">
        <v>16</v>
      </c>
      <c r="M151" s="35" t="s">
        <v>16</v>
      </c>
      <c r="N151" s="35" t="s">
        <v>16</v>
      </c>
      <c r="O151" s="35" t="s">
        <v>16</v>
      </c>
      <c r="P151" s="35" t="s">
        <v>16</v>
      </c>
      <c r="Q151" s="35" t="s">
        <v>16</v>
      </c>
      <c r="R151" s="35" t="s">
        <v>16</v>
      </c>
      <c r="S151" s="35" t="s">
        <v>16</v>
      </c>
      <c r="T151" s="35" t="s">
        <v>16</v>
      </c>
      <c r="U151" s="13"/>
      <c r="V151" s="13"/>
      <c r="W151" s="13"/>
      <c r="X151" s="13"/>
      <c r="Y151" s="13"/>
      <c r="Z151" s="13"/>
    </row>
    <row r="152" spans="1:26" ht="19.899999999999999" customHeight="1" x14ac:dyDescent="0.25">
      <c r="A152" s="31" t="s">
        <v>1447</v>
      </c>
      <c r="B152" s="85" t="s">
        <v>214</v>
      </c>
      <c r="C152" s="32" t="s">
        <v>84</v>
      </c>
      <c r="D152" s="33" t="s">
        <v>215</v>
      </c>
      <c r="E152" s="35" t="s">
        <v>16</v>
      </c>
      <c r="F152" s="35" t="s">
        <v>16</v>
      </c>
      <c r="G152" s="35" t="s">
        <v>16</v>
      </c>
      <c r="H152" s="35" t="s">
        <v>16</v>
      </c>
      <c r="I152" s="35" t="s">
        <v>16</v>
      </c>
      <c r="J152" s="35" t="s">
        <v>16</v>
      </c>
      <c r="K152" s="35" t="s">
        <v>16</v>
      </c>
      <c r="L152" s="35" t="s">
        <v>16</v>
      </c>
      <c r="M152" s="35" t="s">
        <v>16</v>
      </c>
      <c r="N152" s="35" t="s">
        <v>16</v>
      </c>
      <c r="O152" s="35" t="s">
        <v>16</v>
      </c>
      <c r="P152" s="35" t="s">
        <v>16</v>
      </c>
      <c r="Q152" s="35" t="s">
        <v>16</v>
      </c>
      <c r="R152" s="35" t="s">
        <v>16</v>
      </c>
      <c r="S152" s="35" t="s">
        <v>16</v>
      </c>
      <c r="T152" s="35" t="s">
        <v>16</v>
      </c>
      <c r="U152" s="13"/>
      <c r="V152" s="13"/>
      <c r="W152" s="13"/>
      <c r="X152" s="13"/>
      <c r="Y152" s="13"/>
      <c r="Z152" s="13"/>
    </row>
    <row r="153" spans="1:26" ht="19.899999999999999" customHeight="1" x14ac:dyDescent="0.25">
      <c r="A153" s="31" t="s">
        <v>1416</v>
      </c>
      <c r="B153" s="62" t="s">
        <v>192</v>
      </c>
      <c r="C153" s="64" t="s">
        <v>64</v>
      </c>
      <c r="D153" s="64" t="s">
        <v>193</v>
      </c>
      <c r="E153" s="96" t="s">
        <v>16</v>
      </c>
      <c r="F153" s="34" t="s">
        <v>65</v>
      </c>
      <c r="G153" s="35" t="s">
        <v>68</v>
      </c>
      <c r="H153" s="31" t="s">
        <v>16</v>
      </c>
      <c r="I153" s="34" t="s">
        <v>47</v>
      </c>
      <c r="J153" s="31" t="s">
        <v>16</v>
      </c>
      <c r="K153" s="34" t="s">
        <v>16</v>
      </c>
      <c r="L153" s="35" t="s">
        <v>48</v>
      </c>
      <c r="M153" s="31" t="s">
        <v>16</v>
      </c>
      <c r="N153" s="34" t="s">
        <v>16</v>
      </c>
      <c r="O153" s="35" t="s">
        <v>16</v>
      </c>
      <c r="P153" s="31" t="s">
        <v>16</v>
      </c>
      <c r="Q153" s="34" t="s">
        <v>16</v>
      </c>
      <c r="R153" s="35" t="s">
        <v>16</v>
      </c>
      <c r="S153" s="31" t="s">
        <v>16</v>
      </c>
      <c r="T153" s="34" t="s">
        <v>36</v>
      </c>
      <c r="U153" s="13"/>
      <c r="V153" s="13"/>
      <c r="W153" s="13"/>
      <c r="X153" s="13"/>
      <c r="Y153" s="13"/>
      <c r="Z153" s="13"/>
    </row>
    <row r="154" spans="1:26" ht="19.899999999999999" customHeight="1" x14ac:dyDescent="0.25">
      <c r="A154" s="31" t="s">
        <v>1448</v>
      </c>
      <c r="B154" s="62" t="s">
        <v>192</v>
      </c>
      <c r="C154" s="64" t="s">
        <v>64</v>
      </c>
      <c r="D154" s="64" t="s">
        <v>193</v>
      </c>
      <c r="E154" s="96" t="s">
        <v>16</v>
      </c>
      <c r="F154" s="34" t="s">
        <v>65</v>
      </c>
      <c r="G154" s="35" t="s">
        <v>68</v>
      </c>
      <c r="H154" s="31" t="s">
        <v>16</v>
      </c>
      <c r="I154" s="34" t="s">
        <v>47</v>
      </c>
      <c r="J154" s="31" t="s">
        <v>16</v>
      </c>
      <c r="K154" s="34" t="s">
        <v>16</v>
      </c>
      <c r="L154" s="35" t="s">
        <v>48</v>
      </c>
      <c r="M154" s="31" t="s">
        <v>16</v>
      </c>
      <c r="N154" s="34" t="s">
        <v>16</v>
      </c>
      <c r="O154" s="35" t="s">
        <v>16</v>
      </c>
      <c r="P154" s="31" t="s">
        <v>16</v>
      </c>
      <c r="Q154" s="34" t="s">
        <v>16</v>
      </c>
      <c r="R154" s="35" t="s">
        <v>16</v>
      </c>
      <c r="S154" s="31" t="s">
        <v>16</v>
      </c>
      <c r="T154" s="34" t="s">
        <v>36</v>
      </c>
      <c r="U154" s="13"/>
      <c r="V154" s="13"/>
      <c r="W154" s="13"/>
      <c r="X154" s="13"/>
      <c r="Y154" s="13"/>
      <c r="Z154" s="13"/>
    </row>
    <row r="155" spans="1:26" ht="19.899999999999999" customHeight="1" x14ac:dyDescent="0.25">
      <c r="A155" s="68" t="s">
        <v>1522</v>
      </c>
      <c r="B155" s="77" t="s">
        <v>223</v>
      </c>
      <c r="C155" s="32" t="s">
        <v>64</v>
      </c>
      <c r="D155" s="33" t="s">
        <v>89</v>
      </c>
      <c r="E155" s="41" t="s">
        <v>253</v>
      </c>
      <c r="F155" s="34" t="s">
        <v>86</v>
      </c>
      <c r="G155" s="32" t="s">
        <v>16</v>
      </c>
      <c r="H155" s="33" t="s">
        <v>16</v>
      </c>
      <c r="I155" s="46" t="s">
        <v>16</v>
      </c>
      <c r="J155" s="33" t="s">
        <v>14</v>
      </c>
      <c r="K155" s="46" t="s">
        <v>15</v>
      </c>
      <c r="L155" s="41" t="s">
        <v>16</v>
      </c>
      <c r="M155" s="47" t="s">
        <v>92</v>
      </c>
      <c r="N155" s="46" t="s">
        <v>16</v>
      </c>
      <c r="O155" s="32" t="s">
        <v>16</v>
      </c>
      <c r="P155" s="33" t="s">
        <v>16</v>
      </c>
      <c r="Q155" s="46" t="s">
        <v>57</v>
      </c>
      <c r="R155" s="32" t="s">
        <v>16</v>
      </c>
      <c r="S155" s="33" t="s">
        <v>17</v>
      </c>
      <c r="T155" s="34" t="s">
        <v>36</v>
      </c>
      <c r="U155" s="13"/>
      <c r="V155" s="13"/>
      <c r="W155" s="13"/>
      <c r="X155" s="13"/>
      <c r="Y155" s="13"/>
      <c r="Z155" s="13"/>
    </row>
    <row r="156" spans="1:26" ht="19.899999999999999" customHeight="1" x14ac:dyDescent="0.25">
      <c r="A156" s="33" t="s">
        <v>1514</v>
      </c>
      <c r="B156" s="56" t="s">
        <v>1743</v>
      </c>
      <c r="C156" s="32" t="s">
        <v>64</v>
      </c>
      <c r="D156" s="33" t="s">
        <v>1744</v>
      </c>
      <c r="E156" s="32" t="s">
        <v>16</v>
      </c>
      <c r="F156" s="34" t="s">
        <v>65</v>
      </c>
      <c r="G156" s="32" t="s">
        <v>16</v>
      </c>
      <c r="H156" s="33" t="s">
        <v>16</v>
      </c>
      <c r="I156" s="46" t="s">
        <v>16</v>
      </c>
      <c r="J156" s="33" t="s">
        <v>59</v>
      </c>
      <c r="K156" s="46" t="s">
        <v>16</v>
      </c>
      <c r="L156" s="41" t="s">
        <v>16</v>
      </c>
      <c r="M156" s="43" t="s">
        <v>95</v>
      </c>
      <c r="N156" s="46" t="s">
        <v>16</v>
      </c>
      <c r="O156" s="32" t="s">
        <v>16</v>
      </c>
      <c r="P156" s="33" t="s">
        <v>16</v>
      </c>
      <c r="Q156" s="46" t="s">
        <v>60</v>
      </c>
      <c r="R156" s="32" t="s">
        <v>34</v>
      </c>
      <c r="S156" s="33" t="s">
        <v>35</v>
      </c>
      <c r="T156" s="34" t="s">
        <v>36</v>
      </c>
      <c r="U156" s="13"/>
      <c r="V156" s="13"/>
      <c r="W156" s="13"/>
      <c r="X156" s="13"/>
      <c r="Y156" s="13"/>
      <c r="Z156" s="13"/>
    </row>
    <row r="157" spans="1:26" ht="19.899999999999999" customHeight="1" x14ac:dyDescent="0.25">
      <c r="A157" s="31" t="s">
        <v>1449</v>
      </c>
      <c r="B157" s="62" t="s">
        <v>192</v>
      </c>
      <c r="C157" s="64" t="s">
        <v>64</v>
      </c>
      <c r="D157" s="64" t="s">
        <v>193</v>
      </c>
      <c r="E157" s="96" t="s">
        <v>16</v>
      </c>
      <c r="F157" s="34" t="s">
        <v>65</v>
      </c>
      <c r="G157" s="35" t="s">
        <v>68</v>
      </c>
      <c r="H157" s="31" t="s">
        <v>16</v>
      </c>
      <c r="I157" s="34" t="s">
        <v>47</v>
      </c>
      <c r="J157" s="31" t="s">
        <v>16</v>
      </c>
      <c r="K157" s="34" t="s">
        <v>16</v>
      </c>
      <c r="L157" s="35" t="s">
        <v>48</v>
      </c>
      <c r="M157" s="31" t="s">
        <v>16</v>
      </c>
      <c r="N157" s="34" t="s">
        <v>16</v>
      </c>
      <c r="O157" s="35" t="s">
        <v>16</v>
      </c>
      <c r="P157" s="31" t="s">
        <v>16</v>
      </c>
      <c r="Q157" s="34" t="s">
        <v>16</v>
      </c>
      <c r="R157" s="35" t="s">
        <v>16</v>
      </c>
      <c r="S157" s="31" t="s">
        <v>16</v>
      </c>
      <c r="T157" s="34" t="s">
        <v>36</v>
      </c>
      <c r="U157" s="13"/>
      <c r="V157" s="13"/>
      <c r="W157" s="13"/>
      <c r="X157" s="13"/>
      <c r="Y157" s="13"/>
      <c r="Z157" s="13"/>
    </row>
    <row r="158" spans="1:26" ht="19.899999999999999" customHeight="1" x14ac:dyDescent="0.25">
      <c r="A158" s="154" t="s">
        <v>1476</v>
      </c>
      <c r="B158" s="56" t="s">
        <v>265</v>
      </c>
      <c r="C158" s="152" t="s">
        <v>64</v>
      </c>
      <c r="D158" s="153" t="s">
        <v>266</v>
      </c>
      <c r="E158" s="155" t="s">
        <v>16</v>
      </c>
      <c r="F158" s="156" t="s">
        <v>65</v>
      </c>
      <c r="G158" s="155" t="s">
        <v>16</v>
      </c>
      <c r="H158" s="154" t="s">
        <v>16</v>
      </c>
      <c r="I158" s="156" t="s">
        <v>16</v>
      </c>
      <c r="J158" s="154" t="s">
        <v>59</v>
      </c>
      <c r="K158" s="156" t="s">
        <v>23</v>
      </c>
      <c r="L158" s="157" t="s">
        <v>16</v>
      </c>
      <c r="M158" s="158" t="s">
        <v>60</v>
      </c>
      <c r="N158" s="156" t="s">
        <v>16</v>
      </c>
      <c r="O158" s="155" t="s">
        <v>16</v>
      </c>
      <c r="P158" s="154" t="s">
        <v>16</v>
      </c>
      <c r="Q158" s="156" t="s">
        <v>60</v>
      </c>
      <c r="R158" s="155" t="s">
        <v>34</v>
      </c>
      <c r="S158" s="154" t="s">
        <v>55</v>
      </c>
      <c r="T158" s="159" t="s">
        <v>36</v>
      </c>
      <c r="U158" s="151"/>
      <c r="V158" s="151"/>
      <c r="W158" s="151"/>
      <c r="X158" s="151"/>
      <c r="Y158" s="151"/>
      <c r="Z158" s="151"/>
    </row>
    <row r="159" spans="1:26" ht="19.899999999999999" customHeight="1" x14ac:dyDescent="0.25">
      <c r="A159" s="38" t="s">
        <v>1797</v>
      </c>
      <c r="B159" s="56" t="s">
        <v>1747</v>
      </c>
      <c r="C159" s="32" t="s">
        <v>64</v>
      </c>
      <c r="D159" s="33" t="s">
        <v>1748</v>
      </c>
      <c r="E159" s="39" t="s">
        <v>16</v>
      </c>
      <c r="F159" s="40" t="s">
        <v>65</v>
      </c>
      <c r="G159" s="39" t="s">
        <v>16</v>
      </c>
      <c r="H159" s="38" t="s">
        <v>16</v>
      </c>
      <c r="I159" s="40" t="s">
        <v>16</v>
      </c>
      <c r="J159" s="38" t="s">
        <v>59</v>
      </c>
      <c r="K159" s="40" t="s">
        <v>23</v>
      </c>
      <c r="L159" s="42" t="s">
        <v>16</v>
      </c>
      <c r="M159" s="43" t="s">
        <v>74</v>
      </c>
      <c r="N159" s="50" t="s">
        <v>104</v>
      </c>
      <c r="O159" s="39" t="s">
        <v>16</v>
      </c>
      <c r="P159" s="38" t="s">
        <v>16</v>
      </c>
      <c r="Q159" s="40" t="s">
        <v>60</v>
      </c>
      <c r="R159" s="39" t="s">
        <v>34</v>
      </c>
      <c r="S159" s="38" t="s">
        <v>55</v>
      </c>
      <c r="T159" s="44" t="s">
        <v>36</v>
      </c>
      <c r="U159" s="13"/>
      <c r="V159" s="13"/>
      <c r="W159" s="13"/>
      <c r="X159" s="13"/>
      <c r="Y159" s="13"/>
      <c r="Z159" s="13"/>
    </row>
    <row r="160" spans="1:26" ht="19.899999999999999" customHeight="1" x14ac:dyDescent="0.25">
      <c r="A160" s="31" t="s">
        <v>1450</v>
      </c>
      <c r="B160" s="85" t="s">
        <v>200</v>
      </c>
      <c r="C160" s="32" t="s">
        <v>64</v>
      </c>
      <c r="D160" s="33" t="s">
        <v>201</v>
      </c>
      <c r="E160" s="129" t="s">
        <v>202</v>
      </c>
      <c r="F160" s="35" t="s">
        <v>16</v>
      </c>
      <c r="G160" s="35" t="s">
        <v>16</v>
      </c>
      <c r="H160" s="35" t="s">
        <v>16</v>
      </c>
      <c r="I160" s="35" t="s">
        <v>16</v>
      </c>
      <c r="J160" s="38" t="s">
        <v>19</v>
      </c>
      <c r="K160" s="40" t="s">
        <v>15</v>
      </c>
      <c r="L160" s="35" t="s">
        <v>16</v>
      </c>
      <c r="M160" s="129" t="s">
        <v>204</v>
      </c>
      <c r="N160" s="35" t="s">
        <v>16</v>
      </c>
      <c r="O160" s="35" t="s">
        <v>16</v>
      </c>
      <c r="P160" s="35" t="s">
        <v>16</v>
      </c>
      <c r="Q160" s="35" t="s">
        <v>16</v>
      </c>
      <c r="R160" s="35" t="s">
        <v>16</v>
      </c>
      <c r="S160" s="38" t="s">
        <v>35</v>
      </c>
      <c r="T160" s="35" t="s">
        <v>16</v>
      </c>
      <c r="U160" s="13"/>
      <c r="V160" s="13"/>
      <c r="W160" s="13"/>
      <c r="X160" s="13"/>
      <c r="Y160" s="13"/>
      <c r="Z160" s="13"/>
    </row>
    <row r="161" spans="1:26" ht="19.899999999999999" customHeight="1" x14ac:dyDescent="0.25">
      <c r="A161" s="31" t="s">
        <v>1451</v>
      </c>
      <c r="B161" s="85" t="s">
        <v>200</v>
      </c>
      <c r="C161" s="32" t="s">
        <v>64</v>
      </c>
      <c r="D161" s="33" t="s">
        <v>201</v>
      </c>
      <c r="E161" s="129" t="s">
        <v>202</v>
      </c>
      <c r="F161" s="35" t="s">
        <v>16</v>
      </c>
      <c r="G161" s="35" t="s">
        <v>16</v>
      </c>
      <c r="H161" s="35" t="s">
        <v>16</v>
      </c>
      <c r="I161" s="35" t="s">
        <v>16</v>
      </c>
      <c r="J161" s="38" t="s">
        <v>19</v>
      </c>
      <c r="K161" s="40" t="s">
        <v>15</v>
      </c>
      <c r="L161" s="35" t="s">
        <v>16</v>
      </c>
      <c r="M161" s="129" t="s">
        <v>204</v>
      </c>
      <c r="N161" s="35" t="s">
        <v>16</v>
      </c>
      <c r="O161" s="35" t="s">
        <v>16</v>
      </c>
      <c r="P161" s="35" t="s">
        <v>16</v>
      </c>
      <c r="Q161" s="35" t="s">
        <v>16</v>
      </c>
      <c r="R161" s="35" t="s">
        <v>16</v>
      </c>
      <c r="S161" s="38" t="s">
        <v>35</v>
      </c>
      <c r="T161" s="35" t="s">
        <v>16</v>
      </c>
      <c r="U161" s="13"/>
      <c r="V161" s="13"/>
      <c r="W161" s="13"/>
      <c r="X161" s="13"/>
      <c r="Y161" s="13"/>
      <c r="Z161" s="13"/>
    </row>
    <row r="162" spans="1:26" ht="19.899999999999999" customHeight="1" x14ac:dyDescent="0.25">
      <c r="A162" s="33" t="s">
        <v>1518</v>
      </c>
      <c r="B162" s="56" t="s">
        <v>1631</v>
      </c>
      <c r="C162" s="32" t="s">
        <v>64</v>
      </c>
      <c r="D162" s="33" t="s">
        <v>1632</v>
      </c>
      <c r="E162" s="32" t="s">
        <v>16</v>
      </c>
      <c r="F162" s="34" t="s">
        <v>65</v>
      </c>
      <c r="G162" s="32" t="s">
        <v>16</v>
      </c>
      <c r="H162" s="33" t="s">
        <v>16</v>
      </c>
      <c r="I162" s="46" t="s">
        <v>16</v>
      </c>
      <c r="J162" s="33" t="s">
        <v>59</v>
      </c>
      <c r="K162" s="46" t="s">
        <v>16</v>
      </c>
      <c r="L162" s="41" t="s">
        <v>16</v>
      </c>
      <c r="M162" s="43" t="s">
        <v>95</v>
      </c>
      <c r="N162" s="46" t="s">
        <v>16</v>
      </c>
      <c r="O162" s="32" t="s">
        <v>16</v>
      </c>
      <c r="P162" s="33" t="s">
        <v>16</v>
      </c>
      <c r="Q162" s="46" t="s">
        <v>60</v>
      </c>
      <c r="R162" s="32" t="s">
        <v>34</v>
      </c>
      <c r="S162" s="33" t="s">
        <v>35</v>
      </c>
      <c r="T162" s="34" t="s">
        <v>36</v>
      </c>
      <c r="U162" s="13"/>
      <c r="V162" s="13"/>
      <c r="W162" s="13"/>
      <c r="X162" s="13"/>
      <c r="Y162" s="13"/>
      <c r="Z162" s="13"/>
    </row>
    <row r="163" spans="1:26" ht="19.899999999999999" customHeight="1" x14ac:dyDescent="0.25">
      <c r="A163" s="33" t="s">
        <v>1452</v>
      </c>
      <c r="B163" s="56" t="s">
        <v>1631</v>
      </c>
      <c r="C163" s="32" t="s">
        <v>64</v>
      </c>
      <c r="D163" s="33" t="s">
        <v>1632</v>
      </c>
      <c r="E163" s="32" t="s">
        <v>16</v>
      </c>
      <c r="F163" s="34" t="s">
        <v>65</v>
      </c>
      <c r="G163" s="32" t="s">
        <v>16</v>
      </c>
      <c r="H163" s="33" t="s">
        <v>16</v>
      </c>
      <c r="I163" s="46" t="s">
        <v>16</v>
      </c>
      <c r="J163" s="33" t="s">
        <v>59</v>
      </c>
      <c r="K163" s="46" t="s">
        <v>16</v>
      </c>
      <c r="L163" s="41" t="s">
        <v>16</v>
      </c>
      <c r="M163" s="43" t="s">
        <v>95</v>
      </c>
      <c r="N163" s="46" t="s">
        <v>16</v>
      </c>
      <c r="O163" s="32" t="s">
        <v>16</v>
      </c>
      <c r="P163" s="33" t="s">
        <v>16</v>
      </c>
      <c r="Q163" s="46" t="s">
        <v>60</v>
      </c>
      <c r="R163" s="32" t="s">
        <v>34</v>
      </c>
      <c r="S163" s="33" t="s">
        <v>35</v>
      </c>
      <c r="T163" s="34" t="s">
        <v>36</v>
      </c>
      <c r="U163" s="13"/>
      <c r="V163" s="13"/>
      <c r="W163" s="13"/>
      <c r="X163" s="13"/>
      <c r="Y163" s="13"/>
      <c r="Z163" s="13"/>
    </row>
    <row r="164" spans="1:26" ht="19.899999999999999" customHeight="1" x14ac:dyDescent="0.25">
      <c r="A164" s="31" t="s">
        <v>1449</v>
      </c>
      <c r="B164" s="85" t="s">
        <v>197</v>
      </c>
      <c r="C164" s="32" t="s">
        <v>67</v>
      </c>
      <c r="D164" s="33" t="s">
        <v>198</v>
      </c>
      <c r="E164" s="35" t="s">
        <v>16</v>
      </c>
      <c r="F164" s="35" t="s">
        <v>16</v>
      </c>
      <c r="G164" s="35" t="s">
        <v>16</v>
      </c>
      <c r="H164" s="35" t="s">
        <v>16</v>
      </c>
      <c r="I164" s="35" t="s">
        <v>16</v>
      </c>
      <c r="J164" s="38" t="s">
        <v>14</v>
      </c>
      <c r="K164" s="35" t="s">
        <v>16</v>
      </c>
      <c r="L164" s="35" t="s">
        <v>16</v>
      </c>
      <c r="M164" s="35" t="s">
        <v>16</v>
      </c>
      <c r="N164" s="35" t="s">
        <v>16</v>
      </c>
      <c r="O164" s="35" t="s">
        <v>16</v>
      </c>
      <c r="P164" s="35" t="s">
        <v>16</v>
      </c>
      <c r="Q164" s="35" t="s">
        <v>16</v>
      </c>
      <c r="R164" s="35" t="s">
        <v>16</v>
      </c>
      <c r="S164" s="35" t="s">
        <v>16</v>
      </c>
      <c r="T164" s="35" t="s">
        <v>16</v>
      </c>
      <c r="U164" s="13"/>
      <c r="V164" s="13"/>
      <c r="W164" s="13"/>
      <c r="X164" s="13"/>
      <c r="Y164" s="13"/>
      <c r="Z164" s="13"/>
    </row>
    <row r="165" spans="1:26" ht="19.899999999999999" customHeight="1" x14ac:dyDescent="0.25">
      <c r="A165" s="68" t="s">
        <v>1461</v>
      </c>
      <c r="B165" s="77" t="s">
        <v>223</v>
      </c>
      <c r="C165" s="32" t="s">
        <v>64</v>
      </c>
      <c r="D165" s="33" t="s">
        <v>89</v>
      </c>
      <c r="E165" s="41" t="s">
        <v>253</v>
      </c>
      <c r="F165" s="34" t="s">
        <v>86</v>
      </c>
      <c r="G165" s="32" t="s">
        <v>16</v>
      </c>
      <c r="H165" s="33" t="s">
        <v>16</v>
      </c>
      <c r="I165" s="46" t="s">
        <v>16</v>
      </c>
      <c r="J165" s="33" t="s">
        <v>14</v>
      </c>
      <c r="K165" s="46" t="s">
        <v>15</v>
      </c>
      <c r="L165" s="41" t="s">
        <v>16</v>
      </c>
      <c r="M165" s="47" t="s">
        <v>92</v>
      </c>
      <c r="N165" s="46" t="s">
        <v>16</v>
      </c>
      <c r="O165" s="32" t="s">
        <v>16</v>
      </c>
      <c r="P165" s="33" t="s">
        <v>16</v>
      </c>
      <c r="Q165" s="46" t="s">
        <v>57</v>
      </c>
      <c r="R165" s="32" t="s">
        <v>16</v>
      </c>
      <c r="S165" s="33" t="s">
        <v>17</v>
      </c>
      <c r="T165" s="34" t="s">
        <v>36</v>
      </c>
      <c r="U165" s="13"/>
      <c r="V165" s="13"/>
      <c r="W165" s="13"/>
      <c r="X165" s="13"/>
      <c r="Y165" s="13"/>
      <c r="Z165" s="13"/>
    </row>
    <row r="166" spans="1:26" ht="19.899999999999999" customHeight="1" x14ac:dyDescent="0.25">
      <c r="A166" s="38" t="s">
        <v>1462</v>
      </c>
      <c r="B166" s="56" t="s">
        <v>218</v>
      </c>
      <c r="C166" s="32" t="s">
        <v>1741</v>
      </c>
      <c r="D166" s="90" t="s">
        <v>1485</v>
      </c>
      <c r="E166" s="94" t="s">
        <v>219</v>
      </c>
      <c r="F166" s="91" t="s">
        <v>72</v>
      </c>
      <c r="G166" s="39" t="s">
        <v>16</v>
      </c>
      <c r="H166" s="38" t="s">
        <v>16</v>
      </c>
      <c r="I166" s="40" t="s">
        <v>16</v>
      </c>
      <c r="J166" s="33" t="s">
        <v>73</v>
      </c>
      <c r="K166" s="40" t="s">
        <v>16</v>
      </c>
      <c r="L166" s="42" t="s">
        <v>16</v>
      </c>
      <c r="M166" s="43" t="s">
        <v>74</v>
      </c>
      <c r="N166" s="40" t="s">
        <v>16</v>
      </c>
      <c r="O166" s="39" t="s">
        <v>16</v>
      </c>
      <c r="P166" s="38" t="s">
        <v>16</v>
      </c>
      <c r="Q166" s="40" t="s">
        <v>16</v>
      </c>
      <c r="R166" s="39" t="s">
        <v>16</v>
      </c>
      <c r="S166" s="38" t="s">
        <v>16</v>
      </c>
      <c r="T166" s="44" t="s">
        <v>36</v>
      </c>
      <c r="U166" s="13"/>
      <c r="V166" s="13"/>
      <c r="W166" s="13"/>
      <c r="X166" s="13"/>
      <c r="Y166" s="13"/>
      <c r="Z166" s="13"/>
    </row>
    <row r="167" spans="1:26" ht="19.899999999999999" customHeight="1" x14ac:dyDescent="0.25">
      <c r="A167" s="38" t="s">
        <v>1463</v>
      </c>
      <c r="B167" s="72" t="s">
        <v>1720</v>
      </c>
      <c r="C167" s="32" t="s">
        <v>64</v>
      </c>
      <c r="D167" s="33" t="s">
        <v>1721</v>
      </c>
      <c r="E167" s="39" t="s">
        <v>16</v>
      </c>
      <c r="F167" s="34" t="s">
        <v>65</v>
      </c>
      <c r="G167" s="39" t="s">
        <v>16</v>
      </c>
      <c r="H167" s="38" t="s">
        <v>16</v>
      </c>
      <c r="I167" s="40" t="s">
        <v>16</v>
      </c>
      <c r="J167" s="38" t="s">
        <v>59</v>
      </c>
      <c r="K167" s="40" t="s">
        <v>23</v>
      </c>
      <c r="L167" s="42" t="s">
        <v>16</v>
      </c>
      <c r="M167" s="49" t="s">
        <v>74</v>
      </c>
      <c r="N167" s="40" t="s">
        <v>16</v>
      </c>
      <c r="O167" s="39" t="s">
        <v>16</v>
      </c>
      <c r="P167" s="43" t="s">
        <v>282</v>
      </c>
      <c r="Q167" s="40" t="s">
        <v>16</v>
      </c>
      <c r="R167" s="39" t="s">
        <v>34</v>
      </c>
      <c r="S167" s="38" t="s">
        <v>55</v>
      </c>
      <c r="T167" s="44" t="s">
        <v>36</v>
      </c>
      <c r="U167" s="45"/>
      <c r="V167" s="45"/>
      <c r="W167" s="45"/>
      <c r="X167" s="45"/>
      <c r="Y167" s="45"/>
      <c r="Z167" s="45"/>
    </row>
    <row r="168" spans="1:26" ht="19.899999999999999" customHeight="1" x14ac:dyDescent="0.25">
      <c r="A168" s="74" t="s">
        <v>1465</v>
      </c>
      <c r="B168" s="77" t="s">
        <v>171</v>
      </c>
      <c r="C168" s="32" t="s">
        <v>64</v>
      </c>
      <c r="D168" s="33" t="s">
        <v>172</v>
      </c>
      <c r="E168" s="93" t="s">
        <v>1640</v>
      </c>
      <c r="F168" s="34" t="s">
        <v>72</v>
      </c>
      <c r="G168" s="39" t="s">
        <v>16</v>
      </c>
      <c r="H168" s="38" t="s">
        <v>16</v>
      </c>
      <c r="I168" s="40" t="s">
        <v>16</v>
      </c>
      <c r="J168" s="38" t="s">
        <v>14</v>
      </c>
      <c r="K168" s="40" t="s">
        <v>16</v>
      </c>
      <c r="L168" s="42" t="s">
        <v>16</v>
      </c>
      <c r="M168" s="43" t="s">
        <v>1641</v>
      </c>
      <c r="N168" s="40" t="s">
        <v>16</v>
      </c>
      <c r="O168" s="39" t="s">
        <v>16</v>
      </c>
      <c r="P168" s="38" t="s">
        <v>16</v>
      </c>
      <c r="Q168" s="40" t="s">
        <v>16</v>
      </c>
      <c r="R168" s="39" t="s">
        <v>16</v>
      </c>
      <c r="S168" s="38" t="s">
        <v>35</v>
      </c>
      <c r="T168" s="44" t="s">
        <v>36</v>
      </c>
      <c r="U168" s="13"/>
      <c r="V168" s="13"/>
      <c r="W168" s="13"/>
      <c r="X168" s="13"/>
      <c r="Y168" s="13"/>
      <c r="Z168" s="13"/>
    </row>
    <row r="169" spans="1:26" ht="19.899999999999999" customHeight="1" x14ac:dyDescent="0.25">
      <c r="A169" s="74" t="s">
        <v>1466</v>
      </c>
      <c r="B169" s="77" t="s">
        <v>171</v>
      </c>
      <c r="C169" s="32" t="s">
        <v>64</v>
      </c>
      <c r="D169" s="33" t="s">
        <v>172</v>
      </c>
      <c r="E169" s="93" t="s">
        <v>1640</v>
      </c>
      <c r="F169" s="34" t="s">
        <v>122</v>
      </c>
      <c r="G169" s="39" t="s">
        <v>16</v>
      </c>
      <c r="H169" s="38" t="s">
        <v>16</v>
      </c>
      <c r="I169" s="40" t="s">
        <v>16</v>
      </c>
      <c r="J169" s="38" t="s">
        <v>14</v>
      </c>
      <c r="K169" s="40" t="s">
        <v>16</v>
      </c>
      <c r="L169" s="42" t="s">
        <v>16</v>
      </c>
      <c r="M169" s="43" t="s">
        <v>60</v>
      </c>
      <c r="N169" s="40" t="s">
        <v>16</v>
      </c>
      <c r="O169" s="39" t="s">
        <v>16</v>
      </c>
      <c r="P169" s="38" t="s">
        <v>16</v>
      </c>
      <c r="Q169" s="40" t="s">
        <v>16</v>
      </c>
      <c r="R169" s="39" t="s">
        <v>34</v>
      </c>
      <c r="S169" s="38" t="s">
        <v>35</v>
      </c>
      <c r="T169" s="44" t="s">
        <v>36</v>
      </c>
      <c r="U169" s="13"/>
      <c r="V169" s="13"/>
      <c r="W169" s="13"/>
      <c r="X169" s="13"/>
      <c r="Y169" s="13"/>
      <c r="Z169" s="13"/>
    </row>
    <row r="170" spans="1:26" ht="19.899999999999999" customHeight="1" x14ac:dyDescent="0.25">
      <c r="A170" s="31" t="s">
        <v>1467</v>
      </c>
      <c r="B170" s="85" t="s">
        <v>200</v>
      </c>
      <c r="C170" s="32" t="s">
        <v>64</v>
      </c>
      <c r="D170" s="33" t="s">
        <v>201</v>
      </c>
      <c r="E170" s="129" t="s">
        <v>202</v>
      </c>
      <c r="F170" s="35" t="s">
        <v>16</v>
      </c>
      <c r="G170" s="35" t="s">
        <v>16</v>
      </c>
      <c r="H170" s="35" t="s">
        <v>16</v>
      </c>
      <c r="I170" s="35" t="s">
        <v>16</v>
      </c>
      <c r="J170" s="38" t="s">
        <v>19</v>
      </c>
      <c r="K170" s="40" t="s">
        <v>15</v>
      </c>
      <c r="L170" s="35" t="s">
        <v>16</v>
      </c>
      <c r="M170" s="129" t="s">
        <v>204</v>
      </c>
      <c r="N170" s="35" t="s">
        <v>16</v>
      </c>
      <c r="O170" s="35" t="s">
        <v>16</v>
      </c>
      <c r="P170" s="35" t="s">
        <v>16</v>
      </c>
      <c r="Q170" s="35" t="s">
        <v>16</v>
      </c>
      <c r="R170" s="35" t="s">
        <v>16</v>
      </c>
      <c r="S170" s="38" t="s">
        <v>35</v>
      </c>
      <c r="T170" s="35" t="s">
        <v>16</v>
      </c>
      <c r="U170" s="13"/>
      <c r="V170" s="13"/>
      <c r="W170" s="13"/>
      <c r="X170" s="13"/>
      <c r="Y170" s="13"/>
      <c r="Z170" s="13"/>
    </row>
    <row r="171" spans="1:26" ht="19.899999999999999" customHeight="1" x14ac:dyDescent="0.25">
      <c r="A171" s="74" t="s">
        <v>1471</v>
      </c>
      <c r="B171" s="77" t="s">
        <v>220</v>
      </c>
      <c r="C171" s="32" t="s">
        <v>84</v>
      </c>
      <c r="D171" s="33" t="s">
        <v>77</v>
      </c>
      <c r="E171" s="93" t="s">
        <v>221</v>
      </c>
      <c r="F171" s="34" t="s">
        <v>72</v>
      </c>
      <c r="G171" s="39" t="s">
        <v>16</v>
      </c>
      <c r="H171" s="38" t="s">
        <v>16</v>
      </c>
      <c r="I171" s="40" t="s">
        <v>16</v>
      </c>
      <c r="J171" s="38" t="s">
        <v>14</v>
      </c>
      <c r="K171" s="40" t="s">
        <v>16</v>
      </c>
      <c r="L171" s="42" t="s">
        <v>16</v>
      </c>
      <c r="M171" s="43" t="s">
        <v>60</v>
      </c>
      <c r="N171" s="40" t="s">
        <v>16</v>
      </c>
      <c r="O171" s="39" t="s">
        <v>16</v>
      </c>
      <c r="P171" s="38" t="s">
        <v>16</v>
      </c>
      <c r="Q171" s="40" t="s">
        <v>16</v>
      </c>
      <c r="R171" s="39" t="s">
        <v>16</v>
      </c>
      <c r="S171" s="38" t="s">
        <v>16</v>
      </c>
      <c r="T171" s="44" t="s">
        <v>36</v>
      </c>
      <c r="U171" s="13"/>
      <c r="V171" s="13"/>
      <c r="W171" s="13"/>
      <c r="X171" s="13"/>
      <c r="Y171" s="13"/>
      <c r="Z171" s="13"/>
    </row>
    <row r="172" spans="1:26" ht="19.899999999999999" customHeight="1" x14ac:dyDescent="0.25">
      <c r="A172" s="33" t="s">
        <v>1472</v>
      </c>
      <c r="B172" s="77" t="s">
        <v>231</v>
      </c>
      <c r="C172" s="32" t="s">
        <v>64</v>
      </c>
      <c r="D172" s="33" t="s">
        <v>232</v>
      </c>
      <c r="E172" s="41" t="s">
        <v>237</v>
      </c>
      <c r="F172" s="34" t="s">
        <v>75</v>
      </c>
      <c r="G172" s="32" t="s">
        <v>16</v>
      </c>
      <c r="H172" s="33" t="s">
        <v>16</v>
      </c>
      <c r="I172" s="46" t="s">
        <v>16</v>
      </c>
      <c r="J172" s="38" t="s">
        <v>14</v>
      </c>
      <c r="K172" s="46" t="s">
        <v>16</v>
      </c>
      <c r="L172" s="41" t="s">
        <v>16</v>
      </c>
      <c r="M172" s="43" t="s">
        <v>238</v>
      </c>
      <c r="N172" s="46" t="s">
        <v>16</v>
      </c>
      <c r="O172" s="32" t="s">
        <v>16</v>
      </c>
      <c r="P172" s="33" t="s">
        <v>16</v>
      </c>
      <c r="Q172" s="46" t="s">
        <v>16</v>
      </c>
      <c r="R172" s="32" t="s">
        <v>16</v>
      </c>
      <c r="S172" s="38" t="s">
        <v>35</v>
      </c>
      <c r="T172" s="34" t="s">
        <v>36</v>
      </c>
      <c r="U172" s="13"/>
      <c r="V172" s="13"/>
      <c r="W172" s="13"/>
      <c r="X172" s="13"/>
      <c r="Y172" s="13"/>
      <c r="Z172" s="13"/>
    </row>
    <row r="173" spans="1:26" ht="19.899999999999999" customHeight="1" x14ac:dyDescent="0.25">
      <c r="A173" s="33" t="s">
        <v>1519</v>
      </c>
      <c r="B173" s="56" t="s">
        <v>1802</v>
      </c>
      <c r="C173" s="32" t="s">
        <v>64</v>
      </c>
      <c r="D173" s="33" t="s">
        <v>1803</v>
      </c>
      <c r="E173" s="32" t="s">
        <v>16</v>
      </c>
      <c r="F173" s="34" t="s">
        <v>65</v>
      </c>
      <c r="G173" s="32" t="s">
        <v>16</v>
      </c>
      <c r="H173" s="33" t="s">
        <v>16</v>
      </c>
      <c r="I173" s="46" t="s">
        <v>16</v>
      </c>
      <c r="J173" s="33" t="s">
        <v>59</v>
      </c>
      <c r="K173" s="46" t="s">
        <v>16</v>
      </c>
      <c r="L173" s="41" t="s">
        <v>16</v>
      </c>
      <c r="M173" s="47" t="s">
        <v>74</v>
      </c>
      <c r="N173" s="46" t="s">
        <v>16</v>
      </c>
      <c r="O173" s="32" t="s">
        <v>16</v>
      </c>
      <c r="P173" s="43" t="s">
        <v>285</v>
      </c>
      <c r="Q173" s="46" t="s">
        <v>16</v>
      </c>
      <c r="R173" s="32" t="s">
        <v>34</v>
      </c>
      <c r="S173" s="33" t="s">
        <v>35</v>
      </c>
      <c r="T173" s="34" t="s">
        <v>36</v>
      </c>
      <c r="U173" s="45"/>
      <c r="V173" s="45"/>
      <c r="W173" s="45"/>
      <c r="X173" s="45"/>
      <c r="Y173" s="45"/>
      <c r="Z173" s="45"/>
    </row>
    <row r="174" spans="1:26" ht="19.899999999999999" customHeight="1" x14ac:dyDescent="0.25">
      <c r="A174" s="95" t="s">
        <v>1531</v>
      </c>
      <c r="B174" s="62" t="s">
        <v>192</v>
      </c>
      <c r="C174" s="64" t="s">
        <v>64</v>
      </c>
      <c r="D174" s="64" t="s">
        <v>193</v>
      </c>
      <c r="E174" s="96" t="s">
        <v>16</v>
      </c>
      <c r="F174" s="34" t="s">
        <v>65</v>
      </c>
      <c r="G174" s="35" t="s">
        <v>68</v>
      </c>
      <c r="H174" s="31" t="s">
        <v>16</v>
      </c>
      <c r="I174" s="34" t="s">
        <v>47</v>
      </c>
      <c r="J174" s="31" t="s">
        <v>16</v>
      </c>
      <c r="K174" s="34" t="s">
        <v>16</v>
      </c>
      <c r="L174" s="35" t="s">
        <v>48</v>
      </c>
      <c r="M174" s="31" t="s">
        <v>16</v>
      </c>
      <c r="N174" s="34" t="s">
        <v>16</v>
      </c>
      <c r="O174" s="35" t="s">
        <v>16</v>
      </c>
      <c r="P174" s="31" t="s">
        <v>16</v>
      </c>
      <c r="Q174" s="34" t="s">
        <v>16</v>
      </c>
      <c r="R174" s="35" t="s">
        <v>16</v>
      </c>
      <c r="S174" s="31" t="s">
        <v>16</v>
      </c>
      <c r="T174" s="34" t="s">
        <v>36</v>
      </c>
      <c r="U174" s="13"/>
      <c r="V174" s="13"/>
      <c r="W174" s="13"/>
      <c r="X174" s="13"/>
      <c r="Y174" s="13"/>
      <c r="Z174" s="13"/>
    </row>
    <row r="175" spans="1:26" ht="19.899999999999999" customHeight="1" x14ac:dyDescent="0.25">
      <c r="A175" s="38" t="s">
        <v>1473</v>
      </c>
      <c r="B175" s="72" t="s">
        <v>1709</v>
      </c>
      <c r="C175" s="32" t="s">
        <v>64</v>
      </c>
      <c r="D175" s="33" t="s">
        <v>1710</v>
      </c>
      <c r="E175" s="39" t="s">
        <v>16</v>
      </c>
      <c r="F175" s="34" t="s">
        <v>65</v>
      </c>
      <c r="G175" s="39" t="s">
        <v>16</v>
      </c>
      <c r="H175" s="38" t="s">
        <v>16</v>
      </c>
      <c r="I175" s="40" t="s">
        <v>16</v>
      </c>
      <c r="J175" s="38" t="s">
        <v>59</v>
      </c>
      <c r="K175" s="40" t="s">
        <v>15</v>
      </c>
      <c r="L175" s="42" t="s">
        <v>16</v>
      </c>
      <c r="M175" s="49" t="s">
        <v>74</v>
      </c>
      <c r="N175" s="50" t="s">
        <v>104</v>
      </c>
      <c r="O175" s="39" t="s">
        <v>16</v>
      </c>
      <c r="P175" s="43" t="s">
        <v>282</v>
      </c>
      <c r="Q175" s="40">
        <v>75</v>
      </c>
      <c r="R175" s="39" t="s">
        <v>34</v>
      </c>
      <c r="S175" s="38" t="s">
        <v>55</v>
      </c>
      <c r="T175" s="44" t="s">
        <v>36</v>
      </c>
      <c r="U175" s="45"/>
      <c r="V175" s="45"/>
      <c r="W175" s="45"/>
      <c r="X175" s="45"/>
      <c r="Y175" s="45"/>
      <c r="Z175" s="45"/>
    </row>
    <row r="176" spans="1:26" ht="19.899999999999999" customHeight="1" x14ac:dyDescent="0.25">
      <c r="A176" s="68" t="s">
        <v>1516</v>
      </c>
      <c r="B176" s="77" t="s">
        <v>223</v>
      </c>
      <c r="C176" s="32" t="s">
        <v>64</v>
      </c>
      <c r="D176" s="33" t="s">
        <v>89</v>
      </c>
      <c r="E176" s="41" t="s">
        <v>251</v>
      </c>
      <c r="F176" s="34" t="s">
        <v>86</v>
      </c>
      <c r="G176" s="32" t="s">
        <v>16</v>
      </c>
      <c r="H176" s="33" t="s">
        <v>16</v>
      </c>
      <c r="I176" s="46" t="s">
        <v>16</v>
      </c>
      <c r="J176" s="33" t="s">
        <v>19</v>
      </c>
      <c r="K176" s="46" t="s">
        <v>87</v>
      </c>
      <c r="L176" s="41" t="s">
        <v>16</v>
      </c>
      <c r="M176" s="47" t="s">
        <v>252</v>
      </c>
      <c r="N176" s="46" t="s">
        <v>16</v>
      </c>
      <c r="O176" s="32" t="s">
        <v>16</v>
      </c>
      <c r="P176" s="33" t="s">
        <v>16</v>
      </c>
      <c r="Q176" s="46" t="s">
        <v>57</v>
      </c>
      <c r="R176" s="32" t="s">
        <v>16</v>
      </c>
      <c r="S176" s="33" t="s">
        <v>17</v>
      </c>
      <c r="T176" s="34" t="s">
        <v>36</v>
      </c>
      <c r="U176" s="13"/>
      <c r="V176" s="13"/>
      <c r="W176" s="13"/>
      <c r="X176" s="13"/>
      <c r="Y176" s="13"/>
      <c r="Z176" s="13"/>
    </row>
    <row r="177" spans="1:26" ht="19.899999999999999" customHeight="1" x14ac:dyDescent="0.25">
      <c r="A177" s="33" t="s">
        <v>1521</v>
      </c>
      <c r="B177" s="62" t="s">
        <v>301</v>
      </c>
      <c r="C177" s="63" t="s">
        <v>64</v>
      </c>
      <c r="D177" s="33" t="s">
        <v>302</v>
      </c>
      <c r="E177" s="41" t="s">
        <v>303</v>
      </c>
      <c r="F177" s="34" t="s">
        <v>143</v>
      </c>
      <c r="G177" s="32" t="s">
        <v>16</v>
      </c>
      <c r="H177" s="33" t="s">
        <v>16</v>
      </c>
      <c r="I177" s="46" t="s">
        <v>16</v>
      </c>
      <c r="J177" s="33" t="s">
        <v>19</v>
      </c>
      <c r="K177" s="46" t="s">
        <v>23</v>
      </c>
      <c r="L177" s="41" t="s">
        <v>16</v>
      </c>
      <c r="M177" s="47" t="s">
        <v>60</v>
      </c>
      <c r="N177" s="50" t="s">
        <v>104</v>
      </c>
      <c r="O177" s="32" t="s">
        <v>16</v>
      </c>
      <c r="P177" s="33" t="s">
        <v>16</v>
      </c>
      <c r="Q177" s="46" t="s">
        <v>57</v>
      </c>
      <c r="R177" s="32" t="s">
        <v>16</v>
      </c>
      <c r="S177" s="33" t="s">
        <v>17</v>
      </c>
      <c r="T177" s="34" t="s">
        <v>36</v>
      </c>
      <c r="U177" s="13"/>
      <c r="V177" s="13"/>
      <c r="W177" s="13"/>
      <c r="X177" s="13"/>
      <c r="Y177" s="13"/>
      <c r="Z177" s="13"/>
    </row>
    <row r="178" spans="1:26" ht="19.899999999999999" customHeight="1" x14ac:dyDescent="0.25">
      <c r="A178" s="38" t="s">
        <v>1474</v>
      </c>
      <c r="B178" s="56" t="s">
        <v>218</v>
      </c>
      <c r="C178" s="32" t="s">
        <v>1741</v>
      </c>
      <c r="D178" s="90" t="s">
        <v>1485</v>
      </c>
      <c r="E178" s="94" t="s">
        <v>219</v>
      </c>
      <c r="F178" s="91" t="s">
        <v>72</v>
      </c>
      <c r="G178" s="39" t="s">
        <v>16</v>
      </c>
      <c r="H178" s="38" t="s">
        <v>16</v>
      </c>
      <c r="I178" s="40" t="s">
        <v>16</v>
      </c>
      <c r="J178" s="33" t="s">
        <v>73</v>
      </c>
      <c r="K178" s="40" t="s">
        <v>16</v>
      </c>
      <c r="L178" s="42" t="s">
        <v>16</v>
      </c>
      <c r="M178" s="43" t="s">
        <v>74</v>
      </c>
      <c r="N178" s="40" t="s">
        <v>16</v>
      </c>
      <c r="O178" s="39" t="s">
        <v>16</v>
      </c>
      <c r="P178" s="38" t="s">
        <v>16</v>
      </c>
      <c r="Q178" s="40" t="s">
        <v>16</v>
      </c>
      <c r="R178" s="39" t="s">
        <v>16</v>
      </c>
      <c r="S178" s="38" t="s">
        <v>16</v>
      </c>
      <c r="T178" s="44" t="s">
        <v>36</v>
      </c>
      <c r="U178" s="13"/>
      <c r="V178" s="13"/>
      <c r="W178" s="13"/>
      <c r="X178" s="13"/>
      <c r="Y178" s="13"/>
      <c r="Z178" s="13"/>
    </row>
    <row r="179" spans="1:26" ht="19.899999999999999" customHeight="1" x14ac:dyDescent="0.25">
      <c r="A179" s="67" t="s">
        <v>1475</v>
      </c>
      <c r="B179" s="56" t="s">
        <v>223</v>
      </c>
      <c r="C179" s="32" t="s">
        <v>64</v>
      </c>
      <c r="D179" s="33" t="s">
        <v>89</v>
      </c>
      <c r="E179" s="41" t="s">
        <v>90</v>
      </c>
      <c r="F179" s="34" t="s">
        <v>127</v>
      </c>
      <c r="G179" s="39" t="s">
        <v>16</v>
      </c>
      <c r="H179" s="38" t="s">
        <v>16</v>
      </c>
      <c r="I179" s="40" t="s">
        <v>16</v>
      </c>
      <c r="J179" s="33" t="s">
        <v>14</v>
      </c>
      <c r="K179" s="40" t="s">
        <v>87</v>
      </c>
      <c r="L179" s="42" t="s">
        <v>16</v>
      </c>
      <c r="M179" s="43" t="s">
        <v>290</v>
      </c>
      <c r="N179" s="48" t="s">
        <v>128</v>
      </c>
      <c r="O179" s="39" t="s">
        <v>16</v>
      </c>
      <c r="P179" s="38" t="s">
        <v>16</v>
      </c>
      <c r="Q179" s="40" t="s">
        <v>16</v>
      </c>
      <c r="R179" s="39" t="s">
        <v>54</v>
      </c>
      <c r="S179" s="38" t="s">
        <v>55</v>
      </c>
      <c r="T179" s="44" t="s">
        <v>36</v>
      </c>
      <c r="U179" s="13"/>
      <c r="V179" s="13"/>
      <c r="W179" s="13"/>
      <c r="X179" s="13"/>
      <c r="Y179" s="13"/>
      <c r="Z179" s="13"/>
    </row>
    <row r="180" spans="1:26" ht="19.899999999999999" customHeight="1" x14ac:dyDescent="0.25">
      <c r="A180" s="38" t="s">
        <v>1484</v>
      </c>
      <c r="B180" s="66" t="s">
        <v>70</v>
      </c>
      <c r="C180" s="32" t="s">
        <v>64</v>
      </c>
      <c r="D180" s="38" t="s">
        <v>71</v>
      </c>
      <c r="E180" s="42" t="s">
        <v>1478</v>
      </c>
      <c r="F180" s="44" t="s">
        <v>147</v>
      </c>
      <c r="G180" s="39" t="s">
        <v>16</v>
      </c>
      <c r="H180" s="38" t="s">
        <v>16</v>
      </c>
      <c r="I180" s="40" t="s">
        <v>47</v>
      </c>
      <c r="J180" s="38" t="s">
        <v>19</v>
      </c>
      <c r="K180" s="40" t="s">
        <v>16</v>
      </c>
      <c r="L180" s="39" t="s">
        <v>16</v>
      </c>
      <c r="M180" s="38" t="s">
        <v>16</v>
      </c>
      <c r="N180" s="40" t="s">
        <v>16</v>
      </c>
      <c r="O180" s="39" t="s">
        <v>16</v>
      </c>
      <c r="P180" s="38" t="s">
        <v>16</v>
      </c>
      <c r="Q180" s="40" t="s">
        <v>16</v>
      </c>
      <c r="R180" s="39" t="s">
        <v>34</v>
      </c>
      <c r="S180" s="38" t="s">
        <v>55</v>
      </c>
      <c r="T180" s="44" t="s">
        <v>36</v>
      </c>
      <c r="U180" s="13"/>
      <c r="V180" s="13"/>
      <c r="W180" s="13"/>
      <c r="X180" s="13"/>
      <c r="Y180" s="13"/>
      <c r="Z180" s="13"/>
    </row>
    <row r="181" spans="1:26" ht="19.899999999999999" customHeight="1" x14ac:dyDescent="0.25">
      <c r="A181" s="38" t="s">
        <v>1486</v>
      </c>
      <c r="B181" s="66" t="s">
        <v>70</v>
      </c>
      <c r="C181" s="32" t="s">
        <v>64</v>
      </c>
      <c r="D181" s="38" t="s">
        <v>71</v>
      </c>
      <c r="E181" s="42" t="s">
        <v>1478</v>
      </c>
      <c r="F181" s="44" t="s">
        <v>147</v>
      </c>
      <c r="G181" s="39" t="s">
        <v>16</v>
      </c>
      <c r="H181" s="38" t="s">
        <v>16</v>
      </c>
      <c r="I181" s="40" t="s">
        <v>47</v>
      </c>
      <c r="J181" s="38" t="s">
        <v>19</v>
      </c>
      <c r="K181" s="40" t="s">
        <v>16</v>
      </c>
      <c r="L181" s="39" t="s">
        <v>16</v>
      </c>
      <c r="M181" s="38" t="s">
        <v>16</v>
      </c>
      <c r="N181" s="40" t="s">
        <v>16</v>
      </c>
      <c r="O181" s="39" t="s">
        <v>16</v>
      </c>
      <c r="P181" s="38" t="s">
        <v>16</v>
      </c>
      <c r="Q181" s="40" t="s">
        <v>16</v>
      </c>
      <c r="R181" s="39" t="s">
        <v>34</v>
      </c>
      <c r="S181" s="38" t="s">
        <v>55</v>
      </c>
      <c r="T181" s="44" t="s">
        <v>36</v>
      </c>
      <c r="U181" s="13"/>
      <c r="V181" s="13"/>
      <c r="W181" s="13"/>
      <c r="X181" s="13"/>
      <c r="Y181" s="13"/>
      <c r="Z181" s="13"/>
    </row>
    <row r="182" spans="1:26" ht="19.899999999999999" customHeight="1" x14ac:dyDescent="0.25">
      <c r="A182" s="38" t="s">
        <v>1487</v>
      </c>
      <c r="B182" s="59" t="s">
        <v>171</v>
      </c>
      <c r="C182" s="32" t="s">
        <v>64</v>
      </c>
      <c r="D182" s="38" t="s">
        <v>172</v>
      </c>
      <c r="E182" s="42" t="s">
        <v>30</v>
      </c>
      <c r="F182" s="40" t="s">
        <v>45</v>
      </c>
      <c r="G182" s="39" t="s">
        <v>16</v>
      </c>
      <c r="H182" s="38" t="s">
        <v>16</v>
      </c>
      <c r="I182" s="40" t="s">
        <v>16</v>
      </c>
      <c r="J182" s="38" t="s">
        <v>28</v>
      </c>
      <c r="K182" s="40" t="s">
        <v>16</v>
      </c>
      <c r="L182" s="39" t="s">
        <v>16</v>
      </c>
      <c r="M182" s="38" t="s">
        <v>16</v>
      </c>
      <c r="N182" s="40" t="s">
        <v>16</v>
      </c>
      <c r="O182" s="42" t="s">
        <v>31</v>
      </c>
      <c r="P182" s="38" t="s">
        <v>16</v>
      </c>
      <c r="Q182" s="40" t="s">
        <v>16</v>
      </c>
      <c r="R182" s="39" t="s">
        <v>34</v>
      </c>
      <c r="S182" s="38" t="s">
        <v>55</v>
      </c>
      <c r="T182" s="44" t="s">
        <v>36</v>
      </c>
      <c r="U182" s="13"/>
      <c r="V182" s="13"/>
      <c r="W182" s="13"/>
      <c r="X182" s="13"/>
      <c r="Y182" s="13"/>
      <c r="Z182" s="13"/>
    </row>
    <row r="183" spans="1:26" ht="19.899999999999999" customHeight="1" x14ac:dyDescent="0.25">
      <c r="A183" s="38" t="s">
        <v>1488</v>
      </c>
      <c r="B183" s="54" t="s">
        <v>70</v>
      </c>
      <c r="C183" s="51" t="s">
        <v>64</v>
      </c>
      <c r="D183" s="38" t="s">
        <v>71</v>
      </c>
      <c r="E183" s="42" t="s">
        <v>160</v>
      </c>
      <c r="F183" s="44" t="s">
        <v>122</v>
      </c>
      <c r="G183" s="39" t="s">
        <v>16</v>
      </c>
      <c r="H183" s="38" t="s">
        <v>16</v>
      </c>
      <c r="I183" s="40" t="s">
        <v>16</v>
      </c>
      <c r="J183" s="38" t="s">
        <v>25</v>
      </c>
      <c r="K183" s="40" t="s">
        <v>16</v>
      </c>
      <c r="L183" s="39" t="s">
        <v>16</v>
      </c>
      <c r="M183" s="38" t="s">
        <v>16</v>
      </c>
      <c r="N183" s="40" t="s">
        <v>16</v>
      </c>
      <c r="O183" s="42" t="s">
        <v>160</v>
      </c>
      <c r="P183" s="38" t="s">
        <v>16</v>
      </c>
      <c r="Q183" s="40" t="s">
        <v>16</v>
      </c>
      <c r="R183" s="39" t="s">
        <v>34</v>
      </c>
      <c r="S183" s="38" t="s">
        <v>35</v>
      </c>
      <c r="T183" s="44" t="s">
        <v>36</v>
      </c>
      <c r="U183" s="13"/>
      <c r="V183" s="13"/>
      <c r="W183" s="13"/>
      <c r="X183" s="13"/>
      <c r="Y183" s="13"/>
      <c r="Z183" s="13"/>
    </row>
    <row r="184" spans="1:26" ht="19.899999999999999" customHeight="1" x14ac:dyDescent="0.25">
      <c r="A184" s="38" t="s">
        <v>1489</v>
      </c>
      <c r="B184" s="70" t="s">
        <v>70</v>
      </c>
      <c r="C184" s="51" t="s">
        <v>64</v>
      </c>
      <c r="D184" s="38" t="s">
        <v>71</v>
      </c>
      <c r="E184" s="42" t="s">
        <v>162</v>
      </c>
      <c r="F184" s="44" t="s">
        <v>122</v>
      </c>
      <c r="G184" s="39" t="s">
        <v>16</v>
      </c>
      <c r="H184" s="38" t="s">
        <v>16</v>
      </c>
      <c r="I184" s="40" t="s">
        <v>16</v>
      </c>
      <c r="J184" s="38" t="s">
        <v>25</v>
      </c>
      <c r="K184" s="40" t="s">
        <v>16</v>
      </c>
      <c r="L184" s="39" t="s">
        <v>16</v>
      </c>
      <c r="M184" s="38" t="s">
        <v>16</v>
      </c>
      <c r="N184" s="40" t="s">
        <v>16</v>
      </c>
      <c r="O184" s="42" t="s">
        <v>163</v>
      </c>
      <c r="P184" s="38" t="s">
        <v>16</v>
      </c>
      <c r="Q184" s="40" t="s">
        <v>16</v>
      </c>
      <c r="R184" s="39" t="s">
        <v>34</v>
      </c>
      <c r="S184" s="38" t="s">
        <v>55</v>
      </c>
      <c r="T184" s="44" t="s">
        <v>36</v>
      </c>
      <c r="U184" s="13"/>
      <c r="V184" s="13"/>
      <c r="W184" s="13"/>
      <c r="X184" s="13"/>
      <c r="Y184" s="13"/>
      <c r="Z184" s="13"/>
    </row>
    <row r="185" spans="1:26" ht="19.899999999999999" customHeight="1" x14ac:dyDescent="0.25">
      <c r="A185" s="38" t="s">
        <v>1490</v>
      </c>
      <c r="B185" s="53" t="s">
        <v>70</v>
      </c>
      <c r="C185" s="51" t="s">
        <v>64</v>
      </c>
      <c r="D185" s="38" t="s">
        <v>71</v>
      </c>
      <c r="E185" s="42" t="s">
        <v>165</v>
      </c>
      <c r="F185" s="44" t="s">
        <v>122</v>
      </c>
      <c r="G185" s="39" t="s">
        <v>16</v>
      </c>
      <c r="H185" s="38" t="s">
        <v>16</v>
      </c>
      <c r="I185" s="40" t="s">
        <v>16</v>
      </c>
      <c r="J185" s="38" t="s">
        <v>25</v>
      </c>
      <c r="K185" s="40" t="s">
        <v>16</v>
      </c>
      <c r="L185" s="39" t="s">
        <v>16</v>
      </c>
      <c r="M185" s="38" t="s">
        <v>16</v>
      </c>
      <c r="N185" s="40" t="s">
        <v>16</v>
      </c>
      <c r="O185" s="42" t="s">
        <v>166</v>
      </c>
      <c r="P185" s="38" t="s">
        <v>16</v>
      </c>
      <c r="Q185" s="40" t="s">
        <v>16</v>
      </c>
      <c r="R185" s="39" t="s">
        <v>34</v>
      </c>
      <c r="S185" s="38" t="s">
        <v>35</v>
      </c>
      <c r="T185" s="44" t="s">
        <v>36</v>
      </c>
      <c r="U185" s="13"/>
      <c r="V185" s="13"/>
      <c r="W185" s="13"/>
      <c r="X185" s="13"/>
      <c r="Y185" s="13"/>
      <c r="Z185" s="13"/>
    </row>
    <row r="186" spans="1:26" ht="19.899999999999999" customHeight="1" x14ac:dyDescent="0.25">
      <c r="A186" s="38" t="s">
        <v>1491</v>
      </c>
      <c r="B186" s="59" t="s">
        <v>171</v>
      </c>
      <c r="C186" s="61" t="s">
        <v>64</v>
      </c>
      <c r="D186" s="38" t="s">
        <v>172</v>
      </c>
      <c r="E186" s="42" t="s">
        <v>224</v>
      </c>
      <c r="F186" s="40" t="s">
        <v>45</v>
      </c>
      <c r="G186" s="39" t="s">
        <v>16</v>
      </c>
      <c r="H186" s="38" t="s">
        <v>16</v>
      </c>
      <c r="I186" s="40" t="s">
        <v>16</v>
      </c>
      <c r="J186" s="38" t="s">
        <v>28</v>
      </c>
      <c r="K186" s="40" t="s">
        <v>16</v>
      </c>
      <c r="L186" s="39" t="s">
        <v>16</v>
      </c>
      <c r="M186" s="38" t="s">
        <v>16</v>
      </c>
      <c r="N186" s="40" t="s">
        <v>16</v>
      </c>
      <c r="O186" s="42" t="s">
        <v>1479</v>
      </c>
      <c r="P186" s="38" t="s">
        <v>16</v>
      </c>
      <c r="Q186" s="40" t="s">
        <v>16</v>
      </c>
      <c r="R186" s="39" t="s">
        <v>34</v>
      </c>
      <c r="S186" s="38" t="s">
        <v>35</v>
      </c>
      <c r="T186" s="44" t="s">
        <v>36</v>
      </c>
      <c r="U186" s="13"/>
      <c r="V186" s="13"/>
      <c r="W186" s="13"/>
      <c r="X186" s="13"/>
      <c r="Y186" s="13"/>
      <c r="Z186" s="13"/>
    </row>
    <row r="187" spans="1:26" ht="19.899999999999999" customHeight="1" x14ac:dyDescent="0.25">
      <c r="A187" s="38" t="s">
        <v>1492</v>
      </c>
      <c r="B187" s="138" t="s">
        <v>70</v>
      </c>
      <c r="C187" s="51" t="s">
        <v>64</v>
      </c>
      <c r="D187" s="38" t="s">
        <v>71</v>
      </c>
      <c r="E187" s="42" t="s">
        <v>1480</v>
      </c>
      <c r="F187" s="40" t="s">
        <v>45</v>
      </c>
      <c r="G187" s="39" t="s">
        <v>16</v>
      </c>
      <c r="H187" s="38" t="s">
        <v>16</v>
      </c>
      <c r="I187" s="40" t="s">
        <v>16</v>
      </c>
      <c r="J187" s="38" t="s">
        <v>28</v>
      </c>
      <c r="K187" s="40" t="s">
        <v>16</v>
      </c>
      <c r="L187" s="39" t="s">
        <v>16</v>
      </c>
      <c r="M187" s="38" t="s">
        <v>16</v>
      </c>
      <c r="N187" s="40" t="s">
        <v>16</v>
      </c>
      <c r="O187" s="42" t="s">
        <v>176</v>
      </c>
      <c r="P187" s="38" t="s">
        <v>16</v>
      </c>
      <c r="Q187" s="40" t="s">
        <v>16</v>
      </c>
      <c r="R187" s="39" t="s">
        <v>34</v>
      </c>
      <c r="S187" s="38" t="s">
        <v>55</v>
      </c>
      <c r="T187" s="44" t="s">
        <v>36</v>
      </c>
      <c r="U187" s="13"/>
      <c r="V187" s="13"/>
      <c r="W187" s="13"/>
      <c r="X187" s="13"/>
      <c r="Y187" s="13"/>
      <c r="Z187" s="13"/>
    </row>
    <row r="188" spans="1:26" ht="19.899999999999999" customHeight="1" x14ac:dyDescent="0.25">
      <c r="A188" s="38" t="s">
        <v>1493</v>
      </c>
      <c r="B188" s="66" t="s">
        <v>70</v>
      </c>
      <c r="C188" s="32" t="s">
        <v>64</v>
      </c>
      <c r="D188" s="38" t="s">
        <v>71</v>
      </c>
      <c r="E188" s="42" t="s">
        <v>308</v>
      </c>
      <c r="F188" s="44" t="s">
        <v>147</v>
      </c>
      <c r="G188" s="39" t="s">
        <v>16</v>
      </c>
      <c r="H188" s="38" t="s">
        <v>16</v>
      </c>
      <c r="I188" s="40" t="s">
        <v>47</v>
      </c>
      <c r="J188" s="38" t="s">
        <v>21</v>
      </c>
      <c r="K188" s="40" t="s">
        <v>16</v>
      </c>
      <c r="L188" s="39" t="s">
        <v>16</v>
      </c>
      <c r="M188" s="38" t="s">
        <v>16</v>
      </c>
      <c r="N188" s="40" t="s">
        <v>16</v>
      </c>
      <c r="O188" s="39" t="s">
        <v>16</v>
      </c>
      <c r="P188" s="38" t="s">
        <v>16</v>
      </c>
      <c r="Q188" s="40" t="s">
        <v>16</v>
      </c>
      <c r="R188" s="39" t="s">
        <v>34</v>
      </c>
      <c r="S188" s="38" t="s">
        <v>55</v>
      </c>
      <c r="T188" s="44" t="s">
        <v>36</v>
      </c>
      <c r="U188" s="13"/>
      <c r="V188" s="13"/>
      <c r="W188" s="13"/>
      <c r="X188" s="13"/>
      <c r="Y188" s="13"/>
      <c r="Z188" s="13"/>
    </row>
    <row r="189" spans="1:26" ht="19.899999999999999" customHeight="1" x14ac:dyDescent="0.25">
      <c r="A189" s="38" t="s">
        <v>1495</v>
      </c>
      <c r="B189" s="59" t="s">
        <v>171</v>
      </c>
      <c r="C189" s="32" t="s">
        <v>64</v>
      </c>
      <c r="D189" s="38" t="s">
        <v>172</v>
      </c>
      <c r="E189" s="42" t="s">
        <v>309</v>
      </c>
      <c r="F189" s="40" t="s">
        <v>16</v>
      </c>
      <c r="G189" s="39" t="s">
        <v>16</v>
      </c>
      <c r="H189" s="38" t="s">
        <v>16</v>
      </c>
      <c r="I189" s="40" t="s">
        <v>16</v>
      </c>
      <c r="J189" s="38" t="s">
        <v>21</v>
      </c>
      <c r="K189" s="40" t="s">
        <v>16</v>
      </c>
      <c r="L189" s="39" t="s">
        <v>16</v>
      </c>
      <c r="M189" s="38" t="s">
        <v>16</v>
      </c>
      <c r="N189" s="40" t="s">
        <v>16</v>
      </c>
      <c r="O189" s="39" t="s">
        <v>16</v>
      </c>
      <c r="P189" s="38" t="s">
        <v>16</v>
      </c>
      <c r="Q189" s="40" t="s">
        <v>16</v>
      </c>
      <c r="R189" s="39" t="s">
        <v>34</v>
      </c>
      <c r="S189" s="38" t="s">
        <v>35</v>
      </c>
      <c r="T189" s="44" t="s">
        <v>36</v>
      </c>
      <c r="U189" s="13"/>
      <c r="V189" s="13"/>
      <c r="W189" s="13"/>
      <c r="X189" s="13"/>
      <c r="Y189" s="13"/>
      <c r="Z189" s="13"/>
    </row>
    <row r="190" spans="1:26" ht="19.899999999999999" customHeight="1" x14ac:dyDescent="0.25">
      <c r="A190" s="38" t="s">
        <v>1494</v>
      </c>
      <c r="B190" s="79" t="s">
        <v>298</v>
      </c>
      <c r="C190" s="32" t="s">
        <v>84</v>
      </c>
      <c r="D190" s="33" t="s">
        <v>299</v>
      </c>
      <c r="E190" s="42" t="s">
        <v>1483</v>
      </c>
      <c r="F190" s="40" t="s">
        <v>45</v>
      </c>
      <c r="G190" s="39" t="s">
        <v>16</v>
      </c>
      <c r="H190" s="38" t="s">
        <v>16</v>
      </c>
      <c r="I190" s="40" t="s">
        <v>16</v>
      </c>
      <c r="J190" s="38" t="s">
        <v>22</v>
      </c>
      <c r="K190" s="40" t="s">
        <v>16</v>
      </c>
      <c r="L190" s="39" t="s">
        <v>16</v>
      </c>
      <c r="M190" s="38" t="s">
        <v>16</v>
      </c>
      <c r="N190" s="40" t="s">
        <v>16</v>
      </c>
      <c r="O190" s="39" t="s">
        <v>16</v>
      </c>
      <c r="P190" s="38" t="s">
        <v>16</v>
      </c>
      <c r="Q190" s="40" t="s">
        <v>16</v>
      </c>
      <c r="R190" s="39" t="s">
        <v>34</v>
      </c>
      <c r="S190" s="38" t="s">
        <v>55</v>
      </c>
      <c r="T190" s="44" t="s">
        <v>36</v>
      </c>
      <c r="U190" s="13"/>
      <c r="V190" s="13"/>
      <c r="W190" s="13"/>
      <c r="X190" s="13"/>
      <c r="Y190" s="13"/>
      <c r="Z190" s="13"/>
    </row>
    <row r="191" spans="1:26" ht="19.899999999999999" customHeight="1" x14ac:dyDescent="0.25">
      <c r="A191" s="38" t="s">
        <v>1496</v>
      </c>
      <c r="B191" s="59" t="s">
        <v>171</v>
      </c>
      <c r="C191" s="32" t="s">
        <v>64</v>
      </c>
      <c r="D191" s="38" t="s">
        <v>172</v>
      </c>
      <c r="E191" s="42" t="s">
        <v>309</v>
      </c>
      <c r="F191" s="40" t="s">
        <v>16</v>
      </c>
      <c r="G191" s="39" t="s">
        <v>16</v>
      </c>
      <c r="H191" s="38" t="s">
        <v>16</v>
      </c>
      <c r="I191" s="40" t="s">
        <v>16</v>
      </c>
      <c r="J191" s="38" t="s">
        <v>21</v>
      </c>
      <c r="K191" s="40" t="s">
        <v>16</v>
      </c>
      <c r="L191" s="39" t="s">
        <v>16</v>
      </c>
      <c r="M191" s="38" t="s">
        <v>16</v>
      </c>
      <c r="N191" s="40" t="s">
        <v>16</v>
      </c>
      <c r="O191" s="39" t="s">
        <v>16</v>
      </c>
      <c r="P191" s="38" t="s">
        <v>16</v>
      </c>
      <c r="Q191" s="40" t="s">
        <v>16</v>
      </c>
      <c r="R191" s="39" t="s">
        <v>34</v>
      </c>
      <c r="S191" s="38" t="s">
        <v>35</v>
      </c>
      <c r="T191" s="44" t="s">
        <v>36</v>
      </c>
      <c r="U191" s="13"/>
      <c r="V191" s="13"/>
      <c r="W191" s="13"/>
      <c r="X191" s="13"/>
      <c r="Y191" s="13"/>
      <c r="Z191" s="13"/>
    </row>
    <row r="192" spans="1:26" ht="19.899999999999999" customHeight="1" x14ac:dyDescent="0.25">
      <c r="A192" s="38" t="s">
        <v>1497</v>
      </c>
      <c r="B192" s="62" t="s">
        <v>171</v>
      </c>
      <c r="C192" s="63" t="s">
        <v>64</v>
      </c>
      <c r="D192" s="38" t="s">
        <v>172</v>
      </c>
      <c r="E192" s="42" t="s">
        <v>311</v>
      </c>
      <c r="F192" s="44" t="s">
        <v>122</v>
      </c>
      <c r="G192" s="39" t="s">
        <v>16</v>
      </c>
      <c r="H192" s="38" t="s">
        <v>16</v>
      </c>
      <c r="I192" s="40" t="s">
        <v>16</v>
      </c>
      <c r="J192" s="38" t="s">
        <v>19</v>
      </c>
      <c r="K192" s="40" t="s">
        <v>16</v>
      </c>
      <c r="L192" s="39" t="s">
        <v>16</v>
      </c>
      <c r="M192" s="38" t="s">
        <v>16</v>
      </c>
      <c r="N192" s="40" t="s">
        <v>16</v>
      </c>
      <c r="O192" s="42" t="s">
        <v>16</v>
      </c>
      <c r="P192" s="38" t="s">
        <v>16</v>
      </c>
      <c r="Q192" s="40" t="s">
        <v>16</v>
      </c>
      <c r="R192" s="39" t="s">
        <v>34</v>
      </c>
      <c r="S192" s="38" t="s">
        <v>55</v>
      </c>
      <c r="T192" s="44" t="s">
        <v>36</v>
      </c>
      <c r="U192" s="13"/>
      <c r="V192" s="13"/>
      <c r="W192" s="13"/>
      <c r="X192" s="13"/>
      <c r="Y192" s="13"/>
      <c r="Z192" s="13"/>
    </row>
    <row r="193" spans="1:26" ht="19.899999999999999" customHeight="1" x14ac:dyDescent="0.25">
      <c r="A193" s="38" t="s">
        <v>1498</v>
      </c>
      <c r="B193" s="64" t="s">
        <v>171</v>
      </c>
      <c r="C193" s="63" t="s">
        <v>64</v>
      </c>
      <c r="D193" s="38" t="s">
        <v>172</v>
      </c>
      <c r="E193" s="42" t="s">
        <v>312</v>
      </c>
      <c r="F193" s="40" t="s">
        <v>16</v>
      </c>
      <c r="G193" s="39" t="s">
        <v>16</v>
      </c>
      <c r="H193" s="38" t="s">
        <v>16</v>
      </c>
      <c r="I193" s="40" t="s">
        <v>16</v>
      </c>
      <c r="J193" s="38" t="s">
        <v>19</v>
      </c>
      <c r="K193" s="40" t="s">
        <v>16</v>
      </c>
      <c r="L193" s="39" t="s">
        <v>16</v>
      </c>
      <c r="M193" s="38" t="s">
        <v>16</v>
      </c>
      <c r="N193" s="40" t="s">
        <v>16</v>
      </c>
      <c r="O193" s="39" t="s">
        <v>16</v>
      </c>
      <c r="P193" s="38" t="s">
        <v>16</v>
      </c>
      <c r="Q193" s="40" t="s">
        <v>16</v>
      </c>
      <c r="R193" s="39" t="s">
        <v>34</v>
      </c>
      <c r="S193" s="38" t="s">
        <v>35</v>
      </c>
      <c r="T193" s="44" t="s">
        <v>36</v>
      </c>
      <c r="U193" s="13"/>
      <c r="V193" s="13"/>
      <c r="W193" s="13"/>
      <c r="X193" s="13"/>
      <c r="Y193" s="13"/>
      <c r="Z193" s="13"/>
    </row>
    <row r="194" spans="1:26" ht="19.899999999999999" customHeight="1" x14ac:dyDescent="0.25">
      <c r="A194" s="60" t="s">
        <v>1499</v>
      </c>
      <c r="B194" s="62" t="s">
        <v>171</v>
      </c>
      <c r="C194" s="63" t="s">
        <v>64</v>
      </c>
      <c r="D194" s="38" t="s">
        <v>172</v>
      </c>
      <c r="E194" s="42" t="s">
        <v>313</v>
      </c>
      <c r="F194" s="44" t="s">
        <v>122</v>
      </c>
      <c r="G194" s="39" t="s">
        <v>16</v>
      </c>
      <c r="H194" s="38" t="s">
        <v>16</v>
      </c>
      <c r="I194" s="40" t="s">
        <v>16</v>
      </c>
      <c r="J194" s="38" t="s">
        <v>14</v>
      </c>
      <c r="K194" s="40" t="s">
        <v>16</v>
      </c>
      <c r="L194" s="39" t="s">
        <v>16</v>
      </c>
      <c r="M194" s="38" t="s">
        <v>16</v>
      </c>
      <c r="N194" s="40" t="s">
        <v>16</v>
      </c>
      <c r="O194" s="42" t="s">
        <v>16</v>
      </c>
      <c r="P194" s="38" t="s">
        <v>16</v>
      </c>
      <c r="Q194" s="40" t="s">
        <v>16</v>
      </c>
      <c r="R194" s="39" t="s">
        <v>34</v>
      </c>
      <c r="S194" s="38" t="s">
        <v>35</v>
      </c>
      <c r="T194" s="44" t="s">
        <v>36</v>
      </c>
      <c r="U194" s="13"/>
      <c r="V194" s="13"/>
      <c r="W194" s="13"/>
      <c r="X194" s="13"/>
      <c r="Y194" s="13"/>
      <c r="Z194" s="13"/>
    </row>
    <row r="195" spans="1:26" ht="19.899999999999999" customHeight="1" x14ac:dyDescent="0.25">
      <c r="A195" s="38" t="s">
        <v>1500</v>
      </c>
      <c r="B195" s="64" t="s">
        <v>171</v>
      </c>
      <c r="C195" s="63" t="s">
        <v>64</v>
      </c>
      <c r="D195" s="38" t="s">
        <v>172</v>
      </c>
      <c r="E195" s="42" t="s">
        <v>312</v>
      </c>
      <c r="F195" s="40" t="s">
        <v>16</v>
      </c>
      <c r="G195" s="39" t="s">
        <v>16</v>
      </c>
      <c r="H195" s="38" t="s">
        <v>16</v>
      </c>
      <c r="I195" s="40" t="s">
        <v>16</v>
      </c>
      <c r="J195" s="38" t="s">
        <v>19</v>
      </c>
      <c r="K195" s="40" t="s">
        <v>16</v>
      </c>
      <c r="L195" s="39" t="s">
        <v>16</v>
      </c>
      <c r="M195" s="38" t="s">
        <v>16</v>
      </c>
      <c r="N195" s="40" t="s">
        <v>16</v>
      </c>
      <c r="O195" s="39" t="s">
        <v>16</v>
      </c>
      <c r="P195" s="38" t="s">
        <v>16</v>
      </c>
      <c r="Q195" s="40" t="s">
        <v>16</v>
      </c>
      <c r="R195" s="39" t="s">
        <v>34</v>
      </c>
      <c r="S195" s="38" t="s">
        <v>35</v>
      </c>
      <c r="T195" s="44" t="s">
        <v>36</v>
      </c>
      <c r="U195" s="13"/>
      <c r="V195" s="13"/>
      <c r="W195" s="13"/>
      <c r="X195" s="13"/>
      <c r="Y195" s="13"/>
      <c r="Z195" s="13"/>
    </row>
    <row r="196" spans="1:26" ht="19.899999999999999" customHeight="1" x14ac:dyDescent="0.25">
      <c r="A196" s="60" t="s">
        <v>1501</v>
      </c>
      <c r="B196" s="66" t="s">
        <v>70</v>
      </c>
      <c r="C196" s="32" t="s">
        <v>64</v>
      </c>
      <c r="D196" s="38" t="s">
        <v>71</v>
      </c>
      <c r="E196" s="42" t="s">
        <v>1482</v>
      </c>
      <c r="F196" s="40" t="s">
        <v>45</v>
      </c>
      <c r="G196" s="39" t="s">
        <v>16</v>
      </c>
      <c r="H196" s="38" t="s">
        <v>16</v>
      </c>
      <c r="I196" s="40" t="s">
        <v>16</v>
      </c>
      <c r="J196" s="38" t="s">
        <v>73</v>
      </c>
      <c r="K196" s="40" t="s">
        <v>16</v>
      </c>
      <c r="L196" s="39" t="s">
        <v>16</v>
      </c>
      <c r="M196" s="38" t="s">
        <v>16</v>
      </c>
      <c r="N196" s="40" t="s">
        <v>16</v>
      </c>
      <c r="O196" s="39" t="s">
        <v>16</v>
      </c>
      <c r="P196" s="38" t="s">
        <v>16</v>
      </c>
      <c r="Q196" s="40" t="s">
        <v>16</v>
      </c>
      <c r="R196" s="39" t="s">
        <v>16</v>
      </c>
      <c r="S196" s="38" t="s">
        <v>35</v>
      </c>
      <c r="T196" s="44" t="s">
        <v>36</v>
      </c>
      <c r="U196" s="13"/>
      <c r="V196" s="13"/>
      <c r="W196" s="13"/>
      <c r="X196" s="13"/>
      <c r="Y196" s="13"/>
      <c r="Z196" s="13"/>
    </row>
    <row r="197" spans="1:26" ht="19.899999999999999" customHeight="1" x14ac:dyDescent="0.25">
      <c r="A197" s="38" t="s">
        <v>1515</v>
      </c>
      <c r="B197" s="56" t="s">
        <v>1749</v>
      </c>
      <c r="C197" s="32" t="s">
        <v>1741</v>
      </c>
      <c r="D197" s="33" t="s">
        <v>1750</v>
      </c>
      <c r="E197" s="39" t="s">
        <v>16</v>
      </c>
      <c r="F197" s="40" t="s">
        <v>45</v>
      </c>
      <c r="G197" s="39" t="s">
        <v>16</v>
      </c>
      <c r="H197" s="38" t="s">
        <v>16</v>
      </c>
      <c r="I197" s="40" t="s">
        <v>16</v>
      </c>
      <c r="J197" s="38" t="s">
        <v>59</v>
      </c>
      <c r="K197" s="40" t="s">
        <v>23</v>
      </c>
      <c r="L197" s="42" t="s">
        <v>16</v>
      </c>
      <c r="M197" s="43" t="s">
        <v>60</v>
      </c>
      <c r="N197" s="48" t="s">
        <v>104</v>
      </c>
      <c r="O197" s="39" t="s">
        <v>16</v>
      </c>
      <c r="P197" s="38" t="s">
        <v>16</v>
      </c>
      <c r="Q197" s="40" t="s">
        <v>60</v>
      </c>
      <c r="R197" s="39" t="s">
        <v>34</v>
      </c>
      <c r="S197" s="38" t="s">
        <v>55</v>
      </c>
      <c r="T197" s="44" t="s">
        <v>36</v>
      </c>
      <c r="U197" s="13"/>
      <c r="V197" s="13"/>
      <c r="W197" s="13"/>
      <c r="X197" s="13"/>
      <c r="Y197" s="13"/>
      <c r="Z197" s="13"/>
    </row>
    <row r="198" spans="1:26" ht="19.899999999999999" customHeight="1" x14ac:dyDescent="0.25">
      <c r="A198" s="38" t="s">
        <v>1583</v>
      </c>
      <c r="B198" s="62" t="s">
        <v>171</v>
      </c>
      <c r="C198" s="63" t="s">
        <v>64</v>
      </c>
      <c r="D198" s="38" t="s">
        <v>172</v>
      </c>
      <c r="E198" s="42" t="s">
        <v>314</v>
      </c>
      <c r="F198" s="44" t="s">
        <v>122</v>
      </c>
      <c r="G198" s="39" t="s">
        <v>16</v>
      </c>
      <c r="H198" s="38" t="s">
        <v>16</v>
      </c>
      <c r="I198" s="40" t="s">
        <v>16</v>
      </c>
      <c r="J198" s="38" t="s">
        <v>14</v>
      </c>
      <c r="K198" s="40" t="s">
        <v>16</v>
      </c>
      <c r="L198" s="39" t="s">
        <v>16</v>
      </c>
      <c r="M198" s="38" t="s">
        <v>16</v>
      </c>
      <c r="N198" s="40" t="s">
        <v>16</v>
      </c>
      <c r="O198" s="42" t="s">
        <v>16</v>
      </c>
      <c r="P198" s="38" t="s">
        <v>16</v>
      </c>
      <c r="Q198" s="40" t="s">
        <v>16</v>
      </c>
      <c r="R198" s="39" t="s">
        <v>34</v>
      </c>
      <c r="S198" s="38" t="s">
        <v>16</v>
      </c>
      <c r="T198" s="44" t="s">
        <v>36</v>
      </c>
      <c r="U198" s="13"/>
      <c r="V198" s="13"/>
      <c r="W198" s="13"/>
      <c r="X198" s="13"/>
      <c r="Y198" s="13"/>
      <c r="Z198" s="13"/>
    </row>
    <row r="199" spans="1:26" ht="19.899999999999999" customHeight="1" x14ac:dyDescent="0.25">
      <c r="A199" s="38" t="s">
        <v>1585</v>
      </c>
      <c r="B199" s="62" t="s">
        <v>171</v>
      </c>
      <c r="C199" s="63" t="s">
        <v>64</v>
      </c>
      <c r="D199" s="38" t="s">
        <v>172</v>
      </c>
      <c r="E199" s="42" t="s">
        <v>1584</v>
      </c>
      <c r="F199" s="44" t="s">
        <v>122</v>
      </c>
      <c r="G199" s="39" t="s">
        <v>16</v>
      </c>
      <c r="H199" s="38" t="s">
        <v>16</v>
      </c>
      <c r="I199" s="40" t="s">
        <v>16</v>
      </c>
      <c r="J199" s="38" t="s">
        <v>28</v>
      </c>
      <c r="K199" s="40" t="s">
        <v>16</v>
      </c>
      <c r="L199" s="39" t="s">
        <v>16</v>
      </c>
      <c r="M199" s="38" t="s">
        <v>16</v>
      </c>
      <c r="N199" s="40" t="s">
        <v>16</v>
      </c>
      <c r="O199" s="42" t="s">
        <v>1479</v>
      </c>
      <c r="P199" s="38" t="s">
        <v>16</v>
      </c>
      <c r="Q199" s="40" t="s">
        <v>16</v>
      </c>
      <c r="R199" s="39" t="s">
        <v>34</v>
      </c>
      <c r="S199" s="38" t="s">
        <v>55</v>
      </c>
      <c r="T199" s="44" t="s">
        <v>36</v>
      </c>
      <c r="U199" s="13"/>
      <c r="V199" s="13"/>
      <c r="W199" s="13"/>
      <c r="X199" s="13"/>
      <c r="Y199" s="13"/>
      <c r="Z199" s="13"/>
    </row>
    <row r="200" spans="1:26" ht="19.899999999999999" customHeight="1" x14ac:dyDescent="0.25">
      <c r="A200" s="38" t="s">
        <v>1587</v>
      </c>
      <c r="B200" s="55" t="s">
        <v>70</v>
      </c>
      <c r="C200" s="32" t="s">
        <v>64</v>
      </c>
      <c r="D200" s="33" t="s">
        <v>71</v>
      </c>
      <c r="E200" s="42" t="s">
        <v>1586</v>
      </c>
      <c r="F200" s="40" t="s">
        <v>16</v>
      </c>
      <c r="G200" s="39" t="s">
        <v>16</v>
      </c>
      <c r="H200" s="38" t="s">
        <v>16</v>
      </c>
      <c r="I200" s="40" t="s">
        <v>16</v>
      </c>
      <c r="J200" s="38" t="s">
        <v>22</v>
      </c>
      <c r="K200" s="40" t="s">
        <v>16</v>
      </c>
      <c r="L200" s="39" t="s">
        <v>16</v>
      </c>
      <c r="M200" s="38" t="s">
        <v>16</v>
      </c>
      <c r="N200" s="40" t="s">
        <v>16</v>
      </c>
      <c r="O200" s="39" t="s">
        <v>16</v>
      </c>
      <c r="P200" s="38" t="s">
        <v>16</v>
      </c>
      <c r="Q200" s="40" t="s">
        <v>16</v>
      </c>
      <c r="R200" s="39" t="s">
        <v>34</v>
      </c>
      <c r="S200" s="38" t="s">
        <v>35</v>
      </c>
      <c r="T200" s="44" t="s">
        <v>36</v>
      </c>
      <c r="U200" s="13"/>
      <c r="V200" s="13"/>
      <c r="W200" s="13"/>
      <c r="X200" s="13"/>
      <c r="Y200" s="13"/>
      <c r="Z200" s="13"/>
    </row>
    <row r="201" spans="1:26" ht="19.899999999999999" customHeight="1" x14ac:dyDescent="0.25">
      <c r="A201" s="38" t="s">
        <v>1588</v>
      </c>
      <c r="B201" s="56" t="s">
        <v>70</v>
      </c>
      <c r="C201" s="32" t="s">
        <v>64</v>
      </c>
      <c r="D201" s="33" t="s">
        <v>71</v>
      </c>
      <c r="E201" s="42" t="s">
        <v>1589</v>
      </c>
      <c r="F201" s="40" t="s">
        <v>16</v>
      </c>
      <c r="G201" s="39" t="s">
        <v>16</v>
      </c>
      <c r="H201" s="38" t="s">
        <v>16</v>
      </c>
      <c r="I201" s="40" t="s">
        <v>16</v>
      </c>
      <c r="J201" s="38" t="s">
        <v>22</v>
      </c>
      <c r="K201" s="40" t="s">
        <v>16</v>
      </c>
      <c r="L201" s="39" t="s">
        <v>16</v>
      </c>
      <c r="M201" s="38" t="s">
        <v>16</v>
      </c>
      <c r="N201" s="40" t="s">
        <v>16</v>
      </c>
      <c r="O201" s="39" t="s">
        <v>16</v>
      </c>
      <c r="P201" s="38" t="s">
        <v>16</v>
      </c>
      <c r="Q201" s="40" t="s">
        <v>16</v>
      </c>
      <c r="R201" s="39" t="s">
        <v>34</v>
      </c>
      <c r="S201" s="38" t="s">
        <v>35</v>
      </c>
      <c r="T201" s="44" t="s">
        <v>36</v>
      </c>
      <c r="U201" s="13"/>
      <c r="V201" s="13"/>
      <c r="W201" s="13"/>
      <c r="X201" s="13"/>
      <c r="Y201" s="13"/>
      <c r="Z201" s="13"/>
    </row>
    <row r="202" spans="1:26" ht="19.899999999999999" customHeight="1" x14ac:dyDescent="0.25">
      <c r="A202" s="38" t="s">
        <v>1590</v>
      </c>
      <c r="B202" s="55" t="s">
        <v>70</v>
      </c>
      <c r="C202" s="32" t="s">
        <v>64</v>
      </c>
      <c r="D202" s="33" t="s">
        <v>71</v>
      </c>
      <c r="E202" s="42" t="s">
        <v>1591</v>
      </c>
      <c r="F202" s="40" t="s">
        <v>16</v>
      </c>
      <c r="G202" s="39" t="s">
        <v>16</v>
      </c>
      <c r="H202" s="38" t="s">
        <v>16</v>
      </c>
      <c r="I202" s="40" t="s">
        <v>16</v>
      </c>
      <c r="J202" s="38" t="s">
        <v>21</v>
      </c>
      <c r="K202" s="40" t="s">
        <v>16</v>
      </c>
      <c r="L202" s="39" t="s">
        <v>16</v>
      </c>
      <c r="M202" s="38" t="s">
        <v>16</v>
      </c>
      <c r="N202" s="40" t="s">
        <v>16</v>
      </c>
      <c r="O202" s="39" t="s">
        <v>16</v>
      </c>
      <c r="P202" s="38" t="s">
        <v>16</v>
      </c>
      <c r="Q202" s="40" t="s">
        <v>16</v>
      </c>
      <c r="R202" s="39" t="s">
        <v>34</v>
      </c>
      <c r="S202" s="38" t="s">
        <v>35</v>
      </c>
      <c r="T202" s="44" t="s">
        <v>36</v>
      </c>
      <c r="U202" s="13"/>
      <c r="V202" s="13"/>
      <c r="W202" s="13"/>
      <c r="X202" s="13"/>
      <c r="Y202" s="13"/>
      <c r="Z202" s="13"/>
    </row>
    <row r="203" spans="1:26" ht="19.899999999999999" customHeight="1" x14ac:dyDescent="0.25">
      <c r="A203" s="38" t="s">
        <v>1592</v>
      </c>
      <c r="B203" s="55" t="s">
        <v>70</v>
      </c>
      <c r="C203" s="32" t="s">
        <v>64</v>
      </c>
      <c r="D203" s="33" t="s">
        <v>71</v>
      </c>
      <c r="E203" s="42" t="s">
        <v>1593</v>
      </c>
      <c r="F203" s="40" t="s">
        <v>16</v>
      </c>
      <c r="G203" s="39" t="s">
        <v>16</v>
      </c>
      <c r="H203" s="38" t="s">
        <v>16</v>
      </c>
      <c r="I203" s="40" t="s">
        <v>16</v>
      </c>
      <c r="J203" s="38" t="s">
        <v>22</v>
      </c>
      <c r="K203" s="40" t="s">
        <v>16</v>
      </c>
      <c r="L203" s="39" t="s">
        <v>16</v>
      </c>
      <c r="M203" s="38" t="s">
        <v>16</v>
      </c>
      <c r="N203" s="40" t="s">
        <v>16</v>
      </c>
      <c r="O203" s="39" t="s">
        <v>16</v>
      </c>
      <c r="P203" s="38" t="s">
        <v>16</v>
      </c>
      <c r="Q203" s="40" t="s">
        <v>16</v>
      </c>
      <c r="R203" s="39" t="s">
        <v>34</v>
      </c>
      <c r="S203" s="38" t="s">
        <v>35</v>
      </c>
      <c r="T203" s="44" t="s">
        <v>36</v>
      </c>
      <c r="U203" s="13"/>
      <c r="V203" s="13"/>
      <c r="W203" s="13"/>
      <c r="X203" s="13"/>
      <c r="Y203" s="13"/>
      <c r="Z203" s="13"/>
    </row>
    <row r="204" spans="1:26" ht="19.899999999999999" customHeight="1" x14ac:dyDescent="0.25">
      <c r="A204" s="38" t="s">
        <v>1594</v>
      </c>
      <c r="B204" s="55" t="s">
        <v>70</v>
      </c>
      <c r="C204" s="32" t="s">
        <v>64</v>
      </c>
      <c r="D204" s="33" t="s">
        <v>71</v>
      </c>
      <c r="E204" s="42" t="s">
        <v>1586</v>
      </c>
      <c r="F204" s="40" t="s">
        <v>16</v>
      </c>
      <c r="G204" s="39" t="s">
        <v>16</v>
      </c>
      <c r="H204" s="38" t="s">
        <v>16</v>
      </c>
      <c r="I204" s="40" t="s">
        <v>16</v>
      </c>
      <c r="J204" s="38" t="s">
        <v>22</v>
      </c>
      <c r="K204" s="40" t="s">
        <v>16</v>
      </c>
      <c r="L204" s="39" t="s">
        <v>16</v>
      </c>
      <c r="M204" s="38" t="s">
        <v>16</v>
      </c>
      <c r="N204" s="40" t="s">
        <v>16</v>
      </c>
      <c r="O204" s="39" t="s">
        <v>16</v>
      </c>
      <c r="P204" s="38" t="s">
        <v>16</v>
      </c>
      <c r="Q204" s="40" t="s">
        <v>16</v>
      </c>
      <c r="R204" s="39" t="s">
        <v>34</v>
      </c>
      <c r="S204" s="38" t="s">
        <v>35</v>
      </c>
      <c r="T204" s="44" t="s">
        <v>36</v>
      </c>
      <c r="U204" s="13"/>
      <c r="V204" s="13"/>
      <c r="W204" s="13"/>
      <c r="X204" s="13"/>
      <c r="Y204" s="13"/>
      <c r="Z204" s="13"/>
    </row>
    <row r="205" spans="1:26" ht="19.899999999999999" customHeight="1" x14ac:dyDescent="0.25">
      <c r="A205" s="38" t="s">
        <v>1595</v>
      </c>
      <c r="B205" s="56" t="s">
        <v>70</v>
      </c>
      <c r="C205" s="32" t="s">
        <v>64</v>
      </c>
      <c r="D205" s="33" t="s">
        <v>71</v>
      </c>
      <c r="E205" s="42" t="s">
        <v>1589</v>
      </c>
      <c r="F205" s="40" t="s">
        <v>16</v>
      </c>
      <c r="G205" s="39" t="s">
        <v>16</v>
      </c>
      <c r="H205" s="38" t="s">
        <v>16</v>
      </c>
      <c r="I205" s="40" t="s">
        <v>16</v>
      </c>
      <c r="J205" s="38" t="s">
        <v>22</v>
      </c>
      <c r="K205" s="40" t="s">
        <v>16</v>
      </c>
      <c r="L205" s="39" t="s">
        <v>16</v>
      </c>
      <c r="M205" s="38" t="s">
        <v>16</v>
      </c>
      <c r="N205" s="40" t="s">
        <v>16</v>
      </c>
      <c r="O205" s="39" t="s">
        <v>16</v>
      </c>
      <c r="P205" s="38" t="s">
        <v>16</v>
      </c>
      <c r="Q205" s="40" t="s">
        <v>16</v>
      </c>
      <c r="R205" s="39" t="s">
        <v>34</v>
      </c>
      <c r="S205" s="38" t="s">
        <v>35</v>
      </c>
      <c r="T205" s="44" t="s">
        <v>36</v>
      </c>
      <c r="U205" s="13"/>
      <c r="V205" s="13"/>
      <c r="W205" s="13"/>
      <c r="X205" s="13"/>
      <c r="Y205" s="13"/>
      <c r="Z205" s="13"/>
    </row>
    <row r="206" spans="1:26" ht="19.899999999999999" customHeight="1" x14ac:dyDescent="0.25">
      <c r="A206" s="38" t="s">
        <v>1596</v>
      </c>
      <c r="B206" s="56" t="s">
        <v>70</v>
      </c>
      <c r="C206" s="32" t="s">
        <v>64</v>
      </c>
      <c r="D206" s="33" t="s">
        <v>71</v>
      </c>
      <c r="E206" s="42" t="s">
        <v>1597</v>
      </c>
      <c r="F206" s="40" t="s">
        <v>16</v>
      </c>
      <c r="G206" s="39" t="s">
        <v>16</v>
      </c>
      <c r="H206" s="38" t="s">
        <v>16</v>
      </c>
      <c r="I206" s="40" t="s">
        <v>16</v>
      </c>
      <c r="J206" s="38" t="s">
        <v>21</v>
      </c>
      <c r="K206" s="40" t="s">
        <v>16</v>
      </c>
      <c r="L206" s="39" t="s">
        <v>16</v>
      </c>
      <c r="M206" s="38" t="s">
        <v>16</v>
      </c>
      <c r="N206" s="40" t="s">
        <v>16</v>
      </c>
      <c r="O206" s="39" t="s">
        <v>16</v>
      </c>
      <c r="P206" s="38" t="s">
        <v>16</v>
      </c>
      <c r="Q206" s="40" t="s">
        <v>16</v>
      </c>
      <c r="R206" s="39" t="s">
        <v>34</v>
      </c>
      <c r="S206" s="38" t="s">
        <v>35</v>
      </c>
      <c r="T206" s="44" t="s">
        <v>36</v>
      </c>
      <c r="U206" s="13"/>
      <c r="V206" s="13"/>
      <c r="W206" s="13"/>
      <c r="X206" s="13"/>
      <c r="Y206" s="13"/>
      <c r="Z206" s="13"/>
    </row>
    <row r="207" spans="1:26" ht="19.899999999999999" customHeight="1" x14ac:dyDescent="0.25">
      <c r="A207" s="38" t="s">
        <v>1598</v>
      </c>
      <c r="B207" s="56" t="s">
        <v>70</v>
      </c>
      <c r="C207" s="32" t="s">
        <v>64</v>
      </c>
      <c r="D207" s="33" t="s">
        <v>71</v>
      </c>
      <c r="E207" s="42" t="s">
        <v>1593</v>
      </c>
      <c r="F207" s="40" t="s">
        <v>16</v>
      </c>
      <c r="G207" s="39" t="s">
        <v>16</v>
      </c>
      <c r="H207" s="38" t="s">
        <v>16</v>
      </c>
      <c r="I207" s="40" t="s">
        <v>16</v>
      </c>
      <c r="J207" s="38" t="s">
        <v>22</v>
      </c>
      <c r="K207" s="40" t="s">
        <v>16</v>
      </c>
      <c r="L207" s="39" t="s">
        <v>16</v>
      </c>
      <c r="M207" s="38" t="s">
        <v>16</v>
      </c>
      <c r="N207" s="40" t="s">
        <v>16</v>
      </c>
      <c r="O207" s="39" t="s">
        <v>16</v>
      </c>
      <c r="P207" s="38" t="s">
        <v>16</v>
      </c>
      <c r="Q207" s="40" t="s">
        <v>16</v>
      </c>
      <c r="R207" s="39" t="s">
        <v>34</v>
      </c>
      <c r="S207" s="38" t="s">
        <v>35</v>
      </c>
      <c r="T207" s="44" t="s">
        <v>36</v>
      </c>
      <c r="U207" s="13"/>
      <c r="V207" s="13"/>
      <c r="W207" s="13"/>
      <c r="X207" s="13"/>
      <c r="Y207" s="13"/>
      <c r="Z207" s="13"/>
    </row>
    <row r="208" spans="1:26" ht="19.899999999999999" customHeight="1" x14ac:dyDescent="0.25">
      <c r="A208" s="38" t="s">
        <v>1599</v>
      </c>
      <c r="B208" s="56" t="s">
        <v>70</v>
      </c>
      <c r="C208" s="32" t="s">
        <v>64</v>
      </c>
      <c r="D208" s="33" t="s">
        <v>71</v>
      </c>
      <c r="E208" s="42" t="s">
        <v>1600</v>
      </c>
      <c r="F208" s="40" t="s">
        <v>16</v>
      </c>
      <c r="G208" s="39" t="s">
        <v>16</v>
      </c>
      <c r="H208" s="38" t="s">
        <v>16</v>
      </c>
      <c r="I208" s="40" t="s">
        <v>16</v>
      </c>
      <c r="J208" s="38" t="s">
        <v>73</v>
      </c>
      <c r="K208" s="40" t="s">
        <v>16</v>
      </c>
      <c r="L208" s="39" t="s">
        <v>16</v>
      </c>
      <c r="M208" s="38" t="s">
        <v>16</v>
      </c>
      <c r="N208" s="40" t="s">
        <v>16</v>
      </c>
      <c r="O208" s="39" t="s">
        <v>16</v>
      </c>
      <c r="P208" s="38" t="s">
        <v>16</v>
      </c>
      <c r="Q208" s="40" t="s">
        <v>16</v>
      </c>
      <c r="R208" s="39" t="s">
        <v>34</v>
      </c>
      <c r="S208" s="38" t="s">
        <v>35</v>
      </c>
      <c r="T208" s="44" t="s">
        <v>36</v>
      </c>
      <c r="U208" s="13"/>
      <c r="V208" s="13"/>
      <c r="W208" s="13"/>
      <c r="X208" s="13"/>
      <c r="Y208" s="13"/>
      <c r="Z208" s="13"/>
    </row>
    <row r="209" spans="1:26" ht="19.899999999999999" customHeight="1" x14ac:dyDescent="0.25">
      <c r="A209" s="38" t="s">
        <v>1602</v>
      </c>
      <c r="B209" s="56" t="s">
        <v>70</v>
      </c>
      <c r="C209" s="32" t="s">
        <v>64</v>
      </c>
      <c r="D209" s="33" t="s">
        <v>71</v>
      </c>
      <c r="E209" s="42" t="s">
        <v>1601</v>
      </c>
      <c r="F209" s="40" t="s">
        <v>16</v>
      </c>
      <c r="G209" s="39" t="s">
        <v>16</v>
      </c>
      <c r="H209" s="38" t="s">
        <v>16</v>
      </c>
      <c r="I209" s="40" t="s">
        <v>16</v>
      </c>
      <c r="J209" s="38" t="s">
        <v>73</v>
      </c>
      <c r="K209" s="40" t="s">
        <v>16</v>
      </c>
      <c r="L209" s="39" t="s">
        <v>16</v>
      </c>
      <c r="M209" s="38" t="s">
        <v>16</v>
      </c>
      <c r="N209" s="40" t="s">
        <v>16</v>
      </c>
      <c r="O209" s="39" t="s">
        <v>16</v>
      </c>
      <c r="P209" s="38" t="s">
        <v>16</v>
      </c>
      <c r="Q209" s="40" t="s">
        <v>16</v>
      </c>
      <c r="R209" s="39" t="s">
        <v>34</v>
      </c>
      <c r="S209" s="38" t="s">
        <v>35</v>
      </c>
      <c r="T209" s="44" t="s">
        <v>36</v>
      </c>
      <c r="U209" s="13"/>
      <c r="V209" s="13"/>
      <c r="W209" s="13"/>
      <c r="X209" s="13"/>
      <c r="Y209" s="13"/>
      <c r="Z209" s="13"/>
    </row>
    <row r="210" spans="1:26" ht="19.899999999999999" customHeight="1" x14ac:dyDescent="0.25">
      <c r="A210" s="38" t="s">
        <v>1603</v>
      </c>
      <c r="B210" s="56" t="s">
        <v>70</v>
      </c>
      <c r="C210" s="32" t="s">
        <v>64</v>
      </c>
      <c r="D210" s="33" t="s">
        <v>71</v>
      </c>
      <c r="E210" s="42" t="s">
        <v>1604</v>
      </c>
      <c r="F210" s="40" t="s">
        <v>16</v>
      </c>
      <c r="G210" s="39" t="s">
        <v>16</v>
      </c>
      <c r="H210" s="38" t="s">
        <v>16</v>
      </c>
      <c r="I210" s="40" t="s">
        <v>16</v>
      </c>
      <c r="J210" s="33" t="s">
        <v>25</v>
      </c>
      <c r="K210" s="40" t="s">
        <v>16</v>
      </c>
      <c r="L210" s="39" t="s">
        <v>16</v>
      </c>
      <c r="M210" s="38" t="s">
        <v>16</v>
      </c>
      <c r="N210" s="40" t="s">
        <v>16</v>
      </c>
      <c r="O210" s="39" t="s">
        <v>16</v>
      </c>
      <c r="P210" s="38" t="s">
        <v>16</v>
      </c>
      <c r="Q210" s="40" t="s">
        <v>16</v>
      </c>
      <c r="R210" s="39" t="s">
        <v>34</v>
      </c>
      <c r="S210" s="38" t="s">
        <v>35</v>
      </c>
      <c r="T210" s="44" t="s">
        <v>36</v>
      </c>
      <c r="U210" s="13"/>
      <c r="V210" s="13"/>
      <c r="W210" s="13"/>
      <c r="X210" s="13"/>
      <c r="Y210" s="13"/>
      <c r="Z210" s="13"/>
    </row>
    <row r="211" spans="1:26" ht="19.899999999999999" customHeight="1" x14ac:dyDescent="0.25">
      <c r="A211" s="38" t="s">
        <v>1607</v>
      </c>
      <c r="B211" s="62" t="s">
        <v>171</v>
      </c>
      <c r="C211" s="63" t="s">
        <v>64</v>
      </c>
      <c r="D211" s="38" t="s">
        <v>172</v>
      </c>
      <c r="E211" s="42" t="s">
        <v>1605</v>
      </c>
      <c r="F211" s="44" t="s">
        <v>122</v>
      </c>
      <c r="G211" s="39" t="s">
        <v>16</v>
      </c>
      <c r="H211" s="38" t="s">
        <v>16</v>
      </c>
      <c r="I211" s="40" t="s">
        <v>16</v>
      </c>
      <c r="J211" s="38" t="s">
        <v>1606</v>
      </c>
      <c r="K211" s="40" t="s">
        <v>16</v>
      </c>
      <c r="L211" s="39" t="s">
        <v>16</v>
      </c>
      <c r="M211" s="38" t="s">
        <v>16</v>
      </c>
      <c r="N211" s="40" t="s">
        <v>16</v>
      </c>
      <c r="O211" s="42" t="s">
        <v>16</v>
      </c>
      <c r="P211" s="38" t="s">
        <v>16</v>
      </c>
      <c r="Q211" s="40" t="s">
        <v>16</v>
      </c>
      <c r="R211" s="39" t="s">
        <v>34</v>
      </c>
      <c r="S211" s="38" t="s">
        <v>16</v>
      </c>
      <c r="T211" s="44" t="s">
        <v>36</v>
      </c>
      <c r="U211" s="13"/>
      <c r="V211" s="13"/>
      <c r="W211" s="13"/>
      <c r="X211" s="13"/>
      <c r="Y211" s="13"/>
      <c r="Z211" s="13"/>
    </row>
    <row r="212" spans="1:26" ht="19.899999999999999" customHeight="1" x14ac:dyDescent="0.25">
      <c r="A212" s="38" t="s">
        <v>1608</v>
      </c>
      <c r="B212" s="62" t="s">
        <v>171</v>
      </c>
      <c r="C212" s="63" t="s">
        <v>64</v>
      </c>
      <c r="D212" s="38" t="s">
        <v>172</v>
      </c>
      <c r="E212" s="42" t="s">
        <v>1609</v>
      </c>
      <c r="F212" s="44" t="s">
        <v>122</v>
      </c>
      <c r="G212" s="39" t="s">
        <v>16</v>
      </c>
      <c r="H212" s="38" t="s">
        <v>16</v>
      </c>
      <c r="I212" s="40" t="s">
        <v>16</v>
      </c>
      <c r="J212" s="38" t="s">
        <v>14</v>
      </c>
      <c r="K212" s="40" t="s">
        <v>16</v>
      </c>
      <c r="L212" s="39" t="s">
        <v>16</v>
      </c>
      <c r="M212" s="38" t="s">
        <v>16</v>
      </c>
      <c r="N212" s="40" t="s">
        <v>16</v>
      </c>
      <c r="O212" s="42" t="s">
        <v>16</v>
      </c>
      <c r="P212" s="38" t="s">
        <v>16</v>
      </c>
      <c r="Q212" s="40" t="s">
        <v>16</v>
      </c>
      <c r="R212" s="39" t="s">
        <v>34</v>
      </c>
      <c r="S212" s="38" t="s">
        <v>16</v>
      </c>
      <c r="T212" s="44" t="s">
        <v>36</v>
      </c>
      <c r="U212" s="13"/>
      <c r="V212" s="13"/>
      <c r="W212" s="13"/>
      <c r="X212" s="13"/>
      <c r="Y212" s="13"/>
      <c r="Z212" s="13"/>
    </row>
    <row r="213" spans="1:26" ht="19.899999999999999" customHeight="1" x14ac:dyDescent="0.25">
      <c r="A213" s="38" t="s">
        <v>1608</v>
      </c>
      <c r="B213" s="62" t="s">
        <v>171</v>
      </c>
      <c r="C213" s="63" t="s">
        <v>64</v>
      </c>
      <c r="D213" s="38" t="s">
        <v>172</v>
      </c>
      <c r="E213" s="42" t="s">
        <v>314</v>
      </c>
      <c r="F213" s="44" t="s">
        <v>122</v>
      </c>
      <c r="G213" s="39" t="s">
        <v>16</v>
      </c>
      <c r="H213" s="38" t="s">
        <v>16</v>
      </c>
      <c r="I213" s="40" t="s">
        <v>16</v>
      </c>
      <c r="J213" s="38" t="s">
        <v>14</v>
      </c>
      <c r="K213" s="40" t="s">
        <v>16</v>
      </c>
      <c r="L213" s="39" t="s">
        <v>16</v>
      </c>
      <c r="M213" s="38" t="s">
        <v>16</v>
      </c>
      <c r="N213" s="40" t="s">
        <v>16</v>
      </c>
      <c r="O213" s="42" t="s">
        <v>16</v>
      </c>
      <c r="P213" s="38" t="s">
        <v>16</v>
      </c>
      <c r="Q213" s="40" t="s">
        <v>16</v>
      </c>
      <c r="R213" s="39" t="s">
        <v>34</v>
      </c>
      <c r="S213" s="38" t="s">
        <v>16</v>
      </c>
      <c r="T213" s="44" t="s">
        <v>36</v>
      </c>
      <c r="U213" s="13"/>
      <c r="V213" s="13"/>
      <c r="W213" s="13"/>
      <c r="X213" s="13"/>
      <c r="Y213" s="13"/>
      <c r="Z213" s="13"/>
    </row>
    <row r="214" spans="1:26" ht="19.899999999999999" customHeight="1" x14ac:dyDescent="0.25">
      <c r="A214" s="38" t="s">
        <v>1610</v>
      </c>
      <c r="B214" s="62" t="s">
        <v>171</v>
      </c>
      <c r="C214" s="63" t="s">
        <v>64</v>
      </c>
      <c r="D214" s="38" t="s">
        <v>172</v>
      </c>
      <c r="E214" s="42" t="s">
        <v>1611</v>
      </c>
      <c r="F214" s="44" t="s">
        <v>122</v>
      </c>
      <c r="G214" s="39" t="s">
        <v>16</v>
      </c>
      <c r="H214" s="38" t="s">
        <v>16</v>
      </c>
      <c r="I214" s="40" t="s">
        <v>16</v>
      </c>
      <c r="J214" s="38" t="s">
        <v>28</v>
      </c>
      <c r="K214" s="40" t="s">
        <v>16</v>
      </c>
      <c r="L214" s="39" t="s">
        <v>16</v>
      </c>
      <c r="M214" s="38" t="s">
        <v>16</v>
      </c>
      <c r="N214" s="40" t="s">
        <v>16</v>
      </c>
      <c r="O214" s="42" t="s">
        <v>16</v>
      </c>
      <c r="P214" s="38" t="s">
        <v>16</v>
      </c>
      <c r="Q214" s="40" t="s">
        <v>16</v>
      </c>
      <c r="R214" s="39" t="s">
        <v>34</v>
      </c>
      <c r="S214" s="38" t="s">
        <v>16</v>
      </c>
      <c r="T214" s="44" t="s">
        <v>36</v>
      </c>
      <c r="U214" s="13"/>
      <c r="V214" s="13"/>
      <c r="W214" s="13"/>
      <c r="X214" s="13"/>
      <c r="Y214" s="13"/>
      <c r="Z214" s="13"/>
    </row>
    <row r="215" spans="1:26" ht="19.899999999999999" customHeight="1" x14ac:dyDescent="0.25">
      <c r="A215" s="38" t="s">
        <v>1613</v>
      </c>
      <c r="B215" s="62" t="s">
        <v>171</v>
      </c>
      <c r="C215" s="63" t="s">
        <v>64</v>
      </c>
      <c r="D215" s="38" t="s">
        <v>172</v>
      </c>
      <c r="E215" s="42" t="s">
        <v>1612</v>
      </c>
      <c r="F215" s="44" t="s">
        <v>122</v>
      </c>
      <c r="G215" s="39" t="s">
        <v>16</v>
      </c>
      <c r="H215" s="38" t="s">
        <v>16</v>
      </c>
      <c r="I215" s="40" t="s">
        <v>16</v>
      </c>
      <c r="J215" s="38" t="s">
        <v>28</v>
      </c>
      <c r="K215" s="40" t="s">
        <v>16</v>
      </c>
      <c r="L215" s="39" t="s">
        <v>16</v>
      </c>
      <c r="M215" s="38" t="s">
        <v>16</v>
      </c>
      <c r="N215" s="40" t="s">
        <v>16</v>
      </c>
      <c r="O215" s="42" t="s">
        <v>16</v>
      </c>
      <c r="P215" s="38" t="s">
        <v>16</v>
      </c>
      <c r="Q215" s="40" t="s">
        <v>16</v>
      </c>
      <c r="R215" s="39" t="s">
        <v>34</v>
      </c>
      <c r="S215" s="38" t="s">
        <v>16</v>
      </c>
      <c r="T215" s="44" t="s">
        <v>36</v>
      </c>
      <c r="U215" s="13"/>
      <c r="V215" s="13"/>
      <c r="W215" s="13"/>
      <c r="X215" s="13"/>
      <c r="Y215" s="13"/>
      <c r="Z215" s="13"/>
    </row>
    <row r="216" spans="1:26" ht="19.899999999999999" customHeight="1" x14ac:dyDescent="0.25">
      <c r="A216" s="38" t="s">
        <v>1614</v>
      </c>
      <c r="B216" s="56" t="s">
        <v>70</v>
      </c>
      <c r="C216" s="32" t="s">
        <v>64</v>
      </c>
      <c r="D216" s="33" t="s">
        <v>71</v>
      </c>
      <c r="E216" s="42" t="s">
        <v>1604</v>
      </c>
      <c r="F216" s="40" t="s">
        <v>16</v>
      </c>
      <c r="G216" s="39" t="s">
        <v>16</v>
      </c>
      <c r="H216" s="38" t="s">
        <v>16</v>
      </c>
      <c r="I216" s="40" t="s">
        <v>16</v>
      </c>
      <c r="J216" s="33" t="s">
        <v>25</v>
      </c>
      <c r="K216" s="40" t="s">
        <v>16</v>
      </c>
      <c r="L216" s="39" t="s">
        <v>16</v>
      </c>
      <c r="M216" s="38" t="s">
        <v>16</v>
      </c>
      <c r="N216" s="40" t="s">
        <v>16</v>
      </c>
      <c r="O216" s="39" t="s">
        <v>16</v>
      </c>
      <c r="P216" s="38" t="s">
        <v>16</v>
      </c>
      <c r="Q216" s="40" t="s">
        <v>16</v>
      </c>
      <c r="R216" s="39" t="s">
        <v>34</v>
      </c>
      <c r="S216" s="38" t="s">
        <v>35</v>
      </c>
      <c r="T216" s="44" t="s">
        <v>36</v>
      </c>
      <c r="U216" s="13"/>
      <c r="V216" s="13"/>
      <c r="W216" s="13"/>
      <c r="X216" s="13"/>
      <c r="Y216" s="13"/>
      <c r="Z216" s="13"/>
    </row>
    <row r="217" spans="1:26" ht="19.899999999999999" customHeight="1" x14ac:dyDescent="0.25">
      <c r="A217" s="38" t="s">
        <v>1615</v>
      </c>
      <c r="B217" s="56" t="s">
        <v>70</v>
      </c>
      <c r="C217" s="32" t="s">
        <v>64</v>
      </c>
      <c r="D217" s="33" t="s">
        <v>71</v>
      </c>
      <c r="E217" s="42" t="s">
        <v>1589</v>
      </c>
      <c r="F217" s="40" t="s">
        <v>16</v>
      </c>
      <c r="G217" s="39" t="s">
        <v>16</v>
      </c>
      <c r="H217" s="38" t="s">
        <v>16</v>
      </c>
      <c r="I217" s="40" t="s">
        <v>16</v>
      </c>
      <c r="J217" s="38" t="s">
        <v>22</v>
      </c>
      <c r="K217" s="40" t="s">
        <v>16</v>
      </c>
      <c r="L217" s="39" t="s">
        <v>16</v>
      </c>
      <c r="M217" s="38" t="s">
        <v>16</v>
      </c>
      <c r="N217" s="40" t="s">
        <v>16</v>
      </c>
      <c r="O217" s="39" t="s">
        <v>16</v>
      </c>
      <c r="P217" s="38" t="s">
        <v>16</v>
      </c>
      <c r="Q217" s="40" t="s">
        <v>16</v>
      </c>
      <c r="R217" s="39" t="s">
        <v>34</v>
      </c>
      <c r="S217" s="38" t="s">
        <v>35</v>
      </c>
      <c r="T217" s="44" t="s">
        <v>36</v>
      </c>
      <c r="U217" s="13"/>
      <c r="V217" s="13"/>
      <c r="W217" s="13"/>
      <c r="X217" s="13"/>
      <c r="Y217" s="13"/>
      <c r="Z217" s="13"/>
    </row>
    <row r="218" spans="1:26" ht="19.899999999999999" customHeight="1" x14ac:dyDescent="0.25">
      <c r="A218" s="38" t="s">
        <v>1587</v>
      </c>
      <c r="B218" s="56" t="s">
        <v>70</v>
      </c>
      <c r="C218" s="32" t="s">
        <v>64</v>
      </c>
      <c r="D218" s="33" t="s">
        <v>71</v>
      </c>
      <c r="E218" s="42" t="s">
        <v>1586</v>
      </c>
      <c r="F218" s="40" t="s">
        <v>16</v>
      </c>
      <c r="G218" s="39" t="s">
        <v>16</v>
      </c>
      <c r="H218" s="38" t="s">
        <v>16</v>
      </c>
      <c r="I218" s="40" t="s">
        <v>16</v>
      </c>
      <c r="J218" s="38" t="s">
        <v>22</v>
      </c>
      <c r="K218" s="40" t="s">
        <v>16</v>
      </c>
      <c r="L218" s="39" t="s">
        <v>16</v>
      </c>
      <c r="M218" s="38" t="s">
        <v>16</v>
      </c>
      <c r="N218" s="40" t="s">
        <v>16</v>
      </c>
      <c r="O218" s="39" t="s">
        <v>16</v>
      </c>
      <c r="P218" s="38" t="s">
        <v>16</v>
      </c>
      <c r="Q218" s="40" t="s">
        <v>16</v>
      </c>
      <c r="R218" s="39" t="s">
        <v>34</v>
      </c>
      <c r="S218" s="38" t="s">
        <v>35</v>
      </c>
      <c r="T218" s="44" t="s">
        <v>36</v>
      </c>
      <c r="U218" s="13"/>
      <c r="V218" s="13"/>
      <c r="W218" s="13"/>
      <c r="X218" s="13"/>
      <c r="Y218" s="13"/>
      <c r="Z218" s="13"/>
    </row>
    <row r="219" spans="1:26" ht="19.899999999999999" customHeight="1" x14ac:dyDescent="0.25">
      <c r="A219" s="38" t="s">
        <v>1588</v>
      </c>
      <c r="B219" s="56" t="s">
        <v>70</v>
      </c>
      <c r="C219" s="32" t="s">
        <v>64</v>
      </c>
      <c r="D219" s="33" t="s">
        <v>71</v>
      </c>
      <c r="E219" s="42" t="s">
        <v>1589</v>
      </c>
      <c r="F219" s="40" t="s">
        <v>16</v>
      </c>
      <c r="G219" s="39" t="s">
        <v>16</v>
      </c>
      <c r="H219" s="38" t="s">
        <v>16</v>
      </c>
      <c r="I219" s="40" t="s">
        <v>16</v>
      </c>
      <c r="J219" s="38" t="s">
        <v>22</v>
      </c>
      <c r="K219" s="40" t="s">
        <v>16</v>
      </c>
      <c r="L219" s="39" t="s">
        <v>16</v>
      </c>
      <c r="M219" s="38" t="s">
        <v>16</v>
      </c>
      <c r="N219" s="40" t="s">
        <v>16</v>
      </c>
      <c r="O219" s="39" t="s">
        <v>16</v>
      </c>
      <c r="P219" s="38" t="s">
        <v>16</v>
      </c>
      <c r="Q219" s="40" t="s">
        <v>16</v>
      </c>
      <c r="R219" s="39" t="s">
        <v>34</v>
      </c>
      <c r="S219" s="38" t="s">
        <v>35</v>
      </c>
      <c r="T219" s="44" t="s">
        <v>36</v>
      </c>
      <c r="U219" s="13"/>
      <c r="V219" s="13"/>
      <c r="W219" s="13"/>
      <c r="X219" s="13"/>
      <c r="Y219" s="13"/>
      <c r="Z219" s="13"/>
    </row>
    <row r="220" spans="1:26" ht="19.899999999999999" customHeight="1" x14ac:dyDescent="0.25">
      <c r="A220" s="38" t="s">
        <v>1627</v>
      </c>
      <c r="B220" s="56" t="s">
        <v>265</v>
      </c>
      <c r="C220" s="32" t="s">
        <v>64</v>
      </c>
      <c r="D220" s="33" t="s">
        <v>266</v>
      </c>
      <c r="E220" s="39" t="s">
        <v>16</v>
      </c>
      <c r="F220" s="40" t="s">
        <v>45</v>
      </c>
      <c r="G220" s="39" t="s">
        <v>16</v>
      </c>
      <c r="H220" s="38" t="s">
        <v>16</v>
      </c>
      <c r="I220" s="40" t="s">
        <v>16</v>
      </c>
      <c r="J220" s="38" t="s">
        <v>59</v>
      </c>
      <c r="K220" s="40" t="s">
        <v>16</v>
      </c>
      <c r="L220" s="42" t="s">
        <v>16</v>
      </c>
      <c r="M220" s="43" t="s">
        <v>95</v>
      </c>
      <c r="N220" s="46" t="s">
        <v>16</v>
      </c>
      <c r="O220" s="39" t="s">
        <v>16</v>
      </c>
      <c r="P220" s="38" t="s">
        <v>16</v>
      </c>
      <c r="Q220" s="40">
        <v>75</v>
      </c>
      <c r="R220" s="39" t="s">
        <v>34</v>
      </c>
      <c r="S220" s="38" t="s">
        <v>35</v>
      </c>
      <c r="T220" s="44" t="s">
        <v>36</v>
      </c>
      <c r="U220" s="13"/>
      <c r="V220" s="13"/>
      <c r="W220" s="13"/>
      <c r="X220" s="13"/>
      <c r="Y220" s="13"/>
      <c r="Z220" s="13"/>
    </row>
    <row r="221" spans="1:26" ht="19.899999999999999" customHeight="1" x14ac:dyDescent="0.25">
      <c r="A221" s="74" t="s">
        <v>1616</v>
      </c>
      <c r="B221" s="77" t="s">
        <v>220</v>
      </c>
      <c r="C221" s="32" t="s">
        <v>84</v>
      </c>
      <c r="D221" s="33" t="s">
        <v>77</v>
      </c>
      <c r="E221" s="93" t="s">
        <v>1617</v>
      </c>
      <c r="F221" s="34" t="s">
        <v>72</v>
      </c>
      <c r="G221" s="39" t="s">
        <v>16</v>
      </c>
      <c r="H221" s="38" t="s">
        <v>16</v>
      </c>
      <c r="I221" s="40" t="s">
        <v>16</v>
      </c>
      <c r="J221" s="38" t="s">
        <v>14</v>
      </c>
      <c r="K221" s="40" t="s">
        <v>16</v>
      </c>
      <c r="L221" s="42" t="s">
        <v>16</v>
      </c>
      <c r="M221" s="43" t="s">
        <v>1618</v>
      </c>
      <c r="N221" s="40" t="s">
        <v>16</v>
      </c>
      <c r="O221" s="39" t="s">
        <v>16</v>
      </c>
      <c r="P221" s="38" t="s">
        <v>16</v>
      </c>
      <c r="Q221" s="40" t="s">
        <v>16</v>
      </c>
      <c r="R221" s="39" t="s">
        <v>16</v>
      </c>
      <c r="S221" s="38" t="s">
        <v>16</v>
      </c>
      <c r="T221" s="44" t="s">
        <v>36</v>
      </c>
      <c r="U221" s="13"/>
      <c r="V221" s="13"/>
      <c r="W221" s="13"/>
      <c r="X221" s="13"/>
      <c r="Y221" s="13"/>
      <c r="Z221" s="13"/>
    </row>
    <row r="222" spans="1:26" ht="19.899999999999999" customHeight="1" x14ac:dyDescent="0.25">
      <c r="A222" s="38" t="s">
        <v>1629</v>
      </c>
      <c r="B222" s="56" t="s">
        <v>265</v>
      </c>
      <c r="C222" s="32" t="s">
        <v>64</v>
      </c>
      <c r="D222" s="33" t="s">
        <v>266</v>
      </c>
      <c r="E222" s="39" t="s">
        <v>16</v>
      </c>
      <c r="F222" s="40" t="s">
        <v>45</v>
      </c>
      <c r="G222" s="39" t="s">
        <v>16</v>
      </c>
      <c r="H222" s="38" t="s">
        <v>16</v>
      </c>
      <c r="I222" s="40" t="s">
        <v>16</v>
      </c>
      <c r="J222" s="38" t="s">
        <v>59</v>
      </c>
      <c r="K222" s="40" t="s">
        <v>1626</v>
      </c>
      <c r="L222" s="42" t="s">
        <v>16</v>
      </c>
      <c r="M222" s="43" t="s">
        <v>1628</v>
      </c>
      <c r="N222" s="46" t="s">
        <v>16</v>
      </c>
      <c r="O222" s="39" t="s">
        <v>16</v>
      </c>
      <c r="P222" s="38" t="s">
        <v>16</v>
      </c>
      <c r="Q222" s="40">
        <v>300</v>
      </c>
      <c r="R222" s="39" t="s">
        <v>34</v>
      </c>
      <c r="S222" s="38" t="s">
        <v>55</v>
      </c>
      <c r="T222" s="44" t="s">
        <v>36</v>
      </c>
      <c r="U222" s="13"/>
      <c r="V222" s="13"/>
      <c r="W222" s="13"/>
      <c r="X222" s="13"/>
      <c r="Y222" s="13"/>
      <c r="Z222" s="13"/>
    </row>
    <row r="223" spans="1:26" ht="19.899999999999999" customHeight="1" x14ac:dyDescent="0.25">
      <c r="A223" s="131" t="s">
        <v>1619</v>
      </c>
      <c r="B223" s="75" t="s">
        <v>220</v>
      </c>
      <c r="C223" s="32" t="s">
        <v>84</v>
      </c>
      <c r="D223" s="33" t="s">
        <v>77</v>
      </c>
      <c r="E223" s="41" t="s">
        <v>1620</v>
      </c>
      <c r="F223" s="34" t="s">
        <v>86</v>
      </c>
      <c r="G223" s="39" t="s">
        <v>16</v>
      </c>
      <c r="H223" s="38" t="s">
        <v>16</v>
      </c>
      <c r="I223" s="40" t="s">
        <v>16</v>
      </c>
      <c r="J223" s="38" t="s">
        <v>19</v>
      </c>
      <c r="K223" s="46" t="s">
        <v>87</v>
      </c>
      <c r="L223" s="41" t="s">
        <v>16</v>
      </c>
      <c r="M223" s="43" t="s">
        <v>60</v>
      </c>
      <c r="N223" s="48" t="s">
        <v>104</v>
      </c>
      <c r="O223" s="39" t="s">
        <v>16</v>
      </c>
      <c r="P223" s="38" t="s">
        <v>16</v>
      </c>
      <c r="Q223" s="40" t="s">
        <v>16</v>
      </c>
      <c r="R223" s="39" t="s">
        <v>54</v>
      </c>
      <c r="S223" s="38" t="s">
        <v>55</v>
      </c>
      <c r="T223" s="44" t="s">
        <v>36</v>
      </c>
      <c r="U223" s="13"/>
      <c r="V223" s="13"/>
      <c r="W223" s="13"/>
      <c r="X223" s="13"/>
      <c r="Y223" s="13"/>
      <c r="Z223" s="13"/>
    </row>
    <row r="224" spans="1:26" ht="19.899999999999999" customHeight="1" x14ac:dyDescent="0.25">
      <c r="A224" s="68" t="s">
        <v>1622</v>
      </c>
      <c r="B224" s="77" t="s">
        <v>223</v>
      </c>
      <c r="C224" s="32" t="s">
        <v>64</v>
      </c>
      <c r="D224" s="33" t="s">
        <v>89</v>
      </c>
      <c r="E224" s="41" t="s">
        <v>1621</v>
      </c>
      <c r="F224" s="34" t="s">
        <v>86</v>
      </c>
      <c r="G224" s="32" t="s">
        <v>16</v>
      </c>
      <c r="H224" s="33" t="s">
        <v>16</v>
      </c>
      <c r="I224" s="46" t="s">
        <v>16</v>
      </c>
      <c r="J224" s="38" t="s">
        <v>19</v>
      </c>
      <c r="K224" s="46" t="s">
        <v>1623</v>
      </c>
      <c r="L224" s="41" t="s">
        <v>16</v>
      </c>
      <c r="M224" s="43" t="s">
        <v>106</v>
      </c>
      <c r="N224" s="46" t="s">
        <v>16</v>
      </c>
      <c r="O224" s="32">
        <v>67555684</v>
      </c>
      <c r="P224" s="33" t="s">
        <v>16</v>
      </c>
      <c r="Q224" s="46" t="s">
        <v>16</v>
      </c>
      <c r="R224" s="32" t="s">
        <v>16</v>
      </c>
      <c r="S224" s="33" t="s">
        <v>17</v>
      </c>
      <c r="T224" s="34" t="s">
        <v>36</v>
      </c>
      <c r="U224" s="13"/>
      <c r="V224" s="13"/>
      <c r="W224" s="13"/>
      <c r="X224" s="13"/>
      <c r="Y224" s="13"/>
      <c r="Z224" s="13"/>
    </row>
    <row r="225" spans="1:26" ht="19.899999999999999" customHeight="1" x14ac:dyDescent="0.25">
      <c r="A225" s="68" t="s">
        <v>1624</v>
      </c>
      <c r="B225" s="77" t="s">
        <v>1809</v>
      </c>
      <c r="C225" s="32" t="s">
        <v>1741</v>
      </c>
      <c r="D225" s="33" t="s">
        <v>1808</v>
      </c>
      <c r="E225" s="41" t="s">
        <v>1807</v>
      </c>
      <c r="F225" s="34" t="s">
        <v>86</v>
      </c>
      <c r="G225" s="32" t="s">
        <v>16</v>
      </c>
      <c r="H225" s="33" t="s">
        <v>16</v>
      </c>
      <c r="I225" s="46" t="s">
        <v>16</v>
      </c>
      <c r="J225" s="38" t="s">
        <v>22</v>
      </c>
      <c r="K225" s="40" t="s">
        <v>1626</v>
      </c>
      <c r="L225" s="41" t="s">
        <v>16</v>
      </c>
      <c r="M225" s="43" t="s">
        <v>1810</v>
      </c>
      <c r="N225" s="46" t="s">
        <v>16</v>
      </c>
      <c r="O225" s="32"/>
      <c r="P225" s="33" t="s">
        <v>16</v>
      </c>
      <c r="Q225" s="46" t="s">
        <v>16</v>
      </c>
      <c r="R225" s="32" t="s">
        <v>16</v>
      </c>
      <c r="S225" s="33" t="s">
        <v>17</v>
      </c>
      <c r="T225" s="34" t="s">
        <v>36</v>
      </c>
      <c r="U225" s="13"/>
      <c r="V225" s="13"/>
      <c r="W225" s="13"/>
      <c r="X225" s="13"/>
      <c r="Y225" s="13"/>
      <c r="Z225" s="13"/>
    </row>
    <row r="226" spans="1:26" ht="19.899999999999999" customHeight="1" x14ac:dyDescent="0.25">
      <c r="A226" s="74" t="s">
        <v>1630</v>
      </c>
      <c r="B226" s="72" t="s">
        <v>283</v>
      </c>
      <c r="C226" s="32" t="s">
        <v>64</v>
      </c>
      <c r="D226" s="33" t="s">
        <v>284</v>
      </c>
      <c r="E226" s="93" t="s">
        <v>1806</v>
      </c>
      <c r="F226" s="34" t="s">
        <v>72</v>
      </c>
      <c r="G226" s="39" t="s">
        <v>16</v>
      </c>
      <c r="H226" s="38" t="s">
        <v>16</v>
      </c>
      <c r="I226" s="40" t="s">
        <v>16</v>
      </c>
      <c r="J226" s="38" t="s">
        <v>14</v>
      </c>
      <c r="K226" s="40" t="s">
        <v>15</v>
      </c>
      <c r="L226" s="42" t="s">
        <v>16</v>
      </c>
      <c r="M226" s="129" t="s">
        <v>1633</v>
      </c>
      <c r="N226" s="48" t="s">
        <v>104</v>
      </c>
      <c r="O226" s="39" t="s">
        <v>16</v>
      </c>
      <c r="P226" s="38" t="s">
        <v>16</v>
      </c>
      <c r="Q226" s="40" t="s">
        <v>16</v>
      </c>
      <c r="R226" s="39" t="s">
        <v>16</v>
      </c>
      <c r="S226" s="38" t="s">
        <v>55</v>
      </c>
      <c r="T226" s="44" t="s">
        <v>36</v>
      </c>
      <c r="U226" s="13"/>
      <c r="V226" s="13"/>
      <c r="W226" s="13"/>
      <c r="X226" s="13"/>
      <c r="Y226" s="13"/>
      <c r="Z226" s="13"/>
    </row>
    <row r="227" spans="1:26" ht="19.899999999999999" customHeight="1" x14ac:dyDescent="0.25">
      <c r="A227" s="74" t="s">
        <v>1634</v>
      </c>
      <c r="B227" s="85" t="s">
        <v>1714</v>
      </c>
      <c r="C227" s="32" t="s">
        <v>64</v>
      </c>
      <c r="D227" s="33" t="s">
        <v>1715</v>
      </c>
      <c r="E227" s="35" t="s">
        <v>16</v>
      </c>
      <c r="F227" s="35" t="s">
        <v>16</v>
      </c>
      <c r="G227" s="35" t="s">
        <v>16</v>
      </c>
      <c r="H227" s="35" t="s">
        <v>16</v>
      </c>
      <c r="I227" s="35" t="s">
        <v>16</v>
      </c>
      <c r="J227" s="35" t="s">
        <v>16</v>
      </c>
      <c r="K227" s="35" t="s">
        <v>16</v>
      </c>
      <c r="L227" s="35" t="s">
        <v>16</v>
      </c>
      <c r="M227" s="35" t="s">
        <v>16</v>
      </c>
      <c r="N227" s="35" t="s">
        <v>16</v>
      </c>
      <c r="O227" s="35" t="s">
        <v>16</v>
      </c>
      <c r="P227" s="35" t="s">
        <v>16</v>
      </c>
      <c r="Q227" s="35" t="s">
        <v>16</v>
      </c>
      <c r="R227" s="35" t="s">
        <v>16</v>
      </c>
      <c r="S227" s="35" t="s">
        <v>16</v>
      </c>
      <c r="T227" s="35" t="s">
        <v>16</v>
      </c>
      <c r="U227" s="13"/>
      <c r="V227" s="13"/>
      <c r="W227" s="13"/>
      <c r="X227" s="13"/>
      <c r="Y227" s="13"/>
      <c r="Z227" s="13"/>
    </row>
    <row r="228" spans="1:26" ht="19.899999999999999" customHeight="1" x14ac:dyDescent="0.25">
      <c r="A228" s="74" t="s">
        <v>1635</v>
      </c>
      <c r="B228" s="77" t="s">
        <v>220</v>
      </c>
      <c r="C228" s="32" t="s">
        <v>84</v>
      </c>
      <c r="D228" s="33" t="s">
        <v>77</v>
      </c>
      <c r="E228" s="35" t="s">
        <v>16</v>
      </c>
      <c r="F228" s="34" t="s">
        <v>72</v>
      </c>
      <c r="G228" s="39" t="s">
        <v>16</v>
      </c>
      <c r="H228" s="38" t="s">
        <v>16</v>
      </c>
      <c r="I228" s="40" t="s">
        <v>16</v>
      </c>
      <c r="J228" s="38" t="s">
        <v>16</v>
      </c>
      <c r="K228" s="40" t="s">
        <v>16</v>
      </c>
      <c r="L228" s="42" t="s">
        <v>16</v>
      </c>
      <c r="M228" s="43" t="s">
        <v>16</v>
      </c>
      <c r="N228" s="40" t="s">
        <v>16</v>
      </c>
      <c r="O228" s="39" t="s">
        <v>16</v>
      </c>
      <c r="P228" s="38" t="s">
        <v>16</v>
      </c>
      <c r="Q228" s="40" t="s">
        <v>16</v>
      </c>
      <c r="R228" s="39" t="s">
        <v>16</v>
      </c>
      <c r="S228" s="38" t="s">
        <v>16</v>
      </c>
      <c r="T228" s="44" t="s">
        <v>36</v>
      </c>
      <c r="U228" s="13"/>
      <c r="V228" s="13"/>
      <c r="W228" s="13"/>
      <c r="X228" s="13"/>
      <c r="Y228" s="13"/>
      <c r="Z228" s="13"/>
    </row>
    <row r="229" spans="1:26" ht="19.899999999999999" customHeight="1" x14ac:dyDescent="0.25">
      <c r="A229" s="60" t="s">
        <v>1637</v>
      </c>
      <c r="B229" s="64" t="s">
        <v>171</v>
      </c>
      <c r="C229" s="63" t="s">
        <v>64</v>
      </c>
      <c r="D229" s="38" t="s">
        <v>172</v>
      </c>
      <c r="E229" s="42" t="s">
        <v>1636</v>
      </c>
      <c r="F229" s="44" t="s">
        <v>122</v>
      </c>
      <c r="G229" s="39" t="s">
        <v>16</v>
      </c>
      <c r="H229" s="38" t="s">
        <v>16</v>
      </c>
      <c r="I229" s="40" t="s">
        <v>16</v>
      </c>
      <c r="J229" s="38" t="s">
        <v>19</v>
      </c>
      <c r="K229" s="40" t="s">
        <v>16</v>
      </c>
      <c r="L229" s="39" t="s">
        <v>16</v>
      </c>
      <c r="M229" s="47" t="s">
        <v>92</v>
      </c>
      <c r="N229" s="40" t="s">
        <v>16</v>
      </c>
      <c r="O229" s="42" t="s">
        <v>16</v>
      </c>
      <c r="P229" s="38" t="s">
        <v>16</v>
      </c>
      <c r="Q229" s="40" t="s">
        <v>16</v>
      </c>
      <c r="R229" s="39" t="s">
        <v>34</v>
      </c>
      <c r="S229" s="38" t="s">
        <v>35</v>
      </c>
      <c r="T229" s="44" t="s">
        <v>36</v>
      </c>
      <c r="U229" s="13"/>
      <c r="V229" s="13"/>
      <c r="W229" s="13"/>
      <c r="X229" s="13"/>
      <c r="Y229" s="13"/>
      <c r="Z229" s="13"/>
    </row>
    <row r="230" spans="1:26" ht="19.899999999999999" customHeight="1" x14ac:dyDescent="0.25">
      <c r="A230" s="60" t="s">
        <v>1638</v>
      </c>
      <c r="B230" s="64" t="s">
        <v>171</v>
      </c>
      <c r="C230" s="63" t="s">
        <v>64</v>
      </c>
      <c r="D230" s="38" t="s">
        <v>172</v>
      </c>
      <c r="E230" s="42" t="s">
        <v>1636</v>
      </c>
      <c r="F230" s="44" t="s">
        <v>122</v>
      </c>
      <c r="G230" s="39" t="s">
        <v>16</v>
      </c>
      <c r="H230" s="38" t="s">
        <v>16</v>
      </c>
      <c r="I230" s="40" t="s">
        <v>16</v>
      </c>
      <c r="J230" s="38" t="s">
        <v>19</v>
      </c>
      <c r="K230" s="40" t="s">
        <v>16</v>
      </c>
      <c r="L230" s="39" t="s">
        <v>16</v>
      </c>
      <c r="M230" s="47" t="s">
        <v>74</v>
      </c>
      <c r="N230" s="40" t="s">
        <v>16</v>
      </c>
      <c r="O230" s="42" t="s">
        <v>16</v>
      </c>
      <c r="P230" s="38" t="s">
        <v>16</v>
      </c>
      <c r="Q230" s="40" t="s">
        <v>16</v>
      </c>
      <c r="R230" s="39" t="s">
        <v>34</v>
      </c>
      <c r="S230" s="38" t="s">
        <v>35</v>
      </c>
      <c r="T230" s="44" t="s">
        <v>36</v>
      </c>
      <c r="U230" s="13"/>
      <c r="V230" s="13"/>
      <c r="W230" s="13"/>
      <c r="X230" s="13"/>
      <c r="Y230" s="13"/>
      <c r="Z230" s="13"/>
    </row>
    <row r="231" spans="1:26" ht="19.899999999999999" customHeight="1" x14ac:dyDescent="0.25">
      <c r="A231" s="60" t="s">
        <v>1645</v>
      </c>
      <c r="B231" s="64" t="s">
        <v>171</v>
      </c>
      <c r="C231" s="63" t="s">
        <v>64</v>
      </c>
      <c r="D231" s="38" t="s">
        <v>172</v>
      </c>
      <c r="E231" s="42" t="s">
        <v>1642</v>
      </c>
      <c r="F231" s="44" t="s">
        <v>122</v>
      </c>
      <c r="G231" s="39" t="s">
        <v>16</v>
      </c>
      <c r="H231" s="38" t="s">
        <v>16</v>
      </c>
      <c r="I231" s="40" t="s">
        <v>16</v>
      </c>
      <c r="J231" s="38" t="s">
        <v>14</v>
      </c>
      <c r="K231" s="40" t="s">
        <v>33</v>
      </c>
      <c r="L231" s="39" t="s">
        <v>16</v>
      </c>
      <c r="M231" s="47" t="s">
        <v>268</v>
      </c>
      <c r="N231" s="40" t="s">
        <v>16</v>
      </c>
      <c r="O231" s="42" t="s">
        <v>16</v>
      </c>
      <c r="P231" s="38" t="s">
        <v>16</v>
      </c>
      <c r="Q231" s="40" t="s">
        <v>16</v>
      </c>
      <c r="R231" s="39" t="s">
        <v>34</v>
      </c>
      <c r="S231" s="38" t="s">
        <v>55</v>
      </c>
      <c r="T231" s="44" t="s">
        <v>36</v>
      </c>
      <c r="U231" s="13"/>
      <c r="V231" s="13"/>
      <c r="W231" s="13"/>
      <c r="X231" s="13"/>
      <c r="Y231" s="13"/>
      <c r="Z231" s="13"/>
    </row>
    <row r="232" spans="1:26" ht="19.899999999999999" customHeight="1" x14ac:dyDescent="0.25">
      <c r="A232" s="60" t="s">
        <v>1643</v>
      </c>
      <c r="B232" s="64" t="s">
        <v>171</v>
      </c>
      <c r="C232" s="63" t="s">
        <v>64</v>
      </c>
      <c r="D232" s="38" t="s">
        <v>172</v>
      </c>
      <c r="E232" s="42" t="s">
        <v>1644</v>
      </c>
      <c r="F232" s="44" t="s">
        <v>122</v>
      </c>
      <c r="G232" s="39" t="s">
        <v>16</v>
      </c>
      <c r="H232" s="38" t="s">
        <v>16</v>
      </c>
      <c r="I232" s="40" t="s">
        <v>16</v>
      </c>
      <c r="J232" s="38" t="s">
        <v>21</v>
      </c>
      <c r="K232" s="40" t="s">
        <v>15</v>
      </c>
      <c r="L232" s="39" t="s">
        <v>16</v>
      </c>
      <c r="M232" s="47" t="s">
        <v>51</v>
      </c>
      <c r="N232" s="40" t="s">
        <v>16</v>
      </c>
      <c r="O232" s="42" t="s">
        <v>16</v>
      </c>
      <c r="P232" s="38" t="s">
        <v>16</v>
      </c>
      <c r="Q232" s="40" t="s">
        <v>16</v>
      </c>
      <c r="R232" s="39" t="s">
        <v>34</v>
      </c>
      <c r="S232" s="38" t="s">
        <v>55</v>
      </c>
      <c r="T232" s="44" t="s">
        <v>36</v>
      </c>
      <c r="U232" s="13"/>
      <c r="V232" s="13"/>
      <c r="W232" s="13"/>
      <c r="X232" s="13"/>
      <c r="Y232" s="13"/>
      <c r="Z232" s="13"/>
    </row>
    <row r="233" spans="1:26" ht="19.899999999999999" customHeight="1" x14ac:dyDescent="0.25">
      <c r="A233" s="60" t="s">
        <v>1646</v>
      </c>
      <c r="B233" s="64" t="s">
        <v>171</v>
      </c>
      <c r="C233" s="63" t="s">
        <v>64</v>
      </c>
      <c r="D233" s="38" t="s">
        <v>172</v>
      </c>
      <c r="E233" s="42" t="s">
        <v>1644</v>
      </c>
      <c r="F233" s="44" t="s">
        <v>122</v>
      </c>
      <c r="G233" s="39" t="s">
        <v>16</v>
      </c>
      <c r="H233" s="38" t="s">
        <v>16</v>
      </c>
      <c r="I233" s="40" t="s">
        <v>16</v>
      </c>
      <c r="J233" s="38" t="s">
        <v>21</v>
      </c>
      <c r="K233" s="40" t="s">
        <v>15</v>
      </c>
      <c r="L233" s="39" t="s">
        <v>16</v>
      </c>
      <c r="M233" s="47" t="s">
        <v>51</v>
      </c>
      <c r="N233" s="40" t="s">
        <v>16</v>
      </c>
      <c r="O233" s="42" t="s">
        <v>16</v>
      </c>
      <c r="P233" s="38" t="s">
        <v>16</v>
      </c>
      <c r="Q233" s="40" t="s">
        <v>16</v>
      </c>
      <c r="R233" s="39" t="s">
        <v>34</v>
      </c>
      <c r="S233" s="38" t="s">
        <v>35</v>
      </c>
      <c r="T233" s="44" t="s">
        <v>36</v>
      </c>
      <c r="U233" s="13"/>
      <c r="V233" s="13"/>
      <c r="W233" s="13"/>
      <c r="X233" s="13"/>
      <c r="Y233" s="13"/>
      <c r="Z233" s="13"/>
    </row>
    <row r="234" spans="1:26" ht="19.899999999999999" customHeight="1" x14ac:dyDescent="0.25">
      <c r="A234" s="60" t="s">
        <v>1647</v>
      </c>
      <c r="B234" s="64" t="s">
        <v>171</v>
      </c>
      <c r="C234" s="63" t="s">
        <v>64</v>
      </c>
      <c r="D234" s="38" t="s">
        <v>172</v>
      </c>
      <c r="E234" s="42" t="s">
        <v>1644</v>
      </c>
      <c r="F234" s="44" t="s">
        <v>122</v>
      </c>
      <c r="G234" s="39" t="s">
        <v>16</v>
      </c>
      <c r="H234" s="38" t="s">
        <v>16</v>
      </c>
      <c r="I234" s="40" t="s">
        <v>16</v>
      </c>
      <c r="J234" s="38" t="s">
        <v>21</v>
      </c>
      <c r="K234" s="40" t="s">
        <v>15</v>
      </c>
      <c r="L234" s="39" t="s">
        <v>16</v>
      </c>
      <c r="M234" s="47" t="s">
        <v>1648</v>
      </c>
      <c r="N234" s="40" t="s">
        <v>16</v>
      </c>
      <c r="O234" s="42" t="s">
        <v>16</v>
      </c>
      <c r="P234" s="38" t="s">
        <v>16</v>
      </c>
      <c r="Q234" s="40" t="s">
        <v>16</v>
      </c>
      <c r="R234" s="39" t="s">
        <v>34</v>
      </c>
      <c r="S234" s="33" t="s">
        <v>17</v>
      </c>
      <c r="T234" s="44" t="s">
        <v>36</v>
      </c>
      <c r="U234" s="13"/>
      <c r="V234" s="13"/>
      <c r="W234" s="13"/>
      <c r="X234" s="13"/>
      <c r="Y234" s="13"/>
      <c r="Z234" s="13"/>
    </row>
    <row r="235" spans="1:26" ht="19.899999999999999" customHeight="1" x14ac:dyDescent="0.25">
      <c r="A235" s="60" t="s">
        <v>1650</v>
      </c>
      <c r="B235" s="64" t="s">
        <v>171</v>
      </c>
      <c r="C235" s="63" t="s">
        <v>64</v>
      </c>
      <c r="D235" s="38" t="s">
        <v>172</v>
      </c>
      <c r="E235" s="42" t="s">
        <v>1642</v>
      </c>
      <c r="F235" s="44" t="s">
        <v>122</v>
      </c>
      <c r="G235" s="39" t="s">
        <v>16</v>
      </c>
      <c r="H235" s="38" t="s">
        <v>16</v>
      </c>
      <c r="I235" s="40" t="s">
        <v>16</v>
      </c>
      <c r="J235" s="38" t="s">
        <v>14</v>
      </c>
      <c r="K235" s="40" t="s">
        <v>15</v>
      </c>
      <c r="L235" s="39" t="s">
        <v>16</v>
      </c>
      <c r="M235" s="47" t="s">
        <v>1651</v>
      </c>
      <c r="N235" s="40" t="s">
        <v>16</v>
      </c>
      <c r="O235" s="42" t="s">
        <v>16</v>
      </c>
      <c r="P235" s="38" t="s">
        <v>16</v>
      </c>
      <c r="Q235" s="40" t="s">
        <v>16</v>
      </c>
      <c r="R235" s="39" t="s">
        <v>34</v>
      </c>
      <c r="S235" s="38" t="s">
        <v>35</v>
      </c>
      <c r="T235" s="44" t="s">
        <v>36</v>
      </c>
      <c r="U235" s="13"/>
      <c r="V235" s="13"/>
      <c r="W235" s="13"/>
      <c r="X235" s="13"/>
      <c r="Y235" s="13"/>
      <c r="Z235" s="13"/>
    </row>
    <row r="236" spans="1:26" ht="19.899999999999999" customHeight="1" x14ac:dyDescent="0.25">
      <c r="A236" s="60" t="s">
        <v>1652</v>
      </c>
      <c r="B236" s="64" t="s">
        <v>171</v>
      </c>
      <c r="C236" s="63" t="s">
        <v>64</v>
      </c>
      <c r="D236" s="38" t="s">
        <v>172</v>
      </c>
      <c r="E236" s="42" t="s">
        <v>1644</v>
      </c>
      <c r="F236" s="44" t="s">
        <v>122</v>
      </c>
      <c r="G236" s="39" t="s">
        <v>16</v>
      </c>
      <c r="H236" s="38" t="s">
        <v>16</v>
      </c>
      <c r="I236" s="40" t="s">
        <v>16</v>
      </c>
      <c r="J236" s="38" t="s">
        <v>21</v>
      </c>
      <c r="K236" s="40" t="s">
        <v>254</v>
      </c>
      <c r="L236" s="39" t="s">
        <v>16</v>
      </c>
      <c r="M236" s="47" t="s">
        <v>268</v>
      </c>
      <c r="N236" s="40" t="s">
        <v>16</v>
      </c>
      <c r="O236" s="42" t="s">
        <v>16</v>
      </c>
      <c r="P236" s="38" t="s">
        <v>16</v>
      </c>
      <c r="Q236" s="40" t="s">
        <v>16</v>
      </c>
      <c r="R236" s="39" t="s">
        <v>34</v>
      </c>
      <c r="S236" s="33" t="s">
        <v>17</v>
      </c>
      <c r="T236" s="44" t="s">
        <v>36</v>
      </c>
      <c r="U236" s="13"/>
      <c r="V236" s="13"/>
      <c r="W236" s="13"/>
      <c r="X236" s="13"/>
      <c r="Y236" s="13"/>
      <c r="Z236" s="13"/>
    </row>
    <row r="237" spans="1:26" ht="19.899999999999999" customHeight="1" x14ac:dyDescent="0.25">
      <c r="A237" s="60" t="s">
        <v>1653</v>
      </c>
      <c r="B237" s="64" t="s">
        <v>171</v>
      </c>
      <c r="C237" s="63" t="s">
        <v>64</v>
      </c>
      <c r="D237" s="38" t="s">
        <v>172</v>
      </c>
      <c r="E237" s="42" t="s">
        <v>1642</v>
      </c>
      <c r="F237" s="44" t="s">
        <v>122</v>
      </c>
      <c r="G237" s="39" t="s">
        <v>16</v>
      </c>
      <c r="H237" s="38" t="s">
        <v>16</v>
      </c>
      <c r="I237" s="40" t="s">
        <v>16</v>
      </c>
      <c r="J237" s="38" t="s">
        <v>14</v>
      </c>
      <c r="K237" s="40" t="s">
        <v>15</v>
      </c>
      <c r="L237" s="39" t="s">
        <v>16</v>
      </c>
      <c r="M237" s="47" t="s">
        <v>74</v>
      </c>
      <c r="N237" s="40" t="s">
        <v>16</v>
      </c>
      <c r="O237" s="42" t="s">
        <v>16</v>
      </c>
      <c r="P237" s="38" t="s">
        <v>16</v>
      </c>
      <c r="Q237" s="40" t="s">
        <v>16</v>
      </c>
      <c r="R237" s="39" t="s">
        <v>34</v>
      </c>
      <c r="S237" s="38" t="s">
        <v>35</v>
      </c>
      <c r="T237" s="44" t="s">
        <v>36</v>
      </c>
      <c r="U237" s="13"/>
      <c r="V237" s="13"/>
      <c r="W237" s="13"/>
      <c r="X237" s="13"/>
      <c r="Y237" s="13"/>
      <c r="Z237" s="13"/>
    </row>
    <row r="238" spans="1:26" ht="19.899999999999999" customHeight="1" x14ac:dyDescent="0.25">
      <c r="A238" s="31" t="s">
        <v>1654</v>
      </c>
      <c r="B238" s="85" t="s">
        <v>200</v>
      </c>
      <c r="C238" s="32" t="s">
        <v>64</v>
      </c>
      <c r="D238" s="33" t="s">
        <v>201</v>
      </c>
      <c r="E238" s="129" t="s">
        <v>202</v>
      </c>
      <c r="F238" s="35" t="s">
        <v>16</v>
      </c>
      <c r="G238" s="35" t="s">
        <v>16</v>
      </c>
      <c r="H238" s="35" t="s">
        <v>16</v>
      </c>
      <c r="I238" s="35" t="s">
        <v>16</v>
      </c>
      <c r="J238" s="38" t="s">
        <v>19</v>
      </c>
      <c r="K238" s="40" t="s">
        <v>15</v>
      </c>
      <c r="L238" s="35" t="s">
        <v>16</v>
      </c>
      <c r="M238" s="129" t="s">
        <v>1655</v>
      </c>
      <c r="N238" s="35" t="s">
        <v>16</v>
      </c>
      <c r="O238" s="35" t="s">
        <v>16</v>
      </c>
      <c r="P238" s="35" t="s">
        <v>16</v>
      </c>
      <c r="Q238" s="35" t="s">
        <v>16</v>
      </c>
      <c r="R238" s="35" t="s">
        <v>16</v>
      </c>
      <c r="S238" s="38" t="s">
        <v>35</v>
      </c>
      <c r="T238" s="35" t="s">
        <v>16</v>
      </c>
      <c r="U238" s="13"/>
      <c r="V238" s="13"/>
      <c r="W238" s="13"/>
      <c r="X238" s="13"/>
      <c r="Y238" s="13"/>
      <c r="Z238" s="13"/>
    </row>
    <row r="239" spans="1:26" ht="19.899999999999999" customHeight="1" x14ac:dyDescent="0.25">
      <c r="A239" s="60" t="s">
        <v>1656</v>
      </c>
      <c r="B239" s="64" t="s">
        <v>171</v>
      </c>
      <c r="C239" s="63" t="s">
        <v>64</v>
      </c>
      <c r="D239" s="38" t="s">
        <v>172</v>
      </c>
      <c r="E239" s="42" t="s">
        <v>309</v>
      </c>
      <c r="F239" s="44" t="s">
        <v>122</v>
      </c>
      <c r="G239" s="39" t="s">
        <v>16</v>
      </c>
      <c r="H239" s="38" t="s">
        <v>16</v>
      </c>
      <c r="I239" s="40" t="s">
        <v>16</v>
      </c>
      <c r="J239" s="38" t="s">
        <v>21</v>
      </c>
      <c r="K239" s="40" t="s">
        <v>15</v>
      </c>
      <c r="L239" s="39" t="s">
        <v>16</v>
      </c>
      <c r="M239" s="47" t="s">
        <v>1657</v>
      </c>
      <c r="N239" s="40" t="s">
        <v>16</v>
      </c>
      <c r="O239" s="42" t="s">
        <v>16</v>
      </c>
      <c r="P239" s="38" t="s">
        <v>16</v>
      </c>
      <c r="Q239" s="40" t="s">
        <v>16</v>
      </c>
      <c r="R239" s="39" t="s">
        <v>34</v>
      </c>
      <c r="S239" s="33" t="s">
        <v>17</v>
      </c>
      <c r="T239" s="44" t="s">
        <v>36</v>
      </c>
      <c r="U239" s="13"/>
      <c r="V239" s="13"/>
      <c r="W239" s="13"/>
      <c r="X239" s="13"/>
      <c r="Y239" s="13"/>
      <c r="Z239" s="13"/>
    </row>
    <row r="240" spans="1:26" ht="19.899999999999999" customHeight="1" x14ac:dyDescent="0.25">
      <c r="A240" s="131" t="s">
        <v>1658</v>
      </c>
      <c r="B240" s="75" t="s">
        <v>220</v>
      </c>
      <c r="C240" s="32" t="s">
        <v>84</v>
      </c>
      <c r="D240" s="33" t="s">
        <v>77</v>
      </c>
      <c r="E240" s="41" t="s">
        <v>1811</v>
      </c>
      <c r="F240" s="34" t="s">
        <v>86</v>
      </c>
      <c r="G240" s="39" t="s">
        <v>16</v>
      </c>
      <c r="H240" s="38" t="s">
        <v>16</v>
      </c>
      <c r="I240" s="40" t="s">
        <v>16</v>
      </c>
      <c r="J240" s="38" t="s">
        <v>14</v>
      </c>
      <c r="K240" s="40" t="s">
        <v>15</v>
      </c>
      <c r="L240" s="41" t="s">
        <v>16</v>
      </c>
      <c r="M240" s="43" t="s">
        <v>60</v>
      </c>
      <c r="N240" s="48" t="s">
        <v>104</v>
      </c>
      <c r="O240" s="39" t="s">
        <v>16</v>
      </c>
      <c r="P240" s="38" t="s">
        <v>16</v>
      </c>
      <c r="Q240" s="40" t="s">
        <v>16</v>
      </c>
      <c r="R240" s="39" t="s">
        <v>54</v>
      </c>
      <c r="S240" s="38" t="s">
        <v>55</v>
      </c>
      <c r="T240" s="44" t="s">
        <v>36</v>
      </c>
      <c r="U240" s="13"/>
      <c r="V240" s="13"/>
      <c r="W240" s="13"/>
      <c r="X240" s="13"/>
      <c r="Y240" s="13"/>
      <c r="Z240" s="13"/>
    </row>
    <row r="241" spans="1:26" ht="19.899999999999999" customHeight="1" x14ac:dyDescent="0.25">
      <c r="A241" s="38" t="s">
        <v>1661</v>
      </c>
      <c r="B241" s="56" t="s">
        <v>1631</v>
      </c>
      <c r="C241" s="32" t="s">
        <v>64</v>
      </c>
      <c r="D241" s="33" t="s">
        <v>1632</v>
      </c>
      <c r="E241" s="39" t="s">
        <v>16</v>
      </c>
      <c r="F241" s="40" t="s">
        <v>45</v>
      </c>
      <c r="G241" s="39" t="s">
        <v>16</v>
      </c>
      <c r="H241" s="38" t="s">
        <v>16</v>
      </c>
      <c r="I241" s="40" t="s">
        <v>16</v>
      </c>
      <c r="J241" s="38" t="s">
        <v>59</v>
      </c>
      <c r="K241" s="40" t="s">
        <v>15</v>
      </c>
      <c r="L241" s="42" t="s">
        <v>16</v>
      </c>
      <c r="M241" s="43" t="s">
        <v>16</v>
      </c>
      <c r="N241" s="46" t="s">
        <v>16</v>
      </c>
      <c r="O241" s="39" t="s">
        <v>16</v>
      </c>
      <c r="P241" s="38" t="s">
        <v>16</v>
      </c>
      <c r="Q241" s="40" t="s">
        <v>16</v>
      </c>
      <c r="R241" s="39" t="s">
        <v>34</v>
      </c>
      <c r="S241" s="38" t="s">
        <v>35</v>
      </c>
      <c r="T241" s="44" t="s">
        <v>36</v>
      </c>
      <c r="U241" s="13"/>
      <c r="V241" s="13"/>
      <c r="W241" s="13"/>
      <c r="X241" s="13"/>
      <c r="Y241" s="13"/>
      <c r="Z241" s="13"/>
    </row>
    <row r="242" spans="1:26" ht="19.899999999999999" customHeight="1" x14ac:dyDescent="0.25">
      <c r="A242" s="38" t="s">
        <v>1662</v>
      </c>
      <c r="B242" s="56" t="s">
        <v>1631</v>
      </c>
      <c r="C242" s="32" t="s">
        <v>64</v>
      </c>
      <c r="D242" s="33" t="s">
        <v>1632</v>
      </c>
      <c r="E242" s="39" t="s">
        <v>16</v>
      </c>
      <c r="F242" s="40" t="s">
        <v>45</v>
      </c>
      <c r="G242" s="39" t="s">
        <v>16</v>
      </c>
      <c r="H242" s="38" t="s">
        <v>16</v>
      </c>
      <c r="I242" s="40" t="s">
        <v>16</v>
      </c>
      <c r="J242" s="38" t="s">
        <v>59</v>
      </c>
      <c r="K242" s="40" t="s">
        <v>15</v>
      </c>
      <c r="L242" s="42" t="s">
        <v>16</v>
      </c>
      <c r="M242" s="43" t="s">
        <v>16</v>
      </c>
      <c r="N242" s="46" t="s">
        <v>16</v>
      </c>
      <c r="O242" s="39" t="s">
        <v>16</v>
      </c>
      <c r="P242" s="38" t="s">
        <v>16</v>
      </c>
      <c r="Q242" s="40" t="s">
        <v>16</v>
      </c>
      <c r="R242" s="39" t="s">
        <v>34</v>
      </c>
      <c r="S242" s="38" t="s">
        <v>55</v>
      </c>
      <c r="T242" s="44" t="s">
        <v>36</v>
      </c>
      <c r="U242" s="13"/>
      <c r="V242" s="13"/>
      <c r="W242" s="13"/>
      <c r="X242" s="13"/>
      <c r="Y242" s="13"/>
      <c r="Z242" s="13"/>
    </row>
    <row r="243" spans="1:26" ht="19.899999999999999" customHeight="1" x14ac:dyDescent="0.25">
      <c r="A243" s="38" t="s">
        <v>1663</v>
      </c>
      <c r="B243" s="56" t="s">
        <v>1631</v>
      </c>
      <c r="C243" s="32" t="s">
        <v>64</v>
      </c>
      <c r="D243" s="33" t="s">
        <v>1632</v>
      </c>
      <c r="E243" s="39" t="s">
        <v>16</v>
      </c>
      <c r="F243" s="40" t="s">
        <v>45</v>
      </c>
      <c r="G243" s="39" t="s">
        <v>16</v>
      </c>
      <c r="H243" s="38" t="s">
        <v>16</v>
      </c>
      <c r="I243" s="40" t="s">
        <v>16</v>
      </c>
      <c r="J243" s="38" t="s">
        <v>59</v>
      </c>
      <c r="K243" s="40" t="s">
        <v>15</v>
      </c>
      <c r="L243" s="42" t="s">
        <v>16</v>
      </c>
      <c r="M243" s="43" t="s">
        <v>16</v>
      </c>
      <c r="N243" s="46" t="s">
        <v>16</v>
      </c>
      <c r="O243" s="39" t="s">
        <v>16</v>
      </c>
      <c r="P243" s="38" t="s">
        <v>16</v>
      </c>
      <c r="Q243" s="40">
        <v>0</v>
      </c>
      <c r="R243" s="39" t="s">
        <v>34</v>
      </c>
      <c r="S243" s="38" t="s">
        <v>55</v>
      </c>
      <c r="T243" s="44" t="s">
        <v>36</v>
      </c>
      <c r="U243" s="13"/>
      <c r="V243" s="13"/>
      <c r="W243" s="13"/>
      <c r="X243" s="13"/>
      <c r="Y243" s="13"/>
      <c r="Z243" s="13"/>
    </row>
    <row r="244" spans="1:26" ht="19.899999999999999" customHeight="1" x14ac:dyDescent="0.25">
      <c r="A244" s="33" t="s">
        <v>1664</v>
      </c>
      <c r="B244" s="56" t="s">
        <v>1709</v>
      </c>
      <c r="C244" s="32" t="s">
        <v>64</v>
      </c>
      <c r="D244" s="33" t="s">
        <v>1710</v>
      </c>
      <c r="E244" s="32" t="s">
        <v>16</v>
      </c>
      <c r="F244" s="34" t="s">
        <v>65</v>
      </c>
      <c r="G244" s="32" t="s">
        <v>16</v>
      </c>
      <c r="H244" s="33" t="s">
        <v>16</v>
      </c>
      <c r="I244" s="46" t="s">
        <v>16</v>
      </c>
      <c r="J244" s="33" t="s">
        <v>59</v>
      </c>
      <c r="K244" s="46" t="s">
        <v>16</v>
      </c>
      <c r="L244" s="41" t="s">
        <v>16</v>
      </c>
      <c r="M244" s="43" t="s">
        <v>95</v>
      </c>
      <c r="N244" s="46" t="s">
        <v>16</v>
      </c>
      <c r="O244" s="32" t="s">
        <v>16</v>
      </c>
      <c r="P244" s="33" t="s">
        <v>16</v>
      </c>
      <c r="Q244" s="46" t="s">
        <v>60</v>
      </c>
      <c r="R244" s="32" t="s">
        <v>34</v>
      </c>
      <c r="S244" s="38" t="s">
        <v>55</v>
      </c>
      <c r="T244" s="34" t="s">
        <v>36</v>
      </c>
      <c r="U244" s="13"/>
      <c r="V244" s="13"/>
      <c r="W244" s="13"/>
      <c r="X244" s="13"/>
      <c r="Y244" s="13"/>
      <c r="Z244" s="13"/>
    </row>
    <row r="245" spans="1:26" ht="19.899999999999999" customHeight="1" x14ac:dyDescent="0.25">
      <c r="A245" s="33" t="s">
        <v>1665</v>
      </c>
      <c r="B245" s="56" t="s">
        <v>1631</v>
      </c>
      <c r="C245" s="32" t="s">
        <v>64</v>
      </c>
      <c r="D245" s="33" t="s">
        <v>1632</v>
      </c>
      <c r="E245" s="32" t="s">
        <v>16</v>
      </c>
      <c r="F245" s="34" t="s">
        <v>65</v>
      </c>
      <c r="G245" s="32" t="s">
        <v>16</v>
      </c>
      <c r="H245" s="33" t="s">
        <v>16</v>
      </c>
      <c r="I245" s="46" t="s">
        <v>16</v>
      </c>
      <c r="J245" s="33" t="s">
        <v>59</v>
      </c>
      <c r="K245" s="46" t="s">
        <v>29</v>
      </c>
      <c r="L245" s="41" t="s">
        <v>16</v>
      </c>
      <c r="M245" s="43" t="s">
        <v>1648</v>
      </c>
      <c r="N245" s="46" t="s">
        <v>16</v>
      </c>
      <c r="O245" s="32" t="s">
        <v>16</v>
      </c>
      <c r="P245" s="33" t="s">
        <v>16</v>
      </c>
      <c r="Q245" s="46" t="s">
        <v>60</v>
      </c>
      <c r="R245" s="32" t="s">
        <v>34</v>
      </c>
      <c r="S245" s="38" t="s">
        <v>55</v>
      </c>
      <c r="T245" s="34" t="s">
        <v>36</v>
      </c>
      <c r="U245" s="13"/>
      <c r="V245" s="13"/>
      <c r="W245" s="13"/>
      <c r="X245" s="13"/>
      <c r="Y245" s="13"/>
      <c r="Z245" s="13"/>
    </row>
    <row r="246" spans="1:26" ht="19.899999999999999" customHeight="1" x14ac:dyDescent="0.25">
      <c r="A246" s="33" t="s">
        <v>1667</v>
      </c>
      <c r="B246" s="56" t="s">
        <v>1631</v>
      </c>
      <c r="C246" s="32" t="s">
        <v>64</v>
      </c>
      <c r="D246" s="33" t="s">
        <v>1632</v>
      </c>
      <c r="E246" s="32" t="s">
        <v>16</v>
      </c>
      <c r="F246" s="34" t="s">
        <v>65</v>
      </c>
      <c r="G246" s="32" t="s">
        <v>16</v>
      </c>
      <c r="H246" s="33" t="s">
        <v>16</v>
      </c>
      <c r="I246" s="46" t="s">
        <v>16</v>
      </c>
      <c r="J246" s="33" t="s">
        <v>59</v>
      </c>
      <c r="K246" s="46" t="s">
        <v>29</v>
      </c>
      <c r="L246" s="41" t="s">
        <v>16</v>
      </c>
      <c r="M246" s="43" t="s">
        <v>1648</v>
      </c>
      <c r="N246" s="46" t="s">
        <v>16</v>
      </c>
      <c r="O246" s="32" t="s">
        <v>16</v>
      </c>
      <c r="P246" s="33" t="s">
        <v>16</v>
      </c>
      <c r="Q246" s="46" t="s">
        <v>60</v>
      </c>
      <c r="R246" s="32" t="s">
        <v>34</v>
      </c>
      <c r="S246" s="38" t="s">
        <v>55</v>
      </c>
      <c r="T246" s="34" t="s">
        <v>36</v>
      </c>
      <c r="U246" s="13"/>
      <c r="V246" s="13"/>
      <c r="W246" s="13"/>
      <c r="X246" s="13"/>
      <c r="Y246" s="13"/>
      <c r="Z246" s="13"/>
    </row>
    <row r="247" spans="1:26" ht="19.899999999999999" customHeight="1" x14ac:dyDescent="0.25">
      <c r="A247" s="33" t="s">
        <v>1668</v>
      </c>
      <c r="B247" s="56" t="s">
        <v>1631</v>
      </c>
      <c r="C247" s="32" t="s">
        <v>64</v>
      </c>
      <c r="D247" s="33" t="s">
        <v>1632</v>
      </c>
      <c r="E247" s="32" t="s">
        <v>16</v>
      </c>
      <c r="F247" s="34" t="s">
        <v>65</v>
      </c>
      <c r="G247" s="32" t="s">
        <v>16</v>
      </c>
      <c r="H247" s="33" t="s">
        <v>16</v>
      </c>
      <c r="I247" s="46" t="s">
        <v>16</v>
      </c>
      <c r="J247" s="33" t="s">
        <v>59</v>
      </c>
      <c r="K247" s="46" t="s">
        <v>29</v>
      </c>
      <c r="L247" s="41" t="s">
        <v>16</v>
      </c>
      <c r="M247" s="43" t="s">
        <v>1648</v>
      </c>
      <c r="N247" s="46" t="s">
        <v>16</v>
      </c>
      <c r="O247" s="32" t="s">
        <v>16</v>
      </c>
      <c r="P247" s="33" t="s">
        <v>16</v>
      </c>
      <c r="Q247" s="46" t="s">
        <v>60</v>
      </c>
      <c r="R247" s="32" t="s">
        <v>34</v>
      </c>
      <c r="S247" s="38" t="s">
        <v>55</v>
      </c>
      <c r="T247" s="34" t="s">
        <v>36</v>
      </c>
      <c r="U247" s="13"/>
      <c r="V247" s="13"/>
      <c r="W247" s="13"/>
      <c r="X247" s="13"/>
      <c r="Y247" s="13"/>
      <c r="Z247" s="13"/>
    </row>
    <row r="248" spans="1:26" ht="19.899999999999999" customHeight="1" x14ac:dyDescent="0.25">
      <c r="A248" s="33" t="s">
        <v>1669</v>
      </c>
      <c r="B248" s="56" t="s">
        <v>1631</v>
      </c>
      <c r="C248" s="32" t="s">
        <v>64</v>
      </c>
      <c r="D248" s="33" t="s">
        <v>1632</v>
      </c>
      <c r="E248" s="32" t="s">
        <v>16</v>
      </c>
      <c r="F248" s="34" t="s">
        <v>65</v>
      </c>
      <c r="G248" s="32" t="s">
        <v>16</v>
      </c>
      <c r="H248" s="33" t="s">
        <v>16</v>
      </c>
      <c r="I248" s="46" t="s">
        <v>16</v>
      </c>
      <c r="J248" s="33" t="s">
        <v>59</v>
      </c>
      <c r="K248" s="46" t="s">
        <v>29</v>
      </c>
      <c r="L248" s="41" t="s">
        <v>16</v>
      </c>
      <c r="M248" s="43" t="s">
        <v>1641</v>
      </c>
      <c r="N248" s="46" t="s">
        <v>16</v>
      </c>
      <c r="O248" s="32" t="s">
        <v>16</v>
      </c>
      <c r="P248" s="33" t="s">
        <v>16</v>
      </c>
      <c r="Q248" s="46" t="s">
        <v>60</v>
      </c>
      <c r="R248" s="32" t="s">
        <v>34</v>
      </c>
      <c r="S248" s="38" t="s">
        <v>55</v>
      </c>
      <c r="T248" s="34" t="s">
        <v>36</v>
      </c>
      <c r="U248" s="13"/>
      <c r="V248" s="13"/>
      <c r="W248" s="13"/>
      <c r="X248" s="13"/>
      <c r="Y248" s="13"/>
      <c r="Z248" s="13"/>
    </row>
    <row r="249" spans="1:26" ht="19.899999999999999" customHeight="1" x14ac:dyDescent="0.25">
      <c r="A249" s="33" t="s">
        <v>1670</v>
      </c>
      <c r="B249" s="56" t="s">
        <v>1631</v>
      </c>
      <c r="C249" s="32" t="s">
        <v>64</v>
      </c>
      <c r="D249" s="33" t="s">
        <v>1632</v>
      </c>
      <c r="E249" s="32" t="s">
        <v>16</v>
      </c>
      <c r="F249" s="34" t="s">
        <v>65</v>
      </c>
      <c r="G249" s="32" t="s">
        <v>16</v>
      </c>
      <c r="H249" s="33" t="s">
        <v>16</v>
      </c>
      <c r="I249" s="46" t="s">
        <v>16</v>
      </c>
      <c r="J249" s="33" t="s">
        <v>59</v>
      </c>
      <c r="K249" s="46" t="s">
        <v>29</v>
      </c>
      <c r="L249" s="41" t="s">
        <v>16</v>
      </c>
      <c r="M249" s="43" t="s">
        <v>1641</v>
      </c>
      <c r="N249" s="46" t="s">
        <v>16</v>
      </c>
      <c r="O249" s="32" t="s">
        <v>16</v>
      </c>
      <c r="P249" s="33" t="s">
        <v>16</v>
      </c>
      <c r="Q249" s="46" t="s">
        <v>60</v>
      </c>
      <c r="R249" s="32" t="s">
        <v>34</v>
      </c>
      <c r="S249" s="38" t="s">
        <v>55</v>
      </c>
      <c r="T249" s="34" t="s">
        <v>36</v>
      </c>
      <c r="U249" s="13"/>
      <c r="V249" s="13"/>
      <c r="W249" s="13"/>
      <c r="X249" s="13"/>
      <c r="Y249" s="13"/>
      <c r="Z249" s="13"/>
    </row>
    <row r="250" spans="1:26" ht="19.899999999999999" customHeight="1" x14ac:dyDescent="0.25">
      <c r="A250" s="33" t="s">
        <v>1671</v>
      </c>
      <c r="B250" s="56" t="s">
        <v>1631</v>
      </c>
      <c r="C250" s="32" t="s">
        <v>64</v>
      </c>
      <c r="D250" s="33" t="s">
        <v>1632</v>
      </c>
      <c r="E250" s="32" t="s">
        <v>16</v>
      </c>
      <c r="F250" s="34" t="s">
        <v>65</v>
      </c>
      <c r="G250" s="32" t="s">
        <v>16</v>
      </c>
      <c r="H250" s="33" t="s">
        <v>16</v>
      </c>
      <c r="I250" s="46" t="s">
        <v>16</v>
      </c>
      <c r="J250" s="33" t="s">
        <v>59</v>
      </c>
      <c r="K250" s="46" t="s">
        <v>29</v>
      </c>
      <c r="L250" s="41" t="s">
        <v>16</v>
      </c>
      <c r="M250" s="43" t="s">
        <v>1641</v>
      </c>
      <c r="N250" s="46" t="s">
        <v>16</v>
      </c>
      <c r="O250" s="32" t="s">
        <v>16</v>
      </c>
      <c r="P250" s="33" t="s">
        <v>16</v>
      </c>
      <c r="Q250" s="46" t="s">
        <v>60</v>
      </c>
      <c r="R250" s="32" t="s">
        <v>34</v>
      </c>
      <c r="S250" s="38" t="s">
        <v>55</v>
      </c>
      <c r="T250" s="34" t="s">
        <v>36</v>
      </c>
      <c r="U250" s="13"/>
      <c r="V250" s="13"/>
      <c r="W250" s="13"/>
      <c r="X250" s="13"/>
      <c r="Y250" s="13"/>
      <c r="Z250" s="13"/>
    </row>
    <row r="251" spans="1:26" ht="19.899999999999999" customHeight="1" x14ac:dyDescent="0.25">
      <c r="A251" s="33" t="s">
        <v>1674</v>
      </c>
      <c r="B251" s="56" t="s">
        <v>1631</v>
      </c>
      <c r="C251" s="32" t="s">
        <v>64</v>
      </c>
      <c r="D251" s="33" t="s">
        <v>1632</v>
      </c>
      <c r="E251" s="32" t="s">
        <v>16</v>
      </c>
      <c r="F251" s="34" t="s">
        <v>65</v>
      </c>
      <c r="G251" s="32" t="s">
        <v>16</v>
      </c>
      <c r="H251" s="33" t="s">
        <v>16</v>
      </c>
      <c r="I251" s="46" t="s">
        <v>16</v>
      </c>
      <c r="J251" s="33" t="s">
        <v>59</v>
      </c>
      <c r="K251" s="46" t="s">
        <v>29</v>
      </c>
      <c r="L251" s="41" t="s">
        <v>16</v>
      </c>
      <c r="M251" s="43" t="s">
        <v>1641</v>
      </c>
      <c r="N251" s="46" t="s">
        <v>16</v>
      </c>
      <c r="O251" s="32" t="s">
        <v>16</v>
      </c>
      <c r="P251" s="33" t="s">
        <v>16</v>
      </c>
      <c r="Q251" s="46" t="s">
        <v>60</v>
      </c>
      <c r="R251" s="32" t="s">
        <v>34</v>
      </c>
      <c r="S251" s="38" t="s">
        <v>55</v>
      </c>
      <c r="T251" s="34" t="s">
        <v>36</v>
      </c>
      <c r="U251" s="13"/>
      <c r="V251" s="13"/>
      <c r="W251" s="13"/>
      <c r="X251" s="13"/>
      <c r="Y251" s="13"/>
      <c r="Z251" s="13"/>
    </row>
    <row r="252" spans="1:26" ht="19.899999999999999" customHeight="1" x14ac:dyDescent="0.25">
      <c r="A252" s="33" t="s">
        <v>1675</v>
      </c>
      <c r="B252" s="56" t="s">
        <v>1631</v>
      </c>
      <c r="C252" s="32" t="s">
        <v>64</v>
      </c>
      <c r="D252" s="33" t="s">
        <v>1632</v>
      </c>
      <c r="E252" s="32" t="s">
        <v>16</v>
      </c>
      <c r="F252" s="34" t="s">
        <v>65</v>
      </c>
      <c r="G252" s="32" t="s">
        <v>16</v>
      </c>
      <c r="H252" s="33" t="s">
        <v>16</v>
      </c>
      <c r="I252" s="46" t="s">
        <v>16</v>
      </c>
      <c r="J252" s="33" t="s">
        <v>59</v>
      </c>
      <c r="K252" s="46" t="s">
        <v>29</v>
      </c>
      <c r="L252" s="41" t="s">
        <v>16</v>
      </c>
      <c r="M252" s="43" t="s">
        <v>1641</v>
      </c>
      <c r="N252" s="46" t="s">
        <v>16</v>
      </c>
      <c r="O252" s="32" t="s">
        <v>16</v>
      </c>
      <c r="P252" s="33" t="s">
        <v>16</v>
      </c>
      <c r="Q252" s="46" t="s">
        <v>60</v>
      </c>
      <c r="R252" s="32" t="s">
        <v>34</v>
      </c>
      <c r="S252" s="38" t="s">
        <v>55</v>
      </c>
      <c r="T252" s="34" t="s">
        <v>36</v>
      </c>
      <c r="U252" s="13"/>
      <c r="V252" s="13"/>
      <c r="W252" s="13"/>
      <c r="X252" s="13"/>
      <c r="Y252" s="13"/>
      <c r="Z252" s="13"/>
    </row>
    <row r="253" spans="1:26" ht="19.899999999999999" customHeight="1" x14ac:dyDescent="0.25">
      <c r="A253" s="33" t="s">
        <v>1676</v>
      </c>
      <c r="B253" s="56" t="s">
        <v>1631</v>
      </c>
      <c r="C253" s="32" t="s">
        <v>64</v>
      </c>
      <c r="D253" s="33" t="s">
        <v>1632</v>
      </c>
      <c r="E253" s="32" t="s">
        <v>16</v>
      </c>
      <c r="F253" s="34" t="s">
        <v>65</v>
      </c>
      <c r="G253" s="32" t="s">
        <v>16</v>
      </c>
      <c r="H253" s="33" t="s">
        <v>16</v>
      </c>
      <c r="I253" s="46" t="s">
        <v>16</v>
      </c>
      <c r="J253" s="33" t="s">
        <v>59</v>
      </c>
      <c r="K253" s="46" t="s">
        <v>29</v>
      </c>
      <c r="L253" s="41" t="s">
        <v>16</v>
      </c>
      <c r="M253" s="43" t="s">
        <v>1641</v>
      </c>
      <c r="N253" s="46" t="s">
        <v>16</v>
      </c>
      <c r="O253" s="32" t="s">
        <v>16</v>
      </c>
      <c r="P253" s="33" t="s">
        <v>16</v>
      </c>
      <c r="Q253" s="46" t="s">
        <v>60</v>
      </c>
      <c r="R253" s="32" t="s">
        <v>34</v>
      </c>
      <c r="S253" s="38" t="s">
        <v>55</v>
      </c>
      <c r="T253" s="34" t="s">
        <v>36</v>
      </c>
      <c r="U253" s="13"/>
      <c r="V253" s="13"/>
      <c r="W253" s="13"/>
      <c r="X253" s="13"/>
      <c r="Y253" s="13"/>
      <c r="Z253" s="13"/>
    </row>
    <row r="254" spans="1:26" ht="19.899999999999999" customHeight="1" x14ac:dyDescent="0.25">
      <c r="A254" s="131" t="s">
        <v>1779</v>
      </c>
      <c r="B254" s="75" t="s">
        <v>220</v>
      </c>
      <c r="C254" s="32" t="s">
        <v>84</v>
      </c>
      <c r="D254" s="33" t="s">
        <v>77</v>
      </c>
      <c r="E254" s="41" t="s">
        <v>1740</v>
      </c>
      <c r="F254" s="34" t="s">
        <v>86</v>
      </c>
      <c r="G254" s="39" t="s">
        <v>16</v>
      </c>
      <c r="H254" s="38" t="s">
        <v>16</v>
      </c>
      <c r="I254" s="40" t="s">
        <v>16</v>
      </c>
      <c r="J254" s="33" t="s">
        <v>19</v>
      </c>
      <c r="K254" s="40" t="s">
        <v>87</v>
      </c>
      <c r="L254" s="42" t="s">
        <v>16</v>
      </c>
      <c r="M254" s="43" t="s">
        <v>1780</v>
      </c>
      <c r="N254" s="40" t="s">
        <v>16</v>
      </c>
      <c r="O254" s="39" t="s">
        <v>16</v>
      </c>
      <c r="P254" s="38" t="s">
        <v>16</v>
      </c>
      <c r="Q254" s="40" t="s">
        <v>16</v>
      </c>
      <c r="R254" s="39" t="s">
        <v>54</v>
      </c>
      <c r="S254" s="38" t="s">
        <v>55</v>
      </c>
      <c r="T254" s="44" t="s">
        <v>36</v>
      </c>
      <c r="U254" s="13"/>
      <c r="V254" s="13"/>
      <c r="W254" s="13"/>
      <c r="X254" s="13"/>
      <c r="Y254" s="13"/>
      <c r="Z254" s="13"/>
    </row>
    <row r="255" spans="1:26" ht="19.899999999999999" customHeight="1" x14ac:dyDescent="0.25">
      <c r="A255" s="131" t="s">
        <v>1782</v>
      </c>
      <c r="B255" s="75" t="s">
        <v>220</v>
      </c>
      <c r="C255" s="32" t="s">
        <v>84</v>
      </c>
      <c r="D255" s="33" t="s">
        <v>77</v>
      </c>
      <c r="E255" s="41" t="s">
        <v>1781</v>
      </c>
      <c r="F255" s="34" t="s">
        <v>86</v>
      </c>
      <c r="G255" s="39" t="s">
        <v>16</v>
      </c>
      <c r="H255" s="38" t="s">
        <v>16</v>
      </c>
      <c r="I255" s="40" t="s">
        <v>16</v>
      </c>
      <c r="J255" s="33" t="s">
        <v>19</v>
      </c>
      <c r="K255" s="40" t="s">
        <v>87</v>
      </c>
      <c r="L255" s="42" t="s">
        <v>16</v>
      </c>
      <c r="M255" s="43" t="s">
        <v>1783</v>
      </c>
      <c r="N255" s="40" t="s">
        <v>16</v>
      </c>
      <c r="O255" s="39" t="s">
        <v>16</v>
      </c>
      <c r="P255" s="38" t="s">
        <v>16</v>
      </c>
      <c r="Q255" s="40" t="s">
        <v>16</v>
      </c>
      <c r="R255" s="39" t="s">
        <v>54</v>
      </c>
      <c r="S255" s="38" t="s">
        <v>55</v>
      </c>
      <c r="T255" s="44" t="s">
        <v>36</v>
      </c>
      <c r="U255" s="13"/>
      <c r="V255" s="13"/>
      <c r="W255" s="13"/>
      <c r="X255" s="13"/>
      <c r="Y255" s="13"/>
      <c r="Z255" s="13"/>
    </row>
    <row r="256" spans="1:26" ht="19.899999999999999" customHeight="1" x14ac:dyDescent="0.25">
      <c r="A256" s="68" t="s">
        <v>1784</v>
      </c>
      <c r="B256" s="77" t="s">
        <v>223</v>
      </c>
      <c r="C256" s="32" t="s">
        <v>64</v>
      </c>
      <c r="D256" s="33" t="s">
        <v>89</v>
      </c>
      <c r="E256" s="41" t="s">
        <v>1785</v>
      </c>
      <c r="F256" s="34" t="s">
        <v>86</v>
      </c>
      <c r="G256" s="32" t="s">
        <v>16</v>
      </c>
      <c r="H256" s="33" t="s">
        <v>16</v>
      </c>
      <c r="I256" s="46" t="s">
        <v>16</v>
      </c>
      <c r="J256" s="33" t="s">
        <v>14</v>
      </c>
      <c r="K256" s="46" t="s">
        <v>15</v>
      </c>
      <c r="L256" s="41" t="s">
        <v>16</v>
      </c>
      <c r="M256" s="47" t="s">
        <v>92</v>
      </c>
      <c r="N256" s="46" t="s">
        <v>16</v>
      </c>
      <c r="O256" s="32" t="s">
        <v>16</v>
      </c>
      <c r="P256" s="33" t="s">
        <v>16</v>
      </c>
      <c r="Q256" s="46" t="s">
        <v>57</v>
      </c>
      <c r="R256" s="32" t="s">
        <v>16</v>
      </c>
      <c r="S256" s="33" t="s">
        <v>17</v>
      </c>
      <c r="T256" s="34" t="s">
        <v>36</v>
      </c>
      <c r="U256" s="13"/>
      <c r="V256" s="13"/>
      <c r="W256" s="13"/>
      <c r="X256" s="13"/>
      <c r="Y256" s="13"/>
      <c r="Z256" s="13"/>
    </row>
    <row r="257" spans="1:27" ht="19.899999999999999" customHeight="1" x14ac:dyDescent="0.25">
      <c r="A257" s="68" t="s">
        <v>1786</v>
      </c>
      <c r="B257" s="77" t="s">
        <v>223</v>
      </c>
      <c r="C257" s="32" t="s">
        <v>64</v>
      </c>
      <c r="D257" s="33" t="s">
        <v>89</v>
      </c>
      <c r="E257" s="41" t="s">
        <v>1625</v>
      </c>
      <c r="F257" s="34" t="s">
        <v>86</v>
      </c>
      <c r="G257" s="32" t="s">
        <v>16</v>
      </c>
      <c r="H257" s="33" t="s">
        <v>16</v>
      </c>
      <c r="I257" s="46" t="s">
        <v>16</v>
      </c>
      <c r="J257" s="33" t="s">
        <v>14</v>
      </c>
      <c r="K257" s="46" t="s">
        <v>15</v>
      </c>
      <c r="L257" s="41" t="s">
        <v>16</v>
      </c>
      <c r="M257" s="47" t="s">
        <v>92</v>
      </c>
      <c r="N257" s="46" t="s">
        <v>16</v>
      </c>
      <c r="O257" s="32" t="s">
        <v>16</v>
      </c>
      <c r="P257" s="33" t="s">
        <v>16</v>
      </c>
      <c r="Q257" s="46" t="s">
        <v>57</v>
      </c>
      <c r="R257" s="32" t="s">
        <v>16</v>
      </c>
      <c r="S257" s="33" t="s">
        <v>17</v>
      </c>
      <c r="T257" s="34" t="s">
        <v>36</v>
      </c>
      <c r="U257" s="13"/>
      <c r="V257" s="13"/>
      <c r="W257" s="13"/>
      <c r="X257" s="13"/>
      <c r="Y257" s="13"/>
      <c r="Z257" s="13"/>
    </row>
    <row r="258" spans="1:27" ht="19.899999999999999" customHeight="1" x14ac:dyDescent="0.25">
      <c r="A258" s="74" t="s">
        <v>1787</v>
      </c>
      <c r="B258" s="77" t="s">
        <v>220</v>
      </c>
      <c r="C258" s="32" t="s">
        <v>84</v>
      </c>
      <c r="D258" s="33" t="s">
        <v>77</v>
      </c>
      <c r="E258" s="93" t="s">
        <v>1788</v>
      </c>
      <c r="F258" s="34" t="s">
        <v>72</v>
      </c>
      <c r="G258" s="39" t="s">
        <v>16</v>
      </c>
      <c r="H258" s="38" t="s">
        <v>16</v>
      </c>
      <c r="I258" s="40" t="s">
        <v>16</v>
      </c>
      <c r="J258" s="38" t="s">
        <v>14</v>
      </c>
      <c r="K258" s="40" t="s">
        <v>16</v>
      </c>
      <c r="L258" s="42" t="s">
        <v>16</v>
      </c>
      <c r="M258" s="43" t="s">
        <v>60</v>
      </c>
      <c r="N258" s="40" t="s">
        <v>16</v>
      </c>
      <c r="O258" s="39" t="s">
        <v>16</v>
      </c>
      <c r="P258" s="38" t="s">
        <v>16</v>
      </c>
      <c r="Q258" s="40" t="s">
        <v>16</v>
      </c>
      <c r="R258" s="39" t="s">
        <v>16</v>
      </c>
      <c r="S258" s="38" t="s">
        <v>16</v>
      </c>
      <c r="T258" s="44" t="s">
        <v>36</v>
      </c>
      <c r="U258" s="13"/>
      <c r="V258" s="13"/>
      <c r="W258" s="13"/>
      <c r="X258" s="13"/>
      <c r="Y258" s="13"/>
      <c r="Z258" s="13"/>
    </row>
    <row r="259" spans="1:27" ht="19.899999999999999" customHeight="1" x14ac:dyDescent="0.25">
      <c r="A259" s="74" t="s">
        <v>1789</v>
      </c>
      <c r="B259" s="77" t="s">
        <v>220</v>
      </c>
      <c r="C259" s="32" t="s">
        <v>84</v>
      </c>
      <c r="D259" s="33" t="s">
        <v>77</v>
      </c>
      <c r="E259" s="93" t="s">
        <v>1790</v>
      </c>
      <c r="F259" s="34" t="s">
        <v>72</v>
      </c>
      <c r="G259" s="39" t="s">
        <v>16</v>
      </c>
      <c r="H259" s="38" t="s">
        <v>16</v>
      </c>
      <c r="I259" s="40" t="s">
        <v>16</v>
      </c>
      <c r="J259" s="38" t="s">
        <v>14</v>
      </c>
      <c r="K259" s="40" t="s">
        <v>16</v>
      </c>
      <c r="L259" s="42" t="s">
        <v>16</v>
      </c>
      <c r="M259" s="43" t="s">
        <v>60</v>
      </c>
      <c r="N259" s="40" t="s">
        <v>16</v>
      </c>
      <c r="O259" s="39" t="s">
        <v>16</v>
      </c>
      <c r="P259" s="38" t="s">
        <v>16</v>
      </c>
      <c r="Q259" s="40" t="s">
        <v>16</v>
      </c>
      <c r="R259" s="39" t="s">
        <v>16</v>
      </c>
      <c r="S259" s="38" t="s">
        <v>16</v>
      </c>
      <c r="T259" s="44" t="s">
        <v>36</v>
      </c>
      <c r="U259" s="13"/>
      <c r="V259" s="13"/>
      <c r="W259" s="13"/>
      <c r="X259" s="13"/>
      <c r="Y259" s="13"/>
      <c r="Z259" s="13"/>
    </row>
    <row r="260" spans="1:27" ht="19.899999999999999" customHeight="1" x14ac:dyDescent="0.25">
      <c r="A260" s="33" t="s">
        <v>1791</v>
      </c>
      <c r="B260" s="77" t="s">
        <v>231</v>
      </c>
      <c r="C260" s="32" t="s">
        <v>64</v>
      </c>
      <c r="D260" s="33" t="s">
        <v>232</v>
      </c>
      <c r="E260" s="41" t="s">
        <v>1792</v>
      </c>
      <c r="F260" s="34" t="s">
        <v>75</v>
      </c>
      <c r="G260" s="32" t="s">
        <v>16</v>
      </c>
      <c r="H260" s="33" t="s">
        <v>16</v>
      </c>
      <c r="I260" s="46" t="s">
        <v>16</v>
      </c>
      <c r="J260" s="38" t="s">
        <v>14</v>
      </c>
      <c r="K260" s="46" t="s">
        <v>16</v>
      </c>
      <c r="L260" s="41" t="s">
        <v>16</v>
      </c>
      <c r="M260" s="43" t="s">
        <v>238</v>
      </c>
      <c r="N260" s="46" t="s">
        <v>16</v>
      </c>
      <c r="O260" s="32" t="s">
        <v>16</v>
      </c>
      <c r="P260" s="33" t="s">
        <v>16</v>
      </c>
      <c r="Q260" s="46" t="s">
        <v>16</v>
      </c>
      <c r="R260" s="32" t="s">
        <v>16</v>
      </c>
      <c r="S260" s="38" t="s">
        <v>35</v>
      </c>
      <c r="T260" s="34" t="s">
        <v>36</v>
      </c>
      <c r="U260" s="13"/>
      <c r="V260" s="13"/>
      <c r="W260" s="13"/>
      <c r="X260" s="13"/>
      <c r="Y260" s="13"/>
      <c r="Z260" s="13"/>
    </row>
    <row r="261" spans="1:27" ht="19.899999999999999" customHeight="1" x14ac:dyDescent="0.25">
      <c r="A261" s="33" t="s">
        <v>1793</v>
      </c>
      <c r="B261" s="77" t="s">
        <v>231</v>
      </c>
      <c r="C261" s="32" t="s">
        <v>64</v>
      </c>
      <c r="D261" s="33" t="s">
        <v>232</v>
      </c>
      <c r="E261" s="41" t="s">
        <v>1794</v>
      </c>
      <c r="F261" s="34" t="s">
        <v>75</v>
      </c>
      <c r="G261" s="32" t="s">
        <v>16</v>
      </c>
      <c r="H261" s="33" t="s">
        <v>16</v>
      </c>
      <c r="I261" s="46" t="s">
        <v>16</v>
      </c>
      <c r="J261" s="38" t="s">
        <v>14</v>
      </c>
      <c r="K261" s="46" t="s">
        <v>16</v>
      </c>
      <c r="L261" s="41" t="s">
        <v>16</v>
      </c>
      <c r="M261" s="43" t="s">
        <v>1795</v>
      </c>
      <c r="N261" s="46" t="s">
        <v>16</v>
      </c>
      <c r="O261" s="32" t="s">
        <v>16</v>
      </c>
      <c r="P261" s="33" t="s">
        <v>16</v>
      </c>
      <c r="Q261" s="46" t="s">
        <v>16</v>
      </c>
      <c r="R261" s="32" t="s">
        <v>16</v>
      </c>
      <c r="S261" s="38" t="s">
        <v>35</v>
      </c>
      <c r="T261" s="34" t="s">
        <v>36</v>
      </c>
      <c r="U261" s="13"/>
      <c r="V261" s="13"/>
      <c r="W261" s="13"/>
      <c r="X261" s="13"/>
      <c r="Y261" s="13"/>
      <c r="Z261" s="13"/>
    </row>
    <row r="262" spans="1:27" ht="14.25" customHeight="1" x14ac:dyDescent="0.25">
      <c r="A262" s="13"/>
      <c r="B262" s="13"/>
      <c r="C262" s="13"/>
      <c r="D262" s="13"/>
      <c r="E262" s="13"/>
      <c r="F262" s="13"/>
      <c r="G262" s="13"/>
      <c r="H262" s="13"/>
      <c r="I262" s="13"/>
      <c r="K262" s="13"/>
      <c r="L262" s="13"/>
      <c r="M262" s="13"/>
      <c r="N262" s="13"/>
      <c r="O262" s="13"/>
      <c r="P262" s="13"/>
      <c r="Q262" s="13"/>
      <c r="R262" s="13"/>
      <c r="S262" s="13"/>
      <c r="T262" s="13"/>
      <c r="U262" s="13"/>
      <c r="V262" s="13"/>
      <c r="W262" s="13"/>
      <c r="X262" s="13"/>
      <c r="Y262" s="13"/>
      <c r="Z262" s="13"/>
      <c r="AA262" s="13"/>
    </row>
    <row r="263" spans="1:27" ht="14.25" customHeight="1" x14ac:dyDescent="0.25">
      <c r="A263" s="13"/>
      <c r="B263" s="13"/>
      <c r="C263" s="13"/>
      <c r="D263" s="13"/>
      <c r="E263" s="13"/>
      <c r="F263" s="13"/>
      <c r="G263" s="13"/>
      <c r="H263" s="13"/>
      <c r="I263" s="13"/>
      <c r="K263" s="13"/>
      <c r="L263" s="13"/>
      <c r="M263" s="13"/>
      <c r="N263" s="13"/>
      <c r="O263" s="13"/>
      <c r="P263" s="13"/>
      <c r="Q263" s="13"/>
      <c r="R263" s="13"/>
      <c r="S263" s="13"/>
      <c r="T263" s="13"/>
      <c r="U263" s="13"/>
      <c r="V263" s="13"/>
      <c r="W263" s="13"/>
      <c r="X263" s="13"/>
      <c r="Y263" s="13"/>
      <c r="Z263" s="13"/>
      <c r="AA263" s="13"/>
    </row>
    <row r="264" spans="1:27" ht="14.25" customHeight="1" x14ac:dyDescent="0.25">
      <c r="A264" s="13"/>
      <c r="B264" s="13"/>
      <c r="C264" s="13"/>
      <c r="D264" s="13"/>
      <c r="E264" s="13"/>
      <c r="F264" s="13"/>
      <c r="G264" s="13"/>
      <c r="H264" s="13"/>
      <c r="I264" s="13"/>
      <c r="K264" s="13"/>
      <c r="L264" s="13"/>
      <c r="M264" s="13"/>
      <c r="N264" s="13"/>
      <c r="O264" s="13"/>
      <c r="P264" s="13"/>
      <c r="Q264" s="13"/>
      <c r="R264" s="13"/>
      <c r="S264" s="13"/>
      <c r="T264" s="13"/>
      <c r="U264" s="13"/>
      <c r="V264" s="13"/>
      <c r="W264" s="13"/>
      <c r="X264" s="13"/>
      <c r="Y264" s="13"/>
      <c r="Z264" s="13"/>
      <c r="AA264" s="13"/>
    </row>
    <row r="265" spans="1:27" ht="14.25" customHeight="1" x14ac:dyDescent="0.25">
      <c r="A265" s="13"/>
      <c r="B265" s="13"/>
      <c r="C265" s="13"/>
      <c r="D265" s="13"/>
      <c r="E265" s="13"/>
      <c r="F265" s="13"/>
      <c r="G265" s="13"/>
      <c r="H265" s="13"/>
      <c r="I265" s="13"/>
      <c r="K265" s="13"/>
      <c r="L265" s="13"/>
      <c r="M265" s="13"/>
      <c r="N265" s="13"/>
      <c r="O265" s="13"/>
      <c r="P265" s="13"/>
      <c r="Q265" s="13"/>
      <c r="R265" s="13"/>
      <c r="S265" s="13"/>
      <c r="T265" s="13"/>
      <c r="U265" s="13"/>
      <c r="V265" s="13"/>
      <c r="W265" s="13"/>
      <c r="X265" s="13"/>
      <c r="Y265" s="13"/>
      <c r="Z265" s="13"/>
      <c r="AA265" s="13"/>
    </row>
    <row r="266" spans="1:27" ht="14.25" customHeight="1" x14ac:dyDescent="0.25">
      <c r="A266" s="13"/>
      <c r="B266" s="13"/>
      <c r="C266" s="13"/>
      <c r="D266" s="13"/>
      <c r="E266" s="13"/>
      <c r="F266" s="13"/>
      <c r="G266" s="13"/>
      <c r="H266" s="13"/>
      <c r="I266" s="13"/>
      <c r="K266" s="13"/>
      <c r="L266" s="13"/>
      <c r="M266" s="13"/>
      <c r="N266" s="13"/>
      <c r="O266" s="13"/>
      <c r="P266" s="13"/>
      <c r="Q266" s="13"/>
      <c r="R266" s="13"/>
      <c r="S266" s="13"/>
      <c r="T266" s="13"/>
      <c r="U266" s="13"/>
      <c r="V266" s="13"/>
      <c r="W266" s="13"/>
      <c r="X266" s="13"/>
      <c r="Y266" s="13"/>
      <c r="Z266" s="13"/>
      <c r="AA266" s="13"/>
    </row>
    <row r="267" spans="1:27" ht="14.25" customHeight="1" x14ac:dyDescent="0.25">
      <c r="A267" s="13"/>
      <c r="B267" s="13"/>
      <c r="C267" s="13"/>
      <c r="D267" s="13"/>
      <c r="E267" s="13"/>
      <c r="F267" s="13"/>
      <c r="G267" s="13"/>
      <c r="H267" s="13"/>
      <c r="I267" s="13"/>
      <c r="K267" s="13"/>
      <c r="L267" s="13"/>
      <c r="M267" s="13"/>
      <c r="N267" s="13"/>
      <c r="O267" s="13"/>
      <c r="P267" s="13"/>
      <c r="Q267" s="13"/>
      <c r="R267" s="13"/>
      <c r="S267" s="13"/>
      <c r="T267" s="13"/>
      <c r="U267" s="13"/>
      <c r="V267" s="13"/>
      <c r="W267" s="13"/>
      <c r="X267" s="13"/>
      <c r="Y267" s="13"/>
      <c r="Z267" s="13"/>
      <c r="AA267" s="13"/>
    </row>
    <row r="268" spans="1:27" ht="14.25" customHeight="1" x14ac:dyDescent="0.25">
      <c r="A268" s="13"/>
      <c r="B268" s="13"/>
      <c r="C268" s="13"/>
      <c r="D268" s="13"/>
      <c r="E268" s="13"/>
      <c r="F268" s="13"/>
      <c r="G268" s="13"/>
      <c r="H268" s="13"/>
      <c r="I268" s="13"/>
      <c r="K268" s="13"/>
      <c r="L268" s="13"/>
      <c r="M268" s="13"/>
      <c r="N268" s="13"/>
      <c r="O268" s="13"/>
      <c r="P268" s="13"/>
      <c r="Q268" s="13"/>
      <c r="R268" s="13"/>
      <c r="S268" s="13"/>
      <c r="T268" s="13"/>
      <c r="U268" s="13"/>
      <c r="V268" s="13"/>
      <c r="W268" s="13"/>
      <c r="X268" s="13"/>
      <c r="Y268" s="13"/>
      <c r="Z268" s="13"/>
      <c r="AA268" s="13"/>
    </row>
    <row r="269" spans="1:27" ht="14.25" customHeight="1" x14ac:dyDescent="0.25">
      <c r="A269" s="13"/>
      <c r="B269" s="13"/>
      <c r="C269" s="13"/>
      <c r="D269" s="13"/>
      <c r="E269" s="13"/>
      <c r="F269" s="13"/>
      <c r="G269" s="13"/>
      <c r="H269" s="13"/>
      <c r="I269" s="13"/>
      <c r="K269" s="13"/>
      <c r="L269" s="13"/>
      <c r="M269" s="13"/>
      <c r="N269" s="13"/>
      <c r="O269" s="13"/>
      <c r="P269" s="13"/>
      <c r="Q269" s="13"/>
      <c r="R269" s="13"/>
      <c r="S269" s="13"/>
      <c r="T269" s="13"/>
      <c r="U269" s="13"/>
      <c r="V269" s="13"/>
      <c r="W269" s="13"/>
      <c r="X269" s="13"/>
      <c r="Y269" s="13"/>
      <c r="Z269" s="13"/>
      <c r="AA269" s="13"/>
    </row>
    <row r="270" spans="1:27" ht="14.25" customHeight="1" x14ac:dyDescent="0.25">
      <c r="A270" s="13"/>
      <c r="B270" s="13"/>
      <c r="C270" s="13"/>
      <c r="D270" s="13"/>
      <c r="E270" s="13"/>
      <c r="F270" s="13"/>
      <c r="G270" s="13"/>
      <c r="H270" s="13"/>
      <c r="I270" s="13"/>
      <c r="K270" s="13"/>
      <c r="L270" s="13"/>
      <c r="M270" s="13"/>
      <c r="N270" s="13"/>
      <c r="O270" s="13"/>
      <c r="P270" s="13"/>
      <c r="Q270" s="13"/>
      <c r="R270" s="13"/>
      <c r="S270" s="13"/>
      <c r="T270" s="13"/>
      <c r="U270" s="13"/>
      <c r="V270" s="13"/>
      <c r="W270" s="13"/>
      <c r="X270" s="13"/>
      <c r="Y270" s="13"/>
      <c r="Z270" s="13"/>
      <c r="AA270" s="13"/>
    </row>
    <row r="271" spans="1:27" ht="14.25" customHeight="1" x14ac:dyDescent="0.25">
      <c r="A271" s="13"/>
      <c r="B271" s="13"/>
      <c r="C271" s="13"/>
      <c r="D271" s="13"/>
      <c r="E271" s="13"/>
      <c r="F271" s="13"/>
      <c r="G271" s="13"/>
      <c r="H271" s="13"/>
      <c r="I271" s="13"/>
      <c r="K271" s="13"/>
      <c r="L271" s="13"/>
      <c r="M271" s="13"/>
      <c r="N271" s="13"/>
      <c r="O271" s="13"/>
      <c r="P271" s="13"/>
      <c r="Q271" s="13"/>
      <c r="R271" s="13"/>
      <c r="S271" s="13"/>
      <c r="T271" s="13"/>
      <c r="U271" s="13"/>
      <c r="V271" s="13"/>
      <c r="W271" s="13"/>
      <c r="X271" s="13"/>
      <c r="Y271" s="13"/>
      <c r="Z271" s="13"/>
      <c r="AA271" s="13"/>
    </row>
    <row r="272" spans="1:27" ht="14.25" customHeight="1" x14ac:dyDescent="0.25">
      <c r="A272" s="13"/>
      <c r="B272" s="13"/>
      <c r="C272" s="13"/>
      <c r="D272" s="13"/>
      <c r="E272" s="13"/>
      <c r="F272" s="13"/>
      <c r="G272" s="13"/>
      <c r="H272" s="13"/>
      <c r="I272" s="13"/>
      <c r="K272" s="13"/>
      <c r="L272" s="13"/>
      <c r="M272" s="13"/>
      <c r="N272" s="13"/>
      <c r="O272" s="13"/>
      <c r="P272" s="13"/>
      <c r="Q272" s="13"/>
      <c r="R272" s="13"/>
      <c r="S272" s="13"/>
      <c r="T272" s="13"/>
      <c r="U272" s="13"/>
      <c r="V272" s="13"/>
      <c r="W272" s="13"/>
      <c r="X272" s="13"/>
      <c r="Y272" s="13"/>
      <c r="Z272" s="13"/>
      <c r="AA272" s="13"/>
    </row>
    <row r="273" spans="1:27" ht="14.25" customHeight="1" x14ac:dyDescent="0.25">
      <c r="A273" s="13"/>
      <c r="B273" s="13"/>
      <c r="C273" s="13"/>
      <c r="D273" s="13"/>
      <c r="E273" s="13"/>
      <c r="F273" s="13"/>
      <c r="G273" s="13"/>
      <c r="H273" s="13"/>
      <c r="I273" s="13"/>
      <c r="K273" s="13"/>
      <c r="L273" s="13"/>
      <c r="M273" s="13"/>
      <c r="N273" s="13"/>
      <c r="O273" s="13"/>
      <c r="P273" s="13"/>
      <c r="Q273" s="13"/>
      <c r="R273" s="13"/>
      <c r="S273" s="13"/>
      <c r="T273" s="13"/>
      <c r="U273" s="13"/>
      <c r="V273" s="13"/>
      <c r="W273" s="13"/>
      <c r="X273" s="13"/>
      <c r="Y273" s="13"/>
      <c r="Z273" s="13"/>
      <c r="AA273" s="13"/>
    </row>
    <row r="274" spans="1:27" ht="19.899999999999999" customHeight="1" x14ac:dyDescent="0.25">
      <c r="A274" s="38" t="s">
        <v>1504</v>
      </c>
      <c r="B274" s="72" t="s">
        <v>218</v>
      </c>
      <c r="C274" s="32" t="s">
        <v>64</v>
      </c>
      <c r="D274" s="33" t="s">
        <v>1485</v>
      </c>
      <c r="E274" s="39" t="s">
        <v>16</v>
      </c>
      <c r="F274" s="34" t="s">
        <v>65</v>
      </c>
      <c r="G274" s="39" t="s">
        <v>16</v>
      </c>
      <c r="H274" s="38" t="s">
        <v>16</v>
      </c>
      <c r="I274" s="40" t="s">
        <v>16</v>
      </c>
      <c r="J274" s="38" t="s">
        <v>59</v>
      </c>
      <c r="K274" s="40" t="s">
        <v>15</v>
      </c>
      <c r="L274" s="42" t="s">
        <v>16</v>
      </c>
      <c r="M274" s="49" t="s">
        <v>74</v>
      </c>
      <c r="N274" s="40">
        <v>1</v>
      </c>
      <c r="O274" s="39" t="s">
        <v>16</v>
      </c>
      <c r="P274" s="43" t="s">
        <v>282</v>
      </c>
      <c r="Q274" s="40" t="s">
        <v>16</v>
      </c>
      <c r="R274" s="39" t="s">
        <v>34</v>
      </c>
      <c r="S274" s="38" t="s">
        <v>55</v>
      </c>
      <c r="T274" s="44" t="s">
        <v>36</v>
      </c>
      <c r="U274" s="45"/>
      <c r="V274" s="45"/>
      <c r="W274" s="45"/>
      <c r="X274" s="45"/>
      <c r="Y274" s="45"/>
      <c r="Z274" s="45"/>
    </row>
    <row r="275" spans="1:27" ht="14.25" customHeight="1" x14ac:dyDescent="0.25">
      <c r="A275" s="13"/>
      <c r="B275" s="13"/>
      <c r="C275" s="13"/>
      <c r="D275" s="13"/>
      <c r="E275" s="13"/>
      <c r="F275" s="13"/>
      <c r="G275" s="13"/>
      <c r="H275" s="13"/>
      <c r="I275" s="13"/>
      <c r="K275" s="13"/>
      <c r="L275" s="13"/>
      <c r="M275" s="13"/>
      <c r="N275" s="13"/>
      <c r="O275" s="13"/>
      <c r="P275" s="13"/>
      <c r="Q275" s="13"/>
      <c r="R275" s="13"/>
      <c r="S275" s="13"/>
      <c r="T275" s="13"/>
      <c r="U275" s="13"/>
      <c r="V275" s="13"/>
      <c r="W275" s="13"/>
      <c r="X275" s="13"/>
      <c r="Y275" s="13"/>
      <c r="Z275" s="13"/>
      <c r="AA275" s="13"/>
    </row>
    <row r="276" spans="1:27" ht="14.25" customHeight="1" x14ac:dyDescent="0.25">
      <c r="A276" s="13"/>
      <c r="B276" s="13"/>
      <c r="C276" s="13"/>
      <c r="D276" s="13"/>
      <c r="E276" s="13"/>
      <c r="F276" s="13"/>
      <c r="G276" s="13"/>
      <c r="H276" s="13"/>
      <c r="I276" s="13"/>
      <c r="K276" s="13"/>
      <c r="L276" s="13"/>
      <c r="M276" s="13"/>
      <c r="N276" s="13"/>
      <c r="O276" s="13"/>
      <c r="P276" s="13"/>
      <c r="Q276" s="13"/>
      <c r="R276" s="13"/>
      <c r="S276" s="13"/>
      <c r="T276" s="13"/>
      <c r="U276" s="13"/>
      <c r="V276" s="13"/>
      <c r="W276" s="13"/>
      <c r="X276" s="13"/>
      <c r="Y276" s="13"/>
      <c r="Z276" s="13"/>
      <c r="AA276" s="13"/>
    </row>
    <row r="277" spans="1:27" ht="14.25" customHeight="1" x14ac:dyDescent="0.25">
      <c r="A277" s="13"/>
      <c r="B277" s="13"/>
      <c r="C277" s="13"/>
      <c r="D277" s="13"/>
      <c r="E277" s="13"/>
      <c r="F277" s="13"/>
      <c r="G277" s="13"/>
      <c r="H277" s="13"/>
      <c r="I277" s="13"/>
      <c r="K277" s="13"/>
      <c r="L277" s="13"/>
      <c r="M277" s="13"/>
      <c r="N277" s="13"/>
      <c r="O277" s="13"/>
      <c r="P277" s="13"/>
      <c r="Q277" s="13"/>
      <c r="R277" s="13"/>
      <c r="S277" s="13"/>
      <c r="T277" s="13"/>
      <c r="U277" s="13"/>
      <c r="V277" s="13"/>
      <c r="W277" s="13"/>
      <c r="X277" s="13"/>
      <c r="Y277" s="13"/>
      <c r="Z277" s="13"/>
      <c r="AA277" s="13"/>
    </row>
    <row r="278" spans="1:27" ht="14.25" customHeight="1" x14ac:dyDescent="0.25">
      <c r="A278" s="13"/>
      <c r="B278" s="13"/>
      <c r="C278" s="13"/>
      <c r="D278" s="13"/>
      <c r="E278" s="13"/>
      <c r="F278" s="13"/>
      <c r="G278" s="13"/>
      <c r="H278" s="13"/>
      <c r="I278" s="13"/>
      <c r="K278" s="13"/>
      <c r="L278" s="13"/>
      <c r="M278" s="13"/>
      <c r="N278" s="13"/>
      <c r="O278" s="13"/>
      <c r="P278" s="13"/>
      <c r="Q278" s="13"/>
      <c r="R278" s="13"/>
      <c r="S278" s="13"/>
      <c r="T278" s="13"/>
      <c r="U278" s="13"/>
      <c r="V278" s="13"/>
      <c r="W278" s="13"/>
      <c r="X278" s="13"/>
      <c r="Y278" s="13"/>
      <c r="Z278" s="13"/>
      <c r="AA278" s="13"/>
    </row>
    <row r="279" spans="1:27" ht="14.25" customHeight="1" x14ac:dyDescent="0.25">
      <c r="A279" s="13"/>
      <c r="B279" s="13"/>
      <c r="C279" s="13"/>
      <c r="D279" s="13"/>
      <c r="E279" s="13"/>
      <c r="F279" s="13"/>
      <c r="G279" s="13"/>
      <c r="H279" s="13"/>
      <c r="I279" s="13"/>
      <c r="K279" s="13"/>
      <c r="L279" s="13"/>
      <c r="M279" s="13"/>
      <c r="N279" s="13"/>
      <c r="O279" s="13"/>
      <c r="P279" s="13"/>
      <c r="Q279" s="13"/>
      <c r="R279" s="13"/>
      <c r="S279" s="13"/>
      <c r="T279" s="13"/>
      <c r="U279" s="13"/>
      <c r="V279" s="13"/>
      <c r="W279" s="13"/>
      <c r="X279" s="13"/>
      <c r="Y279" s="13"/>
      <c r="Z279" s="13"/>
      <c r="AA279" s="13"/>
    </row>
    <row r="280" spans="1:27" ht="14.25" customHeight="1" x14ac:dyDescent="0.25">
      <c r="A280" s="13"/>
      <c r="B280" s="13"/>
      <c r="C280" s="13"/>
      <c r="D280" s="13"/>
      <c r="E280" s="13"/>
      <c r="F280" s="13"/>
      <c r="G280" s="13"/>
      <c r="H280" s="13"/>
      <c r="I280" s="13"/>
      <c r="K280" s="13"/>
      <c r="L280" s="13"/>
      <c r="M280" s="13"/>
      <c r="N280" s="13"/>
      <c r="O280" s="13"/>
      <c r="P280" s="13"/>
      <c r="Q280" s="13"/>
      <c r="R280" s="13"/>
      <c r="S280" s="13"/>
      <c r="T280" s="13"/>
      <c r="U280" s="13"/>
      <c r="V280" s="13"/>
      <c r="W280" s="13"/>
      <c r="X280" s="13"/>
      <c r="Y280" s="13"/>
      <c r="Z280" s="13"/>
      <c r="AA280" s="13"/>
    </row>
    <row r="281" spans="1:27" ht="14.25" customHeight="1" x14ac:dyDescent="0.25">
      <c r="A281" s="13"/>
      <c r="B281" s="13"/>
      <c r="C281" s="13"/>
      <c r="D281" s="13"/>
      <c r="E281" s="13"/>
      <c r="F281" s="13"/>
      <c r="G281" s="13"/>
      <c r="H281" s="13"/>
      <c r="I281" s="13"/>
      <c r="K281" s="13"/>
      <c r="L281" s="13"/>
      <c r="M281" s="13"/>
      <c r="N281" s="13"/>
      <c r="O281" s="13"/>
      <c r="P281" s="13"/>
      <c r="Q281" s="13"/>
      <c r="R281" s="13"/>
      <c r="S281" s="13"/>
      <c r="T281" s="13"/>
      <c r="U281" s="13"/>
      <c r="V281" s="13"/>
      <c r="W281" s="13"/>
      <c r="X281" s="13"/>
      <c r="Y281" s="13"/>
      <c r="Z281" s="13"/>
      <c r="AA281" s="13"/>
    </row>
    <row r="282" spans="1:27" ht="14.25" customHeight="1" x14ac:dyDescent="0.25">
      <c r="A282" s="13"/>
      <c r="B282" s="13"/>
      <c r="C282" s="13"/>
      <c r="D282" s="13"/>
      <c r="E282" s="13"/>
      <c r="F282" s="13"/>
      <c r="G282" s="13"/>
      <c r="H282" s="13"/>
      <c r="I282" s="13"/>
      <c r="K282" s="13"/>
      <c r="L282" s="13"/>
      <c r="M282" s="13"/>
      <c r="N282" s="13"/>
      <c r="O282" s="13"/>
      <c r="P282" s="13"/>
      <c r="Q282" s="13"/>
      <c r="R282" s="13"/>
      <c r="S282" s="13"/>
      <c r="T282" s="13"/>
      <c r="U282" s="13"/>
      <c r="V282" s="13"/>
      <c r="W282" s="13"/>
      <c r="X282" s="13"/>
      <c r="Y282" s="13"/>
      <c r="Z282" s="13"/>
      <c r="AA282" s="13"/>
    </row>
    <row r="283" spans="1:27" ht="14.25" customHeight="1" x14ac:dyDescent="0.25">
      <c r="A283" s="13"/>
      <c r="B283" s="13"/>
      <c r="C283" s="13"/>
      <c r="D283" s="13"/>
      <c r="E283" s="13"/>
      <c r="F283" s="13"/>
      <c r="G283" s="13"/>
      <c r="H283" s="13"/>
      <c r="I283" s="13"/>
      <c r="K283" s="13"/>
      <c r="L283" s="13"/>
      <c r="M283" s="13"/>
      <c r="N283" s="13"/>
      <c r="O283" s="13"/>
      <c r="P283" s="13"/>
      <c r="Q283" s="13"/>
      <c r="R283" s="13"/>
      <c r="S283" s="13"/>
      <c r="T283" s="13"/>
      <c r="U283" s="13"/>
      <c r="V283" s="13"/>
      <c r="W283" s="13"/>
      <c r="X283" s="13"/>
      <c r="Y283" s="13"/>
      <c r="Z283" s="13"/>
      <c r="AA283" s="13"/>
    </row>
    <row r="284" spans="1:27" ht="14.25" customHeight="1" x14ac:dyDescent="0.25">
      <c r="A284" s="13"/>
      <c r="B284" s="13"/>
      <c r="C284" s="13"/>
      <c r="D284" s="13"/>
      <c r="E284" s="13"/>
      <c r="F284" s="13"/>
      <c r="G284" s="13"/>
      <c r="H284" s="13"/>
      <c r="I284" s="13"/>
      <c r="K284" s="13"/>
      <c r="L284" s="13"/>
      <c r="M284" s="13"/>
      <c r="N284" s="13"/>
      <c r="O284" s="13"/>
      <c r="P284" s="13"/>
      <c r="Q284" s="13"/>
      <c r="R284" s="13"/>
      <c r="S284" s="13"/>
      <c r="T284" s="13"/>
      <c r="U284" s="13"/>
      <c r="V284" s="13"/>
      <c r="W284" s="13"/>
      <c r="X284" s="13"/>
      <c r="Y284" s="13"/>
      <c r="Z284" s="13"/>
      <c r="AA284" s="13"/>
    </row>
    <row r="285" spans="1:27" ht="14.25" customHeight="1" x14ac:dyDescent="0.25">
      <c r="A285" s="13"/>
      <c r="B285" s="13"/>
      <c r="C285" s="13"/>
      <c r="D285" s="13"/>
      <c r="E285" s="13"/>
      <c r="F285" s="13"/>
      <c r="G285" s="13"/>
      <c r="H285" s="13"/>
      <c r="I285" s="13"/>
      <c r="K285" s="13"/>
      <c r="L285" s="13"/>
      <c r="M285" s="13"/>
      <c r="N285" s="13"/>
      <c r="O285" s="13"/>
      <c r="P285" s="13"/>
      <c r="Q285" s="13"/>
      <c r="R285" s="13"/>
      <c r="S285" s="13"/>
      <c r="T285" s="13"/>
      <c r="U285" s="13"/>
      <c r="V285" s="13"/>
      <c r="W285" s="13"/>
      <c r="X285" s="13"/>
      <c r="Y285" s="13"/>
      <c r="Z285" s="13"/>
      <c r="AA285" s="13"/>
    </row>
    <row r="286" spans="1:27" ht="15.75" customHeight="1" x14ac:dyDescent="0.25">
      <c r="A286" s="133"/>
      <c r="B286" s="133"/>
      <c r="C286" s="133"/>
      <c r="D286" s="133"/>
      <c r="E286" s="133"/>
      <c r="F286" s="133"/>
      <c r="G286" s="133"/>
      <c r="H286" s="133"/>
      <c r="I286" s="133"/>
      <c r="K286" s="133"/>
      <c r="L286" s="133"/>
      <c r="M286" s="133"/>
      <c r="N286" s="133"/>
      <c r="O286" s="133"/>
      <c r="P286" s="133"/>
      <c r="Q286" s="133"/>
      <c r="R286" s="133"/>
      <c r="S286" s="133"/>
      <c r="T286" s="133"/>
      <c r="U286" s="133"/>
      <c r="V286" s="133"/>
      <c r="W286" s="133"/>
      <c r="X286" s="133"/>
      <c r="Y286" s="133"/>
      <c r="Z286" s="133"/>
      <c r="AA286" s="133"/>
    </row>
    <row r="287" spans="1:27" ht="15.75" customHeight="1" x14ac:dyDescent="0.25">
      <c r="A287" s="133"/>
      <c r="B287" s="133"/>
      <c r="C287" s="133"/>
      <c r="D287" s="133"/>
      <c r="E287" s="133"/>
      <c r="F287" s="133"/>
      <c r="G287" s="133"/>
      <c r="H287" s="133"/>
      <c r="I287" s="133"/>
      <c r="K287" s="133"/>
      <c r="L287" s="133"/>
      <c r="M287" s="133"/>
      <c r="N287" s="133"/>
      <c r="O287" s="133"/>
      <c r="P287" s="133"/>
      <c r="Q287" s="133"/>
      <c r="R287" s="133"/>
      <c r="S287" s="133"/>
      <c r="T287" s="133"/>
      <c r="U287" s="133"/>
      <c r="V287" s="133"/>
      <c r="W287" s="133"/>
      <c r="X287" s="133"/>
      <c r="Y287" s="133"/>
      <c r="Z287" s="133"/>
      <c r="AA287" s="133"/>
    </row>
    <row r="288" spans="1:27" ht="15.75" customHeight="1" x14ac:dyDescent="0.25">
      <c r="A288" s="133"/>
      <c r="B288" s="133"/>
      <c r="C288" s="133"/>
      <c r="D288" s="133"/>
      <c r="E288" s="133"/>
      <c r="F288" s="133"/>
      <c r="G288" s="133"/>
      <c r="H288" s="133"/>
      <c r="I288" s="133"/>
      <c r="K288" s="133"/>
      <c r="L288" s="133"/>
      <c r="M288" s="133"/>
      <c r="N288" s="133"/>
      <c r="O288" s="133"/>
      <c r="P288" s="133"/>
      <c r="Q288" s="133"/>
      <c r="R288" s="133"/>
      <c r="S288" s="133"/>
      <c r="T288" s="133"/>
      <c r="U288" s="133"/>
      <c r="V288" s="133"/>
      <c r="W288" s="133"/>
      <c r="X288" s="133"/>
      <c r="Y288" s="133"/>
      <c r="Z288" s="133"/>
      <c r="AA288" s="133"/>
    </row>
    <row r="289" spans="1:27" ht="15.75" customHeight="1" x14ac:dyDescent="0.25">
      <c r="A289" s="133"/>
      <c r="B289" s="133"/>
      <c r="C289" s="133"/>
      <c r="D289" s="133"/>
      <c r="E289" s="133"/>
      <c r="F289" s="133"/>
      <c r="G289" s="133"/>
      <c r="H289" s="133"/>
      <c r="I289" s="133"/>
      <c r="K289" s="133"/>
      <c r="L289" s="133"/>
      <c r="M289" s="133"/>
      <c r="N289" s="133"/>
      <c r="O289" s="133"/>
      <c r="P289" s="133"/>
      <c r="Q289" s="133"/>
      <c r="R289" s="133"/>
      <c r="S289" s="133"/>
      <c r="T289" s="133"/>
      <c r="U289" s="133"/>
      <c r="V289" s="133"/>
      <c r="W289" s="133"/>
      <c r="X289" s="133"/>
      <c r="Y289" s="133"/>
      <c r="Z289" s="133"/>
      <c r="AA289" s="133"/>
    </row>
    <row r="290" spans="1:27" ht="15.75" customHeight="1" x14ac:dyDescent="0.25">
      <c r="A290" s="133"/>
      <c r="B290" s="133"/>
      <c r="C290" s="133"/>
      <c r="D290" s="133"/>
      <c r="E290" s="133"/>
      <c r="F290" s="133"/>
      <c r="G290" s="133"/>
      <c r="H290" s="133"/>
      <c r="I290" s="133"/>
      <c r="K290" s="133"/>
      <c r="L290" s="133"/>
      <c r="M290" s="133"/>
      <c r="N290" s="133"/>
      <c r="O290" s="133"/>
      <c r="P290" s="133"/>
      <c r="Q290" s="133"/>
      <c r="R290" s="133"/>
      <c r="S290" s="133"/>
      <c r="T290" s="133"/>
      <c r="U290" s="133"/>
      <c r="V290" s="133"/>
      <c r="W290" s="133"/>
      <c r="X290" s="133"/>
      <c r="Y290" s="133"/>
      <c r="Z290" s="133"/>
      <c r="AA290" s="133"/>
    </row>
    <row r="291" spans="1:27" ht="15.75" customHeight="1" x14ac:dyDescent="0.25">
      <c r="A291" s="133"/>
      <c r="B291" s="133"/>
      <c r="C291" s="133"/>
      <c r="D291" s="133"/>
      <c r="E291" s="133"/>
      <c r="F291" s="133"/>
      <c r="G291" s="133"/>
      <c r="H291" s="133"/>
      <c r="I291" s="133"/>
      <c r="K291" s="133"/>
      <c r="L291" s="133"/>
      <c r="M291" s="133"/>
      <c r="N291" s="133"/>
      <c r="O291" s="133"/>
      <c r="P291" s="133"/>
      <c r="Q291" s="133"/>
      <c r="R291" s="133"/>
      <c r="S291" s="133"/>
      <c r="T291" s="133"/>
      <c r="U291" s="133"/>
      <c r="V291" s="133"/>
      <c r="W291" s="133"/>
      <c r="X291" s="133"/>
      <c r="Y291" s="133"/>
      <c r="Z291" s="133"/>
      <c r="AA291" s="133"/>
    </row>
    <row r="292" spans="1:27" ht="15.75" customHeight="1" x14ac:dyDescent="0.25">
      <c r="A292" s="133"/>
      <c r="B292" s="133"/>
      <c r="C292" s="133"/>
      <c r="D292" s="133"/>
      <c r="E292" s="133"/>
      <c r="F292" s="133"/>
      <c r="G292" s="133"/>
      <c r="H292" s="133"/>
      <c r="I292" s="133"/>
      <c r="K292" s="133"/>
      <c r="L292" s="133"/>
      <c r="M292" s="133"/>
      <c r="N292" s="133"/>
      <c r="O292" s="133"/>
      <c r="P292" s="133"/>
      <c r="Q292" s="133"/>
      <c r="R292" s="133"/>
      <c r="S292" s="133"/>
      <c r="T292" s="133"/>
      <c r="U292" s="133"/>
      <c r="V292" s="133"/>
      <c r="W292" s="133"/>
      <c r="X292" s="133"/>
      <c r="Y292" s="133"/>
      <c r="Z292" s="133"/>
      <c r="AA292" s="133"/>
    </row>
    <row r="293" spans="1:27" ht="15.75" customHeight="1" x14ac:dyDescent="0.25">
      <c r="A293" s="133"/>
      <c r="B293" s="133"/>
      <c r="C293" s="133"/>
      <c r="D293" s="133"/>
      <c r="E293" s="133"/>
      <c r="F293" s="133"/>
      <c r="G293" s="133"/>
      <c r="H293" s="133"/>
      <c r="I293" s="133"/>
      <c r="K293" s="133"/>
      <c r="L293" s="133"/>
      <c r="M293" s="133"/>
      <c r="N293" s="133"/>
      <c r="O293" s="133"/>
      <c r="P293" s="133"/>
      <c r="Q293" s="133"/>
      <c r="R293" s="133"/>
      <c r="S293" s="133"/>
      <c r="T293" s="133"/>
      <c r="U293" s="133"/>
      <c r="V293" s="133"/>
      <c r="W293" s="133"/>
      <c r="X293" s="133"/>
      <c r="Y293" s="133"/>
      <c r="Z293" s="133"/>
      <c r="AA293" s="133"/>
    </row>
    <row r="294" spans="1:27" ht="15.75" customHeight="1" x14ac:dyDescent="0.25">
      <c r="A294" s="133"/>
      <c r="B294" s="133"/>
      <c r="C294" s="133"/>
      <c r="D294" s="133"/>
      <c r="E294" s="133"/>
      <c r="F294" s="133"/>
      <c r="G294" s="133"/>
      <c r="H294" s="133"/>
      <c r="I294" s="133"/>
      <c r="K294" s="133"/>
      <c r="L294" s="133"/>
      <c r="M294" s="133"/>
      <c r="N294" s="133"/>
      <c r="O294" s="133"/>
      <c r="P294" s="133"/>
      <c r="Q294" s="133"/>
      <c r="R294" s="133"/>
      <c r="S294" s="133"/>
      <c r="T294" s="133"/>
      <c r="U294" s="133"/>
      <c r="V294" s="133"/>
      <c r="W294" s="133"/>
      <c r="X294" s="133"/>
      <c r="Y294" s="133"/>
      <c r="Z294" s="133"/>
      <c r="AA294" s="133"/>
    </row>
    <row r="295" spans="1:27" ht="15.75" customHeight="1" x14ac:dyDescent="0.25">
      <c r="A295" s="133"/>
      <c r="B295" s="133"/>
      <c r="C295" s="133"/>
      <c r="D295" s="133"/>
      <c r="E295" s="133"/>
      <c r="F295" s="133"/>
      <c r="G295" s="133"/>
      <c r="H295" s="133"/>
      <c r="I295" s="133"/>
      <c r="K295" s="133"/>
      <c r="L295" s="133"/>
      <c r="M295" s="133"/>
      <c r="N295" s="133"/>
      <c r="O295" s="133"/>
      <c r="P295" s="133"/>
      <c r="Q295" s="133"/>
      <c r="R295" s="133"/>
      <c r="S295" s="133"/>
      <c r="T295" s="133"/>
      <c r="U295" s="133"/>
      <c r="V295" s="133"/>
      <c r="W295" s="133"/>
      <c r="X295" s="133"/>
      <c r="Y295" s="133"/>
      <c r="Z295" s="133"/>
      <c r="AA295" s="133"/>
    </row>
    <row r="296" spans="1:27" ht="15.75" customHeight="1" x14ac:dyDescent="0.25">
      <c r="A296" s="133"/>
      <c r="B296" s="133"/>
      <c r="C296" s="133"/>
      <c r="D296" s="133"/>
      <c r="E296" s="133"/>
      <c r="F296" s="133"/>
      <c r="G296" s="133"/>
      <c r="H296" s="133"/>
      <c r="I296" s="133"/>
      <c r="K296" s="133"/>
      <c r="L296" s="133"/>
      <c r="M296" s="133"/>
      <c r="N296" s="133"/>
      <c r="O296" s="133"/>
      <c r="P296" s="133"/>
      <c r="Q296" s="133"/>
      <c r="R296" s="133"/>
      <c r="S296" s="133"/>
      <c r="T296" s="133"/>
      <c r="U296" s="133"/>
      <c r="V296" s="133"/>
      <c r="W296" s="133"/>
      <c r="X296" s="133"/>
      <c r="Y296" s="133"/>
      <c r="Z296" s="133"/>
      <c r="AA296" s="133"/>
    </row>
    <row r="297" spans="1:27" ht="15.75" customHeight="1" x14ac:dyDescent="0.25">
      <c r="A297" s="133"/>
      <c r="B297" s="133"/>
      <c r="C297" s="133"/>
      <c r="D297" s="133"/>
      <c r="E297" s="133"/>
      <c r="F297" s="133"/>
      <c r="G297" s="133"/>
      <c r="H297" s="133"/>
      <c r="I297" s="133"/>
      <c r="K297" s="133"/>
      <c r="L297" s="133"/>
      <c r="M297" s="133"/>
      <c r="N297" s="133"/>
      <c r="O297" s="133"/>
      <c r="P297" s="133"/>
      <c r="Q297" s="133"/>
      <c r="R297" s="133"/>
      <c r="S297" s="133"/>
      <c r="T297" s="133"/>
      <c r="U297" s="133"/>
      <c r="V297" s="133"/>
      <c r="W297" s="133"/>
      <c r="X297" s="133"/>
      <c r="Y297" s="133"/>
      <c r="Z297" s="133"/>
      <c r="AA297" s="133"/>
    </row>
    <row r="298" spans="1:27" ht="15.75" customHeight="1" x14ac:dyDescent="0.25">
      <c r="A298" s="133"/>
      <c r="B298" s="133"/>
      <c r="C298" s="133"/>
      <c r="D298" s="133"/>
      <c r="E298" s="133"/>
      <c r="F298" s="133"/>
      <c r="G298" s="133"/>
      <c r="H298" s="133"/>
      <c r="I298" s="133"/>
      <c r="K298" s="133"/>
      <c r="L298" s="133"/>
      <c r="M298" s="133"/>
      <c r="N298" s="133"/>
      <c r="O298" s="133"/>
      <c r="P298" s="133"/>
      <c r="Q298" s="133"/>
      <c r="R298" s="133"/>
      <c r="S298" s="133"/>
      <c r="T298" s="133"/>
      <c r="U298" s="133"/>
      <c r="V298" s="133"/>
      <c r="W298" s="133"/>
      <c r="X298" s="133"/>
      <c r="Y298" s="133"/>
      <c r="Z298" s="133"/>
      <c r="AA298" s="133"/>
    </row>
    <row r="299" spans="1:27" ht="15.75" customHeight="1" x14ac:dyDescent="0.25">
      <c r="A299" s="133"/>
      <c r="B299" s="133"/>
      <c r="C299" s="133"/>
      <c r="D299" s="133"/>
      <c r="E299" s="133"/>
      <c r="F299" s="133"/>
      <c r="G299" s="133"/>
      <c r="H299" s="133"/>
      <c r="I299" s="133"/>
      <c r="K299" s="133"/>
      <c r="L299" s="133"/>
      <c r="M299" s="133"/>
      <c r="N299" s="133"/>
      <c r="O299" s="133"/>
      <c r="P299" s="133"/>
      <c r="Q299" s="133"/>
      <c r="R299" s="133"/>
      <c r="S299" s="133"/>
      <c r="T299" s="133"/>
      <c r="U299" s="133"/>
      <c r="V299" s="133"/>
      <c r="W299" s="133"/>
      <c r="X299" s="133"/>
      <c r="Y299" s="133"/>
      <c r="Z299" s="133"/>
      <c r="AA299" s="133"/>
    </row>
    <row r="300" spans="1:27" ht="15.75" customHeight="1" x14ac:dyDescent="0.25">
      <c r="A300" s="133"/>
      <c r="B300" s="133"/>
      <c r="C300" s="133"/>
      <c r="D300" s="133"/>
      <c r="E300" s="133"/>
      <c r="F300" s="133"/>
      <c r="G300" s="133"/>
      <c r="H300" s="133"/>
      <c r="I300" s="133"/>
      <c r="K300" s="133"/>
      <c r="L300" s="133"/>
      <c r="M300" s="133"/>
      <c r="N300" s="133"/>
      <c r="O300" s="133"/>
      <c r="P300" s="133"/>
      <c r="Q300" s="133"/>
      <c r="R300" s="133"/>
      <c r="S300" s="133"/>
      <c r="T300" s="133"/>
      <c r="U300" s="133"/>
      <c r="V300" s="133"/>
      <c r="W300" s="133"/>
      <c r="X300" s="133"/>
      <c r="Y300" s="133"/>
      <c r="Z300" s="133"/>
      <c r="AA300" s="133"/>
    </row>
    <row r="301" spans="1:27" ht="15.75" customHeight="1" x14ac:dyDescent="0.25">
      <c r="A301" s="133"/>
      <c r="B301" s="133"/>
      <c r="C301" s="133"/>
      <c r="D301" s="133"/>
      <c r="E301" s="133"/>
      <c r="F301" s="133"/>
      <c r="G301" s="133"/>
      <c r="H301" s="133"/>
      <c r="I301" s="133"/>
      <c r="K301" s="133"/>
      <c r="L301" s="133"/>
      <c r="M301" s="133"/>
      <c r="N301" s="133"/>
      <c r="O301" s="133"/>
      <c r="P301" s="133"/>
      <c r="Q301" s="133"/>
      <c r="R301" s="133"/>
      <c r="S301" s="133"/>
      <c r="T301" s="133"/>
      <c r="U301" s="133"/>
      <c r="V301" s="133"/>
      <c r="W301" s="133"/>
      <c r="X301" s="133"/>
      <c r="Y301" s="133"/>
      <c r="Z301" s="133"/>
      <c r="AA301" s="133"/>
    </row>
    <row r="302" spans="1:27" ht="15.75" customHeight="1" x14ac:dyDescent="0.25">
      <c r="A302" s="133"/>
      <c r="B302" s="133"/>
      <c r="C302" s="133"/>
      <c r="D302" s="133"/>
      <c r="E302" s="133"/>
      <c r="F302" s="133"/>
      <c r="G302" s="133"/>
      <c r="H302" s="133"/>
      <c r="I302" s="133"/>
      <c r="K302" s="133"/>
      <c r="L302" s="133"/>
      <c r="M302" s="133"/>
      <c r="N302" s="133"/>
      <c r="O302" s="133"/>
      <c r="P302" s="133"/>
      <c r="Q302" s="133"/>
      <c r="R302" s="133"/>
      <c r="S302" s="133"/>
      <c r="T302" s="133"/>
      <c r="U302" s="133"/>
      <c r="V302" s="133"/>
      <c r="W302" s="133"/>
      <c r="X302" s="133"/>
      <c r="Y302" s="133"/>
      <c r="Z302" s="133"/>
      <c r="AA302" s="133"/>
    </row>
    <row r="303" spans="1:27" ht="15.75" customHeight="1" x14ac:dyDescent="0.25">
      <c r="A303" s="133"/>
      <c r="B303" s="133"/>
      <c r="C303" s="133"/>
      <c r="D303" s="133"/>
      <c r="E303" s="133"/>
      <c r="F303" s="133"/>
      <c r="G303" s="133"/>
      <c r="H303" s="133"/>
      <c r="I303" s="133"/>
      <c r="K303" s="133"/>
      <c r="L303" s="133"/>
      <c r="M303" s="133"/>
      <c r="N303" s="133"/>
      <c r="O303" s="133"/>
      <c r="P303" s="133"/>
      <c r="Q303" s="133"/>
      <c r="R303" s="133"/>
      <c r="S303" s="133"/>
      <c r="T303" s="133"/>
      <c r="U303" s="133"/>
      <c r="V303" s="133"/>
      <c r="W303" s="133"/>
      <c r="X303" s="133"/>
      <c r="Y303" s="133"/>
      <c r="Z303" s="133"/>
      <c r="AA303" s="133"/>
    </row>
    <row r="304" spans="1:27" ht="15.75" customHeight="1" x14ac:dyDescent="0.25">
      <c r="A304" s="133"/>
      <c r="B304" s="133"/>
      <c r="C304" s="133"/>
      <c r="D304" s="133"/>
      <c r="E304" s="133"/>
      <c r="F304" s="133"/>
      <c r="G304" s="133"/>
      <c r="H304" s="133"/>
      <c r="I304" s="133"/>
      <c r="K304" s="133"/>
      <c r="L304" s="133"/>
      <c r="M304" s="133"/>
      <c r="N304" s="133"/>
      <c r="O304" s="133"/>
      <c r="P304" s="133"/>
      <c r="Q304" s="133"/>
      <c r="R304" s="133"/>
      <c r="S304" s="133"/>
      <c r="T304" s="133"/>
      <c r="U304" s="133"/>
      <c r="V304" s="133"/>
      <c r="W304" s="133"/>
      <c r="X304" s="133"/>
      <c r="Y304" s="133"/>
      <c r="Z304" s="133"/>
      <c r="AA304" s="133"/>
    </row>
    <row r="305" spans="1:27" ht="15.75" customHeight="1" x14ac:dyDescent="0.25">
      <c r="A305" s="133"/>
      <c r="B305" s="133"/>
      <c r="C305" s="133"/>
      <c r="D305" s="133"/>
      <c r="E305" s="133"/>
      <c r="F305" s="133"/>
      <c r="G305" s="133"/>
      <c r="H305" s="133"/>
      <c r="I305" s="133"/>
      <c r="K305" s="133"/>
      <c r="L305" s="133"/>
      <c r="M305" s="133"/>
      <c r="N305" s="133"/>
      <c r="O305" s="133"/>
      <c r="P305" s="133"/>
      <c r="Q305" s="133"/>
      <c r="R305" s="133"/>
      <c r="S305" s="133"/>
      <c r="T305" s="133"/>
      <c r="U305" s="133"/>
      <c r="V305" s="133"/>
      <c r="W305" s="133"/>
      <c r="X305" s="133"/>
      <c r="Y305" s="133"/>
      <c r="Z305" s="133"/>
      <c r="AA305" s="133"/>
    </row>
    <row r="306" spans="1:27" ht="15.75" customHeight="1" x14ac:dyDescent="0.25">
      <c r="A306" s="133"/>
      <c r="B306" s="133"/>
      <c r="C306" s="133"/>
      <c r="D306" s="133"/>
      <c r="E306" s="133"/>
      <c r="F306" s="133"/>
      <c r="G306" s="133"/>
      <c r="H306" s="133"/>
      <c r="I306" s="133"/>
      <c r="K306" s="133"/>
      <c r="L306" s="133"/>
      <c r="M306" s="133"/>
      <c r="N306" s="133"/>
      <c r="O306" s="133"/>
      <c r="P306" s="133"/>
      <c r="Q306" s="133"/>
      <c r="R306" s="133"/>
      <c r="S306" s="133"/>
      <c r="T306" s="133"/>
      <c r="U306" s="133"/>
      <c r="V306" s="133"/>
      <c r="W306" s="133"/>
      <c r="X306" s="133"/>
      <c r="Y306" s="133"/>
      <c r="Z306" s="133"/>
      <c r="AA306" s="133"/>
    </row>
    <row r="307" spans="1:27" ht="15.75" customHeight="1" x14ac:dyDescent="0.25">
      <c r="A307" s="133"/>
      <c r="B307" s="133"/>
      <c r="C307" s="133"/>
      <c r="D307" s="133"/>
      <c r="E307" s="133"/>
      <c r="F307" s="133"/>
      <c r="G307" s="133"/>
      <c r="H307" s="133"/>
      <c r="I307" s="133"/>
      <c r="K307" s="133"/>
      <c r="L307" s="133"/>
      <c r="M307" s="133"/>
      <c r="N307" s="133"/>
      <c r="O307" s="133"/>
      <c r="P307" s="133"/>
      <c r="Q307" s="133"/>
      <c r="R307" s="133"/>
      <c r="S307" s="133"/>
      <c r="T307" s="133"/>
      <c r="U307" s="133"/>
      <c r="V307" s="133"/>
      <c r="W307" s="133"/>
      <c r="X307" s="133"/>
      <c r="Y307" s="133"/>
      <c r="Z307" s="133"/>
      <c r="AA307" s="133"/>
    </row>
    <row r="308" spans="1:27" ht="15.75" customHeight="1" x14ac:dyDescent="0.25">
      <c r="A308" s="133"/>
      <c r="B308" s="133"/>
      <c r="C308" s="133"/>
      <c r="D308" s="133"/>
      <c r="E308" s="133"/>
      <c r="F308" s="133"/>
      <c r="G308" s="133"/>
      <c r="H308" s="133"/>
      <c r="I308" s="133"/>
      <c r="K308" s="133"/>
      <c r="L308" s="133"/>
      <c r="M308" s="133"/>
      <c r="N308" s="133"/>
      <c r="O308" s="133"/>
      <c r="P308" s="133"/>
      <c r="Q308" s="133"/>
      <c r="R308" s="133"/>
      <c r="S308" s="133"/>
      <c r="T308" s="133"/>
      <c r="U308" s="133"/>
      <c r="V308" s="133"/>
      <c r="W308" s="133"/>
      <c r="X308" s="133"/>
      <c r="Y308" s="133"/>
      <c r="Z308" s="133"/>
      <c r="AA308" s="133"/>
    </row>
    <row r="309" spans="1:27" ht="15.75" customHeight="1" x14ac:dyDescent="0.25">
      <c r="A309" s="133"/>
      <c r="B309" s="133"/>
      <c r="C309" s="133"/>
      <c r="D309" s="133"/>
      <c r="E309" s="133"/>
      <c r="F309" s="133"/>
      <c r="G309" s="133"/>
      <c r="H309" s="133"/>
      <c r="I309" s="133"/>
      <c r="K309" s="133"/>
      <c r="L309" s="133"/>
      <c r="M309" s="133"/>
      <c r="N309" s="133"/>
      <c r="O309" s="133"/>
      <c r="P309" s="133"/>
      <c r="Q309" s="133"/>
      <c r="R309" s="133"/>
      <c r="S309" s="133"/>
      <c r="T309" s="133"/>
      <c r="U309" s="133"/>
      <c r="V309" s="133"/>
      <c r="W309" s="133"/>
      <c r="X309" s="133"/>
      <c r="Y309" s="133"/>
      <c r="Z309" s="133"/>
      <c r="AA309" s="133"/>
    </row>
    <row r="310" spans="1:27" ht="15.75" customHeight="1" x14ac:dyDescent="0.25">
      <c r="A310" s="133"/>
      <c r="B310" s="133"/>
      <c r="C310" s="133"/>
      <c r="D310" s="133"/>
      <c r="E310" s="133"/>
      <c r="F310" s="133"/>
      <c r="G310" s="133"/>
      <c r="H310" s="133"/>
      <c r="I310" s="133"/>
      <c r="K310" s="133"/>
      <c r="L310" s="133"/>
      <c r="M310" s="133"/>
      <c r="N310" s="133"/>
      <c r="O310" s="133"/>
      <c r="P310" s="133"/>
      <c r="Q310" s="133"/>
      <c r="R310" s="133"/>
      <c r="S310" s="133"/>
      <c r="T310" s="133"/>
      <c r="U310" s="133"/>
      <c r="V310" s="133"/>
      <c r="W310" s="133"/>
      <c r="X310" s="133"/>
      <c r="Y310" s="133"/>
      <c r="Z310" s="133"/>
      <c r="AA310" s="133"/>
    </row>
    <row r="311" spans="1:27" ht="15.75" customHeight="1" x14ac:dyDescent="0.25">
      <c r="A311" s="133"/>
      <c r="B311" s="133"/>
      <c r="C311" s="133"/>
      <c r="D311" s="133"/>
      <c r="E311" s="133"/>
      <c r="F311" s="133"/>
      <c r="G311" s="133"/>
      <c r="H311" s="133"/>
      <c r="I311" s="133"/>
      <c r="K311" s="133"/>
      <c r="L311" s="133"/>
      <c r="M311" s="133"/>
      <c r="N311" s="133"/>
      <c r="O311" s="133"/>
      <c r="P311" s="133"/>
      <c r="Q311" s="133"/>
      <c r="R311" s="133"/>
      <c r="S311" s="133"/>
      <c r="T311" s="133"/>
      <c r="U311" s="133"/>
      <c r="V311" s="133"/>
      <c r="W311" s="133"/>
      <c r="X311" s="133"/>
      <c r="Y311" s="133"/>
      <c r="Z311" s="133"/>
      <c r="AA311" s="133"/>
    </row>
    <row r="312" spans="1:27" ht="15.75" customHeight="1" x14ac:dyDescent="0.25">
      <c r="A312" s="133"/>
      <c r="B312" s="133"/>
      <c r="C312" s="133"/>
      <c r="D312" s="133"/>
      <c r="E312" s="133"/>
      <c r="F312" s="133"/>
      <c r="G312" s="133"/>
      <c r="H312" s="133"/>
      <c r="I312" s="133"/>
      <c r="K312" s="133"/>
      <c r="L312" s="133"/>
      <c r="M312" s="133"/>
      <c r="N312" s="133"/>
      <c r="O312" s="133"/>
      <c r="P312" s="133"/>
      <c r="Q312" s="133"/>
      <c r="R312" s="133"/>
      <c r="S312" s="133"/>
      <c r="T312" s="133"/>
      <c r="U312" s="133"/>
      <c r="V312" s="133"/>
      <c r="W312" s="133"/>
      <c r="X312" s="133"/>
      <c r="Y312" s="133"/>
      <c r="Z312" s="133"/>
      <c r="AA312" s="133"/>
    </row>
    <row r="313" spans="1:27" ht="15.75" customHeight="1" x14ac:dyDescent="0.25">
      <c r="A313" s="133"/>
      <c r="B313" s="133"/>
      <c r="C313" s="133"/>
      <c r="D313" s="133"/>
      <c r="E313" s="133"/>
      <c r="F313" s="133"/>
      <c r="G313" s="133"/>
      <c r="H313" s="133"/>
      <c r="I313" s="133"/>
      <c r="K313" s="133"/>
      <c r="L313" s="133"/>
      <c r="M313" s="133"/>
      <c r="N313" s="133"/>
      <c r="O313" s="133"/>
      <c r="P313" s="133"/>
      <c r="Q313" s="133"/>
      <c r="R313" s="133"/>
      <c r="S313" s="133"/>
      <c r="T313" s="133"/>
      <c r="U313" s="133"/>
      <c r="V313" s="133"/>
      <c r="W313" s="133"/>
      <c r="X313" s="133"/>
      <c r="Y313" s="133"/>
      <c r="Z313" s="133"/>
      <c r="AA313" s="133"/>
    </row>
    <row r="314" spans="1:27" ht="15.75" customHeight="1" x14ac:dyDescent="0.25">
      <c r="A314" s="133"/>
      <c r="B314" s="133"/>
      <c r="C314" s="133"/>
      <c r="D314" s="133"/>
      <c r="E314" s="133"/>
      <c r="F314" s="133"/>
      <c r="G314" s="133"/>
      <c r="H314" s="133"/>
      <c r="I314" s="133"/>
      <c r="K314" s="133"/>
      <c r="L314" s="133"/>
      <c r="M314" s="133"/>
      <c r="N314" s="133"/>
      <c r="O314" s="133"/>
      <c r="P314" s="133"/>
      <c r="Q314" s="133"/>
      <c r="R314" s="133"/>
      <c r="S314" s="133"/>
      <c r="T314" s="133"/>
      <c r="U314" s="133"/>
      <c r="V314" s="133"/>
      <c r="W314" s="133"/>
      <c r="X314" s="133"/>
      <c r="Y314" s="133"/>
      <c r="Z314" s="133"/>
      <c r="AA314" s="133"/>
    </row>
    <row r="315" spans="1:27" ht="15.75" customHeight="1" x14ac:dyDescent="0.25">
      <c r="A315" s="133"/>
      <c r="B315" s="133"/>
      <c r="C315" s="133"/>
      <c r="D315" s="133"/>
      <c r="E315" s="133"/>
      <c r="F315" s="133"/>
      <c r="G315" s="133"/>
      <c r="H315" s="133"/>
      <c r="I315" s="133"/>
      <c r="K315" s="133"/>
      <c r="L315" s="133"/>
      <c r="M315" s="133"/>
      <c r="N315" s="133"/>
      <c r="O315" s="133"/>
      <c r="P315" s="133"/>
      <c r="Q315" s="133"/>
      <c r="R315" s="133"/>
      <c r="S315" s="133"/>
      <c r="T315" s="133"/>
      <c r="U315" s="133"/>
      <c r="V315" s="133"/>
      <c r="W315" s="133"/>
      <c r="X315" s="133"/>
      <c r="Y315" s="133"/>
      <c r="Z315" s="133"/>
      <c r="AA315" s="133"/>
    </row>
    <row r="316" spans="1:27" ht="15.75" customHeight="1" x14ac:dyDescent="0.25">
      <c r="A316" s="133"/>
      <c r="B316" s="133"/>
      <c r="C316" s="133"/>
      <c r="D316" s="133"/>
      <c r="E316" s="133"/>
      <c r="F316" s="133"/>
      <c r="G316" s="133"/>
      <c r="H316" s="133"/>
      <c r="I316" s="133"/>
      <c r="K316" s="133"/>
      <c r="L316" s="133"/>
      <c r="M316" s="133"/>
      <c r="N316" s="133"/>
      <c r="O316" s="133"/>
      <c r="P316" s="133"/>
      <c r="Q316" s="133"/>
      <c r="R316" s="133"/>
      <c r="S316" s="133"/>
      <c r="T316" s="133"/>
      <c r="U316" s="133"/>
      <c r="V316" s="133"/>
      <c r="W316" s="133"/>
      <c r="X316" s="133"/>
      <c r="Y316" s="133"/>
      <c r="Z316" s="133"/>
      <c r="AA316" s="133"/>
    </row>
    <row r="317" spans="1:27" ht="15.75" customHeight="1" x14ac:dyDescent="0.25">
      <c r="A317" s="133"/>
      <c r="B317" s="133"/>
      <c r="C317" s="133"/>
      <c r="D317" s="133"/>
      <c r="E317" s="133"/>
      <c r="F317" s="133"/>
      <c r="G317" s="133"/>
      <c r="H317" s="133"/>
      <c r="I317" s="133"/>
      <c r="K317" s="133"/>
      <c r="L317" s="133"/>
      <c r="M317" s="133"/>
      <c r="N317" s="133"/>
      <c r="O317" s="133"/>
      <c r="P317" s="133"/>
      <c r="Q317" s="133"/>
      <c r="R317" s="133"/>
      <c r="S317" s="133"/>
      <c r="T317" s="133"/>
      <c r="U317" s="133"/>
      <c r="V317" s="133"/>
      <c r="W317" s="133"/>
      <c r="X317" s="133"/>
      <c r="Y317" s="133"/>
      <c r="Z317" s="133"/>
      <c r="AA317" s="133"/>
    </row>
    <row r="318" spans="1:27" ht="15.75" customHeight="1" x14ac:dyDescent="0.25">
      <c r="A318" s="133"/>
      <c r="B318" s="133"/>
      <c r="C318" s="133"/>
      <c r="D318" s="133"/>
      <c r="E318" s="133"/>
      <c r="F318" s="133"/>
      <c r="G318" s="133"/>
      <c r="H318" s="133"/>
      <c r="I318" s="133"/>
      <c r="K318" s="133"/>
      <c r="L318" s="133"/>
      <c r="M318" s="133"/>
      <c r="N318" s="133"/>
      <c r="O318" s="133"/>
      <c r="P318" s="133"/>
      <c r="Q318" s="133"/>
      <c r="R318" s="133"/>
      <c r="S318" s="133"/>
      <c r="T318" s="133"/>
      <c r="U318" s="133"/>
      <c r="V318" s="133"/>
      <c r="W318" s="133"/>
      <c r="X318" s="133"/>
      <c r="Y318" s="133"/>
      <c r="Z318" s="133"/>
      <c r="AA318" s="133"/>
    </row>
    <row r="319" spans="1:27" ht="15.75" customHeight="1" x14ac:dyDescent="0.25">
      <c r="A319" s="133"/>
      <c r="B319" s="133"/>
      <c r="C319" s="133"/>
      <c r="D319" s="133"/>
      <c r="E319" s="133"/>
      <c r="F319" s="133"/>
      <c r="G319" s="133"/>
      <c r="H319" s="133"/>
      <c r="I319" s="133"/>
      <c r="K319" s="133"/>
      <c r="L319" s="133"/>
      <c r="M319" s="133"/>
      <c r="N319" s="133"/>
      <c r="O319" s="133"/>
      <c r="P319" s="133"/>
      <c r="Q319" s="133"/>
      <c r="R319" s="133"/>
      <c r="S319" s="133"/>
      <c r="T319" s="133"/>
      <c r="U319" s="133"/>
      <c r="V319" s="133"/>
      <c r="W319" s="133"/>
      <c r="X319" s="133"/>
      <c r="Y319" s="133"/>
      <c r="Z319" s="133"/>
      <c r="AA319" s="133"/>
    </row>
    <row r="320" spans="1:27" ht="15.75" customHeight="1" x14ac:dyDescent="0.25">
      <c r="A320" s="133"/>
      <c r="B320" s="133"/>
      <c r="C320" s="133"/>
      <c r="D320" s="133"/>
      <c r="E320" s="133"/>
      <c r="F320" s="133"/>
      <c r="G320" s="133"/>
      <c r="H320" s="133"/>
      <c r="I320" s="133"/>
      <c r="K320" s="133"/>
      <c r="L320" s="133"/>
      <c r="M320" s="133"/>
      <c r="N320" s="133"/>
      <c r="O320" s="133"/>
      <c r="P320" s="133"/>
      <c r="Q320" s="133"/>
      <c r="R320" s="133"/>
      <c r="S320" s="133"/>
      <c r="T320" s="133"/>
      <c r="U320" s="133"/>
      <c r="V320" s="133"/>
      <c r="W320" s="133"/>
      <c r="X320" s="133"/>
      <c r="Y320" s="133"/>
      <c r="Z320" s="133"/>
      <c r="AA320" s="133"/>
    </row>
    <row r="321" spans="1:27" ht="15.75" customHeight="1" x14ac:dyDescent="0.25">
      <c r="A321" s="133"/>
      <c r="B321" s="133"/>
      <c r="C321" s="133"/>
      <c r="D321" s="133"/>
      <c r="E321" s="133"/>
      <c r="F321" s="133"/>
      <c r="G321" s="133"/>
      <c r="H321" s="133"/>
      <c r="I321" s="133"/>
      <c r="K321" s="133"/>
      <c r="L321" s="133"/>
      <c r="M321" s="133"/>
      <c r="N321" s="133"/>
      <c r="O321" s="133"/>
      <c r="P321" s="133"/>
      <c r="Q321" s="133"/>
      <c r="R321" s="133"/>
      <c r="S321" s="133"/>
      <c r="T321" s="133"/>
      <c r="U321" s="133"/>
      <c r="V321" s="133"/>
      <c r="W321" s="133"/>
      <c r="X321" s="133"/>
      <c r="Y321" s="133"/>
      <c r="Z321" s="133"/>
      <c r="AA321" s="133"/>
    </row>
    <row r="322" spans="1:27" ht="15.75" customHeight="1" x14ac:dyDescent="0.25">
      <c r="A322" s="133"/>
      <c r="B322" s="133"/>
      <c r="C322" s="133"/>
      <c r="D322" s="133"/>
      <c r="E322" s="133"/>
      <c r="F322" s="133"/>
      <c r="G322" s="133"/>
      <c r="H322" s="133"/>
      <c r="I322" s="133"/>
      <c r="K322" s="133"/>
      <c r="L322" s="133"/>
      <c r="M322" s="133"/>
      <c r="N322" s="133"/>
      <c r="O322" s="133"/>
      <c r="P322" s="133"/>
      <c r="Q322" s="133"/>
      <c r="R322" s="133"/>
      <c r="S322" s="133"/>
      <c r="T322" s="133"/>
      <c r="U322" s="133"/>
      <c r="V322" s="133"/>
      <c r="W322" s="133"/>
      <c r="X322" s="133"/>
      <c r="Y322" s="133"/>
      <c r="Z322" s="133"/>
      <c r="AA322" s="133"/>
    </row>
    <row r="323" spans="1:27" ht="15.75" customHeight="1" x14ac:dyDescent="0.25">
      <c r="A323" s="133"/>
      <c r="B323" s="133"/>
      <c r="C323" s="133"/>
      <c r="D323" s="133"/>
      <c r="E323" s="133"/>
      <c r="F323" s="133"/>
      <c r="G323" s="133"/>
      <c r="H323" s="133"/>
      <c r="I323" s="133"/>
      <c r="K323" s="133"/>
      <c r="L323" s="133"/>
      <c r="M323" s="133"/>
      <c r="N323" s="133"/>
      <c r="O323" s="133"/>
      <c r="P323" s="133"/>
      <c r="Q323" s="133"/>
      <c r="R323" s="133"/>
      <c r="S323" s="133"/>
      <c r="T323" s="133"/>
      <c r="U323" s="133"/>
      <c r="V323" s="133"/>
      <c r="W323" s="133"/>
      <c r="X323" s="133"/>
      <c r="Y323" s="133"/>
      <c r="Z323" s="133"/>
      <c r="AA323" s="133"/>
    </row>
    <row r="324" spans="1:27" ht="15.75" customHeight="1" x14ac:dyDescent="0.25">
      <c r="A324" s="133"/>
      <c r="B324" s="133"/>
      <c r="C324" s="133"/>
      <c r="D324" s="133"/>
      <c r="E324" s="133"/>
      <c r="F324" s="133"/>
      <c r="G324" s="133"/>
      <c r="H324" s="133"/>
      <c r="I324" s="133"/>
      <c r="K324" s="133"/>
      <c r="L324" s="133"/>
      <c r="M324" s="133"/>
      <c r="N324" s="133"/>
      <c r="O324" s="133"/>
      <c r="P324" s="133"/>
      <c r="Q324" s="133"/>
      <c r="R324" s="133"/>
      <c r="S324" s="133"/>
      <c r="T324" s="133"/>
      <c r="U324" s="133"/>
      <c r="V324" s="133"/>
      <c r="W324" s="133"/>
      <c r="X324" s="133"/>
      <c r="Y324" s="133"/>
      <c r="Z324" s="133"/>
      <c r="AA324" s="133"/>
    </row>
    <row r="325" spans="1:27" ht="15.75" customHeight="1" x14ac:dyDescent="0.25">
      <c r="A325" s="133"/>
      <c r="B325" s="133"/>
      <c r="C325" s="133"/>
      <c r="D325" s="133"/>
      <c r="E325" s="133"/>
      <c r="F325" s="133"/>
      <c r="G325" s="133"/>
      <c r="H325" s="133"/>
      <c r="I325" s="133"/>
      <c r="K325" s="133"/>
      <c r="L325" s="133"/>
      <c r="M325" s="133"/>
      <c r="N325" s="133"/>
      <c r="O325" s="133"/>
      <c r="P325" s="133"/>
      <c r="Q325" s="133"/>
      <c r="R325" s="133"/>
      <c r="S325" s="133"/>
      <c r="T325" s="133"/>
      <c r="U325" s="133"/>
      <c r="V325" s="133"/>
      <c r="W325" s="133"/>
      <c r="X325" s="133"/>
      <c r="Y325" s="133"/>
      <c r="Z325" s="133"/>
      <c r="AA325" s="133"/>
    </row>
    <row r="326" spans="1:27" ht="15.75" customHeight="1" x14ac:dyDescent="0.25">
      <c r="A326" s="133"/>
      <c r="B326" s="133"/>
      <c r="C326" s="133"/>
      <c r="D326" s="133"/>
      <c r="E326" s="133"/>
      <c r="F326" s="133"/>
      <c r="G326" s="133"/>
      <c r="H326" s="133"/>
      <c r="I326" s="133"/>
      <c r="K326" s="133"/>
      <c r="L326" s="133"/>
      <c r="M326" s="133"/>
      <c r="N326" s="133"/>
      <c r="O326" s="133"/>
      <c r="P326" s="133"/>
      <c r="Q326" s="133"/>
      <c r="R326" s="133"/>
      <c r="S326" s="133"/>
      <c r="T326" s="133"/>
      <c r="U326" s="133"/>
      <c r="V326" s="133"/>
      <c r="W326" s="133"/>
      <c r="X326" s="133"/>
      <c r="Y326" s="133"/>
      <c r="Z326" s="133"/>
      <c r="AA326" s="133"/>
    </row>
    <row r="327" spans="1:27" ht="15.75" customHeight="1" x14ac:dyDescent="0.25">
      <c r="A327" s="133"/>
      <c r="B327" s="133"/>
      <c r="C327" s="133"/>
      <c r="D327" s="133"/>
      <c r="E327" s="133"/>
      <c r="F327" s="133"/>
      <c r="G327" s="133"/>
      <c r="H327" s="133"/>
      <c r="I327" s="133"/>
      <c r="K327" s="133"/>
      <c r="L327" s="133"/>
      <c r="M327" s="133"/>
      <c r="N327" s="133"/>
      <c r="O327" s="133"/>
      <c r="P327" s="133"/>
      <c r="Q327" s="133"/>
      <c r="R327" s="133"/>
      <c r="S327" s="133"/>
      <c r="T327" s="133"/>
      <c r="U327" s="133"/>
      <c r="V327" s="133"/>
      <c r="W327" s="133"/>
      <c r="X327" s="133"/>
      <c r="Y327" s="133"/>
      <c r="Z327" s="133"/>
      <c r="AA327" s="133"/>
    </row>
    <row r="328" spans="1:27" ht="15.75" customHeight="1" x14ac:dyDescent="0.25">
      <c r="A328" s="133"/>
      <c r="B328" s="133"/>
      <c r="C328" s="133"/>
      <c r="D328" s="133"/>
      <c r="E328" s="133"/>
      <c r="F328" s="133"/>
      <c r="G328" s="133"/>
      <c r="H328" s="133"/>
      <c r="I328" s="133"/>
      <c r="K328" s="133"/>
      <c r="L328" s="133"/>
      <c r="M328" s="133"/>
      <c r="N328" s="133"/>
      <c r="O328" s="133"/>
      <c r="P328" s="133"/>
      <c r="Q328" s="133"/>
      <c r="R328" s="133"/>
      <c r="S328" s="133"/>
      <c r="T328" s="133"/>
      <c r="U328" s="133"/>
      <c r="V328" s="133"/>
      <c r="W328" s="133"/>
      <c r="X328" s="133"/>
      <c r="Y328" s="133"/>
      <c r="Z328" s="133"/>
      <c r="AA328" s="133"/>
    </row>
    <row r="329" spans="1:27" ht="15.75" customHeight="1" x14ac:dyDescent="0.25">
      <c r="A329" s="133"/>
      <c r="B329" s="133"/>
      <c r="C329" s="133"/>
      <c r="D329" s="133"/>
      <c r="E329" s="133"/>
      <c r="F329" s="133"/>
      <c r="G329" s="133"/>
      <c r="H329" s="133"/>
      <c r="I329" s="133"/>
      <c r="K329" s="133"/>
      <c r="L329" s="133"/>
      <c r="M329" s="133"/>
      <c r="N329" s="133"/>
      <c r="O329" s="133"/>
      <c r="P329" s="133"/>
      <c r="Q329" s="133"/>
      <c r="R329" s="133"/>
      <c r="S329" s="133"/>
      <c r="T329" s="133"/>
      <c r="U329" s="133"/>
      <c r="V329" s="133"/>
      <c r="W329" s="133"/>
      <c r="X329" s="133"/>
      <c r="Y329" s="133"/>
      <c r="Z329" s="133"/>
      <c r="AA329" s="133"/>
    </row>
    <row r="330" spans="1:27" ht="15.75" customHeight="1" x14ac:dyDescent="0.25">
      <c r="A330" s="133"/>
      <c r="B330" s="133"/>
      <c r="C330" s="133"/>
      <c r="D330" s="133"/>
      <c r="E330" s="133"/>
      <c r="F330" s="133"/>
      <c r="G330" s="133"/>
      <c r="H330" s="133"/>
      <c r="I330" s="133"/>
      <c r="K330" s="133"/>
      <c r="L330" s="133"/>
      <c r="M330" s="133"/>
      <c r="N330" s="133"/>
      <c r="O330" s="133"/>
      <c r="P330" s="133"/>
      <c r="Q330" s="133"/>
      <c r="R330" s="133"/>
      <c r="S330" s="133"/>
      <c r="T330" s="133"/>
      <c r="U330" s="133"/>
      <c r="V330" s="133"/>
      <c r="W330" s="133"/>
      <c r="X330" s="133"/>
      <c r="Y330" s="133"/>
      <c r="Z330" s="133"/>
      <c r="AA330" s="133"/>
    </row>
    <row r="331" spans="1:27" ht="15.75" customHeight="1" x14ac:dyDescent="0.25">
      <c r="A331" s="133"/>
      <c r="B331" s="133"/>
      <c r="C331" s="133"/>
      <c r="D331" s="133"/>
      <c r="E331" s="133"/>
      <c r="F331" s="133"/>
      <c r="G331" s="133"/>
      <c r="H331" s="133"/>
      <c r="I331" s="133"/>
      <c r="K331" s="133"/>
      <c r="L331" s="133"/>
      <c r="M331" s="133"/>
      <c r="N331" s="133"/>
      <c r="O331" s="133"/>
      <c r="P331" s="133"/>
      <c r="Q331" s="133"/>
      <c r="R331" s="133"/>
      <c r="S331" s="133"/>
      <c r="T331" s="133"/>
      <c r="U331" s="133"/>
      <c r="V331" s="133"/>
      <c r="W331" s="133"/>
      <c r="X331" s="133"/>
      <c r="Y331" s="133"/>
      <c r="Z331" s="133"/>
      <c r="AA331" s="133"/>
    </row>
    <row r="332" spans="1:27" ht="15.75" customHeight="1" x14ac:dyDescent="0.25">
      <c r="A332" s="133"/>
      <c r="B332" s="133"/>
      <c r="C332" s="133"/>
      <c r="D332" s="133"/>
      <c r="E332" s="133"/>
      <c r="F332" s="133"/>
      <c r="G332" s="133"/>
      <c r="H332" s="133"/>
      <c r="I332" s="133"/>
      <c r="K332" s="133"/>
      <c r="L332" s="133"/>
      <c r="M332" s="133"/>
      <c r="N332" s="133"/>
      <c r="O332" s="133"/>
      <c r="P332" s="133"/>
      <c r="Q332" s="133"/>
      <c r="R332" s="133"/>
      <c r="S332" s="133"/>
      <c r="T332" s="133"/>
      <c r="U332" s="133"/>
      <c r="V332" s="133"/>
      <c r="W332" s="133"/>
      <c r="X332" s="133"/>
      <c r="Y332" s="133"/>
      <c r="Z332" s="133"/>
      <c r="AA332" s="133"/>
    </row>
    <row r="333" spans="1:27" ht="15.75" customHeight="1" x14ac:dyDescent="0.25">
      <c r="A333" s="133"/>
      <c r="B333" s="133"/>
      <c r="C333" s="133"/>
      <c r="D333" s="133"/>
      <c r="E333" s="133"/>
      <c r="F333" s="133"/>
      <c r="G333" s="133"/>
      <c r="H333" s="133"/>
      <c r="I333" s="133"/>
      <c r="K333" s="133"/>
      <c r="L333" s="133"/>
      <c r="M333" s="133"/>
      <c r="N333" s="133"/>
      <c r="O333" s="133"/>
      <c r="P333" s="133"/>
      <c r="Q333" s="133"/>
      <c r="R333" s="133"/>
      <c r="S333" s="133"/>
      <c r="T333" s="133"/>
      <c r="U333" s="133"/>
      <c r="V333" s="133"/>
      <c r="W333" s="133"/>
      <c r="X333" s="133"/>
      <c r="Y333" s="133"/>
      <c r="Z333" s="133"/>
      <c r="AA333" s="133"/>
    </row>
    <row r="334" spans="1:27" ht="15.75" customHeight="1" x14ac:dyDescent="0.25">
      <c r="A334" s="133"/>
      <c r="B334" s="133"/>
      <c r="C334" s="133"/>
      <c r="D334" s="133"/>
      <c r="E334" s="133"/>
      <c r="F334" s="133"/>
      <c r="G334" s="133"/>
      <c r="H334" s="133"/>
      <c r="I334" s="133"/>
      <c r="K334" s="133"/>
      <c r="L334" s="133"/>
      <c r="M334" s="133"/>
      <c r="N334" s="133"/>
      <c r="O334" s="133"/>
      <c r="P334" s="133"/>
      <c r="Q334" s="133"/>
      <c r="R334" s="133"/>
      <c r="S334" s="133"/>
      <c r="T334" s="133"/>
      <c r="U334" s="133"/>
      <c r="V334" s="133"/>
      <c r="W334" s="133"/>
      <c r="X334" s="133"/>
      <c r="Y334" s="133"/>
      <c r="Z334" s="133"/>
      <c r="AA334" s="133"/>
    </row>
    <row r="335" spans="1:27" ht="15.75" customHeight="1" x14ac:dyDescent="0.25">
      <c r="A335" s="133"/>
      <c r="B335" s="133"/>
      <c r="C335" s="133"/>
      <c r="D335" s="133"/>
      <c r="E335" s="133"/>
      <c r="F335" s="133"/>
      <c r="G335" s="133"/>
      <c r="H335" s="133"/>
      <c r="I335" s="133"/>
      <c r="K335" s="133"/>
      <c r="L335" s="133"/>
      <c r="M335" s="133"/>
      <c r="N335" s="133"/>
      <c r="O335" s="133"/>
      <c r="P335" s="133"/>
      <c r="Q335" s="133"/>
      <c r="R335" s="133"/>
      <c r="S335" s="133"/>
      <c r="T335" s="133"/>
      <c r="U335" s="133"/>
      <c r="V335" s="133"/>
      <c r="W335" s="133"/>
      <c r="X335" s="133"/>
      <c r="Y335" s="133"/>
      <c r="Z335" s="133"/>
      <c r="AA335" s="133"/>
    </row>
    <row r="336" spans="1:27" ht="15.75" customHeight="1" x14ac:dyDescent="0.25">
      <c r="A336" s="133"/>
      <c r="B336" s="133"/>
      <c r="C336" s="133"/>
      <c r="D336" s="133"/>
      <c r="E336" s="133"/>
      <c r="F336" s="133"/>
      <c r="G336" s="133"/>
      <c r="H336" s="133"/>
      <c r="I336" s="133"/>
      <c r="K336" s="133"/>
      <c r="L336" s="133"/>
      <c r="M336" s="133"/>
      <c r="N336" s="133"/>
      <c r="O336" s="133"/>
      <c r="P336" s="133"/>
      <c r="Q336" s="133"/>
      <c r="R336" s="133"/>
      <c r="S336" s="133"/>
      <c r="T336" s="133"/>
      <c r="U336" s="133"/>
      <c r="V336" s="133"/>
      <c r="W336" s="133"/>
      <c r="X336" s="133"/>
      <c r="Y336" s="133"/>
      <c r="Z336" s="133"/>
      <c r="AA336" s="133"/>
    </row>
    <row r="337" spans="1:27" ht="15.75" customHeight="1" x14ac:dyDescent="0.25">
      <c r="A337" s="133"/>
      <c r="B337" s="133"/>
      <c r="C337" s="133"/>
      <c r="D337" s="133"/>
      <c r="E337" s="133"/>
      <c r="F337" s="133"/>
      <c r="G337" s="133"/>
      <c r="H337" s="133"/>
      <c r="I337" s="133"/>
      <c r="K337" s="133"/>
      <c r="L337" s="133"/>
      <c r="M337" s="133"/>
      <c r="N337" s="133"/>
      <c r="O337" s="133"/>
      <c r="P337" s="133"/>
      <c r="Q337" s="133"/>
      <c r="R337" s="133"/>
      <c r="S337" s="133"/>
      <c r="T337" s="133"/>
      <c r="U337" s="133"/>
      <c r="V337" s="133"/>
      <c r="W337" s="133"/>
      <c r="X337" s="133"/>
      <c r="Y337" s="133"/>
      <c r="Z337" s="133"/>
      <c r="AA337" s="133"/>
    </row>
    <row r="338" spans="1:27" ht="15.75" customHeight="1" x14ac:dyDescent="0.25">
      <c r="A338" s="133"/>
      <c r="B338" s="133"/>
      <c r="C338" s="133"/>
      <c r="D338" s="133"/>
      <c r="E338" s="133"/>
      <c r="F338" s="133"/>
      <c r="G338" s="133"/>
      <c r="H338" s="133"/>
      <c r="I338" s="133"/>
      <c r="K338" s="133"/>
      <c r="L338" s="133"/>
      <c r="M338" s="133"/>
      <c r="N338" s="133"/>
      <c r="O338" s="133"/>
      <c r="P338" s="133"/>
      <c r="Q338" s="133"/>
      <c r="R338" s="133"/>
      <c r="S338" s="133"/>
      <c r="T338" s="133"/>
      <c r="U338" s="133"/>
      <c r="V338" s="133"/>
      <c r="W338" s="133"/>
      <c r="X338" s="133"/>
      <c r="Y338" s="133"/>
      <c r="Z338" s="133"/>
      <c r="AA338" s="133"/>
    </row>
    <row r="339" spans="1:27" ht="15.75" customHeight="1" x14ac:dyDescent="0.25">
      <c r="A339" s="133"/>
      <c r="B339" s="133"/>
      <c r="C339" s="133"/>
      <c r="D339" s="133"/>
      <c r="E339" s="133"/>
      <c r="F339" s="133"/>
      <c r="G339" s="133"/>
      <c r="H339" s="133"/>
      <c r="I339" s="133"/>
      <c r="K339" s="133"/>
      <c r="L339" s="133"/>
      <c r="M339" s="133"/>
      <c r="N339" s="133"/>
      <c r="O339" s="133"/>
      <c r="P339" s="133"/>
      <c r="Q339" s="133"/>
      <c r="R339" s="133"/>
      <c r="S339" s="133"/>
      <c r="T339" s="133"/>
      <c r="U339" s="133"/>
      <c r="V339" s="133"/>
      <c r="W339" s="133"/>
      <c r="X339" s="133"/>
      <c r="Y339" s="133"/>
      <c r="Z339" s="133"/>
      <c r="AA339" s="133"/>
    </row>
    <row r="340" spans="1:27" ht="15.75" customHeight="1" x14ac:dyDescent="0.25">
      <c r="A340" s="133"/>
      <c r="B340" s="133"/>
      <c r="C340" s="133"/>
      <c r="D340" s="133"/>
      <c r="E340" s="133"/>
      <c r="F340" s="133"/>
      <c r="G340" s="133"/>
      <c r="H340" s="133"/>
      <c r="I340" s="133"/>
      <c r="K340" s="133"/>
      <c r="L340" s="133"/>
      <c r="M340" s="133"/>
      <c r="N340" s="133"/>
      <c r="O340" s="133"/>
      <c r="P340" s="133"/>
      <c r="Q340" s="133"/>
      <c r="R340" s="133"/>
      <c r="S340" s="133"/>
      <c r="T340" s="133"/>
      <c r="U340" s="133"/>
      <c r="V340" s="133"/>
      <c r="W340" s="133"/>
      <c r="X340" s="133"/>
      <c r="Y340" s="133"/>
      <c r="Z340" s="133"/>
      <c r="AA340" s="133"/>
    </row>
    <row r="341" spans="1:27" ht="15.75" customHeight="1" x14ac:dyDescent="0.25">
      <c r="A341" s="133"/>
      <c r="B341" s="133"/>
      <c r="C341" s="133"/>
      <c r="D341" s="133"/>
      <c r="E341" s="133"/>
      <c r="F341" s="133"/>
      <c r="G341" s="133"/>
      <c r="H341" s="133"/>
      <c r="I341" s="133"/>
      <c r="K341" s="133"/>
      <c r="L341" s="133"/>
      <c r="M341" s="133"/>
      <c r="N341" s="133"/>
      <c r="O341" s="133"/>
      <c r="P341" s="133"/>
      <c r="Q341" s="133"/>
      <c r="R341" s="133"/>
      <c r="S341" s="133"/>
      <c r="T341" s="133"/>
      <c r="U341" s="133"/>
      <c r="V341" s="133"/>
      <c r="W341" s="133"/>
      <c r="X341" s="133"/>
      <c r="Y341" s="133"/>
      <c r="Z341" s="133"/>
      <c r="AA341" s="133"/>
    </row>
    <row r="342" spans="1:27" ht="15.75" customHeight="1" x14ac:dyDescent="0.25">
      <c r="A342" s="133"/>
      <c r="B342" s="133"/>
      <c r="C342" s="133"/>
      <c r="D342" s="133"/>
      <c r="E342" s="133"/>
      <c r="F342" s="133"/>
      <c r="G342" s="133"/>
      <c r="H342" s="133"/>
      <c r="I342" s="133"/>
      <c r="K342" s="133"/>
      <c r="L342" s="133"/>
      <c r="M342" s="133"/>
      <c r="N342" s="133"/>
      <c r="O342" s="133"/>
      <c r="P342" s="133"/>
      <c r="Q342" s="133"/>
      <c r="R342" s="133"/>
      <c r="S342" s="133"/>
      <c r="T342" s="133"/>
      <c r="U342" s="133"/>
      <c r="V342" s="133"/>
      <c r="W342" s="133"/>
      <c r="X342" s="133"/>
      <c r="Y342" s="133"/>
      <c r="Z342" s="133"/>
      <c r="AA342" s="133"/>
    </row>
    <row r="343" spans="1:27" ht="15.75" customHeight="1" x14ac:dyDescent="0.25">
      <c r="A343" s="133"/>
      <c r="B343" s="133"/>
      <c r="C343" s="133"/>
      <c r="D343" s="133"/>
      <c r="E343" s="133"/>
      <c r="F343" s="133"/>
      <c r="G343" s="133"/>
      <c r="H343" s="133"/>
      <c r="I343" s="133"/>
      <c r="K343" s="133"/>
      <c r="L343" s="133"/>
      <c r="M343" s="133"/>
      <c r="N343" s="133"/>
      <c r="O343" s="133"/>
      <c r="P343" s="133"/>
      <c r="Q343" s="133"/>
      <c r="R343" s="133"/>
      <c r="S343" s="133"/>
      <c r="T343" s="133"/>
      <c r="U343" s="133"/>
      <c r="V343" s="133"/>
      <c r="W343" s="133"/>
      <c r="X343" s="133"/>
      <c r="Y343" s="133"/>
      <c r="Z343" s="133"/>
      <c r="AA343" s="133"/>
    </row>
    <row r="344" spans="1:27" ht="15.75" customHeight="1" x14ac:dyDescent="0.25">
      <c r="A344" s="133"/>
      <c r="B344" s="133"/>
      <c r="C344" s="133"/>
      <c r="D344" s="133"/>
      <c r="E344" s="133"/>
      <c r="F344" s="133"/>
      <c r="G344" s="133"/>
      <c r="H344" s="133"/>
      <c r="I344" s="133"/>
      <c r="K344" s="133"/>
      <c r="L344" s="133"/>
      <c r="M344" s="133"/>
      <c r="N344" s="133"/>
      <c r="O344" s="133"/>
      <c r="P344" s="133"/>
      <c r="Q344" s="133"/>
      <c r="R344" s="133"/>
      <c r="S344" s="133"/>
      <c r="T344" s="133"/>
      <c r="U344" s="133"/>
      <c r="V344" s="133"/>
      <c r="W344" s="133"/>
      <c r="X344" s="133"/>
      <c r="Y344" s="133"/>
      <c r="Z344" s="133"/>
      <c r="AA344" s="133"/>
    </row>
    <row r="345" spans="1:27" ht="15.75" customHeight="1" x14ac:dyDescent="0.25">
      <c r="A345" s="133"/>
      <c r="B345" s="133"/>
      <c r="C345" s="133"/>
      <c r="D345" s="133"/>
      <c r="E345" s="133"/>
      <c r="F345" s="133"/>
      <c r="G345" s="133"/>
      <c r="H345" s="133"/>
      <c r="I345" s="133"/>
      <c r="K345" s="133"/>
      <c r="L345" s="133"/>
      <c r="M345" s="133"/>
      <c r="N345" s="133"/>
      <c r="O345" s="133"/>
      <c r="P345" s="133"/>
      <c r="Q345" s="133"/>
      <c r="R345" s="133"/>
      <c r="S345" s="133"/>
      <c r="T345" s="133"/>
      <c r="U345" s="133"/>
      <c r="V345" s="133"/>
      <c r="W345" s="133"/>
      <c r="X345" s="133"/>
      <c r="Y345" s="133"/>
      <c r="Z345" s="133"/>
      <c r="AA345" s="133"/>
    </row>
    <row r="346" spans="1:27" ht="15.75" customHeight="1" x14ac:dyDescent="0.25">
      <c r="A346" s="133"/>
      <c r="B346" s="133"/>
      <c r="C346" s="133"/>
      <c r="D346" s="133"/>
      <c r="E346" s="133"/>
      <c r="F346" s="133"/>
      <c r="G346" s="133"/>
      <c r="H346" s="133"/>
      <c r="I346" s="133"/>
      <c r="K346" s="133"/>
      <c r="L346" s="133"/>
      <c r="M346" s="133"/>
      <c r="N346" s="133"/>
      <c r="O346" s="133"/>
      <c r="P346" s="133"/>
      <c r="Q346" s="133"/>
      <c r="R346" s="133"/>
      <c r="S346" s="133"/>
      <c r="T346" s="133"/>
      <c r="U346" s="133"/>
      <c r="V346" s="133"/>
      <c r="W346" s="133"/>
      <c r="X346" s="133"/>
      <c r="Y346" s="133"/>
      <c r="Z346" s="133"/>
      <c r="AA346" s="133"/>
    </row>
    <row r="347" spans="1:27" ht="15.75" customHeight="1" x14ac:dyDescent="0.25">
      <c r="A347" s="133"/>
      <c r="B347" s="133"/>
      <c r="C347" s="133"/>
      <c r="D347" s="133"/>
      <c r="E347" s="133"/>
      <c r="F347" s="133"/>
      <c r="G347" s="133"/>
      <c r="H347" s="133"/>
      <c r="I347" s="133"/>
      <c r="K347" s="133"/>
      <c r="L347" s="133"/>
      <c r="M347" s="133"/>
      <c r="N347" s="133"/>
      <c r="O347" s="133"/>
      <c r="P347" s="133"/>
      <c r="Q347" s="133"/>
      <c r="R347" s="133"/>
      <c r="S347" s="133"/>
      <c r="T347" s="133"/>
      <c r="U347" s="133"/>
      <c r="V347" s="133"/>
      <c r="W347" s="133"/>
      <c r="X347" s="133"/>
      <c r="Y347" s="133"/>
      <c r="Z347" s="133"/>
      <c r="AA347" s="133"/>
    </row>
    <row r="348" spans="1:27" ht="15.75" customHeight="1" x14ac:dyDescent="0.25">
      <c r="A348" s="133"/>
      <c r="B348" s="133"/>
      <c r="C348" s="133"/>
      <c r="D348" s="133"/>
      <c r="E348" s="133"/>
      <c r="F348" s="133"/>
      <c r="G348" s="133"/>
      <c r="H348" s="133"/>
      <c r="I348" s="133"/>
      <c r="K348" s="133"/>
      <c r="L348" s="133"/>
      <c r="M348" s="133"/>
      <c r="N348" s="133"/>
      <c r="O348" s="133"/>
      <c r="P348" s="133"/>
      <c r="Q348" s="133"/>
      <c r="R348" s="133"/>
      <c r="S348" s="133"/>
      <c r="T348" s="133"/>
      <c r="U348" s="133"/>
      <c r="V348" s="133"/>
      <c r="W348" s="133"/>
      <c r="X348" s="133"/>
      <c r="Y348" s="133"/>
      <c r="Z348" s="133"/>
      <c r="AA348" s="133"/>
    </row>
    <row r="349" spans="1:27" ht="15.75" customHeight="1" x14ac:dyDescent="0.25">
      <c r="A349" s="133"/>
      <c r="B349" s="133"/>
      <c r="C349" s="133"/>
      <c r="D349" s="133"/>
      <c r="E349" s="133"/>
      <c r="F349" s="133"/>
      <c r="G349" s="133"/>
      <c r="H349" s="133"/>
      <c r="I349" s="133"/>
      <c r="K349" s="133"/>
      <c r="L349" s="133"/>
      <c r="M349" s="133"/>
      <c r="N349" s="133"/>
      <c r="O349" s="133"/>
      <c r="P349" s="133"/>
      <c r="Q349" s="133"/>
      <c r="R349" s="133"/>
      <c r="S349" s="133"/>
      <c r="T349" s="133"/>
      <c r="U349" s="133"/>
      <c r="V349" s="133"/>
      <c r="W349" s="133"/>
      <c r="X349" s="133"/>
      <c r="Y349" s="133"/>
      <c r="Z349" s="133"/>
      <c r="AA349" s="133"/>
    </row>
    <row r="350" spans="1:27" ht="15.75" customHeight="1" x14ac:dyDescent="0.25">
      <c r="A350" s="133"/>
      <c r="B350" s="133"/>
      <c r="C350" s="133"/>
      <c r="D350" s="133"/>
      <c r="E350" s="133"/>
      <c r="F350" s="133"/>
      <c r="G350" s="133"/>
      <c r="H350" s="133"/>
      <c r="I350" s="133"/>
      <c r="K350" s="133"/>
      <c r="L350" s="133"/>
      <c r="M350" s="133"/>
      <c r="N350" s="133"/>
      <c r="O350" s="133"/>
      <c r="P350" s="133"/>
      <c r="Q350" s="133"/>
      <c r="R350" s="133"/>
      <c r="S350" s="133"/>
      <c r="T350" s="133"/>
      <c r="U350" s="133"/>
      <c r="V350" s="133"/>
      <c r="W350" s="133"/>
      <c r="X350" s="133"/>
      <c r="Y350" s="133"/>
      <c r="Z350" s="133"/>
      <c r="AA350" s="133"/>
    </row>
    <row r="351" spans="1:27" ht="15.75" customHeight="1" x14ac:dyDescent="0.25">
      <c r="A351" s="133"/>
      <c r="B351" s="133"/>
      <c r="C351" s="133"/>
      <c r="D351" s="133"/>
      <c r="E351" s="133"/>
      <c r="F351" s="133"/>
      <c r="G351" s="133"/>
      <c r="H351" s="133"/>
      <c r="I351" s="133"/>
      <c r="K351" s="133"/>
      <c r="L351" s="133"/>
      <c r="M351" s="133"/>
      <c r="N351" s="133"/>
      <c r="O351" s="133"/>
      <c r="P351" s="133"/>
      <c r="Q351" s="133"/>
      <c r="R351" s="133"/>
      <c r="S351" s="133"/>
      <c r="T351" s="133"/>
      <c r="U351" s="133"/>
      <c r="V351" s="133"/>
      <c r="W351" s="133"/>
      <c r="X351" s="133"/>
      <c r="Y351" s="133"/>
      <c r="Z351" s="133"/>
      <c r="AA351" s="133"/>
    </row>
    <row r="352" spans="1:27" ht="15.75" customHeight="1" x14ac:dyDescent="0.25">
      <c r="A352" s="133"/>
      <c r="B352" s="133"/>
      <c r="C352" s="133"/>
      <c r="D352" s="133"/>
      <c r="E352" s="133"/>
      <c r="F352" s="133"/>
      <c r="G352" s="133"/>
      <c r="H352" s="133"/>
      <c r="I352" s="133"/>
      <c r="K352" s="133"/>
      <c r="L352" s="133"/>
      <c r="M352" s="133"/>
      <c r="N352" s="133"/>
      <c r="O352" s="133"/>
      <c r="P352" s="133"/>
      <c r="Q352" s="133"/>
      <c r="R352" s="133"/>
      <c r="S352" s="133"/>
      <c r="T352" s="133"/>
      <c r="U352" s="133"/>
      <c r="V352" s="133"/>
      <c r="W352" s="133"/>
      <c r="X352" s="133"/>
      <c r="Y352" s="133"/>
      <c r="Z352" s="133"/>
      <c r="AA352" s="133"/>
    </row>
    <row r="353" spans="1:27" ht="15.75" customHeight="1" x14ac:dyDescent="0.25">
      <c r="A353" s="133"/>
      <c r="B353" s="133"/>
      <c r="C353" s="133"/>
      <c r="D353" s="133"/>
      <c r="E353" s="133"/>
      <c r="F353" s="133"/>
      <c r="G353" s="133"/>
      <c r="H353" s="133"/>
      <c r="I353" s="133"/>
      <c r="K353" s="133"/>
      <c r="L353" s="133"/>
      <c r="M353" s="133"/>
      <c r="N353" s="133"/>
      <c r="O353" s="133"/>
      <c r="P353" s="133"/>
      <c r="Q353" s="133"/>
      <c r="R353" s="133"/>
      <c r="S353" s="133"/>
      <c r="T353" s="133"/>
      <c r="U353" s="133"/>
      <c r="V353" s="133"/>
      <c r="W353" s="133"/>
      <c r="X353" s="133"/>
      <c r="Y353" s="133"/>
      <c r="Z353" s="133"/>
      <c r="AA353" s="133"/>
    </row>
    <row r="354" spans="1:27" ht="15.75" customHeight="1" x14ac:dyDescent="0.25">
      <c r="A354" s="133"/>
      <c r="B354" s="133"/>
      <c r="C354" s="133"/>
      <c r="D354" s="133"/>
      <c r="E354" s="133"/>
      <c r="F354" s="133"/>
      <c r="G354" s="133"/>
      <c r="H354" s="133"/>
      <c r="I354" s="133"/>
      <c r="K354" s="133"/>
      <c r="L354" s="133"/>
      <c r="M354" s="133"/>
      <c r="N354" s="133"/>
      <c r="O354" s="133"/>
      <c r="P354" s="133"/>
      <c r="Q354" s="133"/>
      <c r="R354" s="133"/>
      <c r="S354" s="133"/>
      <c r="T354" s="133"/>
      <c r="U354" s="133"/>
      <c r="V354" s="133"/>
      <c r="W354" s="133"/>
      <c r="X354" s="133"/>
      <c r="Y354" s="133"/>
      <c r="Z354" s="133"/>
      <c r="AA354" s="133"/>
    </row>
    <row r="355" spans="1:27" ht="15.75" customHeight="1" x14ac:dyDescent="0.25">
      <c r="A355" s="133"/>
      <c r="B355" s="133"/>
      <c r="C355" s="133"/>
      <c r="D355" s="133"/>
      <c r="E355" s="133"/>
      <c r="F355" s="133"/>
      <c r="G355" s="133"/>
      <c r="H355" s="133"/>
      <c r="I355" s="133"/>
      <c r="K355" s="133"/>
      <c r="L355" s="133"/>
      <c r="M355" s="133"/>
      <c r="N355" s="133"/>
      <c r="O355" s="133"/>
      <c r="P355" s="133"/>
      <c r="Q355" s="133"/>
      <c r="R355" s="133"/>
      <c r="S355" s="133"/>
      <c r="T355" s="133"/>
      <c r="U355" s="133"/>
      <c r="V355" s="133"/>
      <c r="W355" s="133"/>
      <c r="X355" s="133"/>
      <c r="Y355" s="133"/>
      <c r="Z355" s="133"/>
      <c r="AA355" s="133"/>
    </row>
    <row r="356" spans="1:27" ht="15.75" customHeight="1" x14ac:dyDescent="0.25">
      <c r="A356" s="133"/>
      <c r="B356" s="133"/>
      <c r="C356" s="133"/>
      <c r="D356" s="133"/>
      <c r="E356" s="133"/>
      <c r="F356" s="133"/>
      <c r="G356" s="133"/>
      <c r="H356" s="133"/>
      <c r="I356" s="133"/>
      <c r="K356" s="133"/>
      <c r="L356" s="133"/>
      <c r="M356" s="133"/>
      <c r="N356" s="133"/>
      <c r="O356" s="133"/>
      <c r="P356" s="133"/>
      <c r="Q356" s="133"/>
      <c r="R356" s="133"/>
      <c r="S356" s="133"/>
      <c r="T356" s="133"/>
      <c r="U356" s="133"/>
      <c r="V356" s="133"/>
      <c r="W356" s="133"/>
      <c r="X356" s="133"/>
      <c r="Y356" s="133"/>
      <c r="Z356" s="133"/>
      <c r="AA356" s="133"/>
    </row>
    <row r="357" spans="1:27" ht="15.75" customHeight="1" x14ac:dyDescent="0.25">
      <c r="A357" s="133"/>
      <c r="B357" s="133"/>
      <c r="C357" s="133"/>
      <c r="D357" s="133"/>
      <c r="E357" s="133"/>
      <c r="F357" s="133"/>
      <c r="G357" s="133"/>
      <c r="H357" s="133"/>
      <c r="I357" s="133"/>
      <c r="K357" s="133"/>
      <c r="L357" s="133"/>
      <c r="M357" s="133"/>
      <c r="N357" s="133"/>
      <c r="O357" s="133"/>
      <c r="P357" s="133"/>
      <c r="Q357" s="133"/>
      <c r="R357" s="133"/>
      <c r="S357" s="133"/>
      <c r="T357" s="133"/>
      <c r="U357" s="133"/>
      <c r="V357" s="133"/>
      <c r="W357" s="133"/>
      <c r="X357" s="133"/>
      <c r="Y357" s="133"/>
      <c r="Z357" s="133"/>
      <c r="AA357" s="133"/>
    </row>
    <row r="358" spans="1:27" ht="15.75" customHeight="1" x14ac:dyDescent="0.25">
      <c r="A358" s="133"/>
      <c r="B358" s="133"/>
      <c r="C358" s="133"/>
      <c r="D358" s="133"/>
      <c r="E358" s="133"/>
      <c r="F358" s="133"/>
      <c r="G358" s="133"/>
      <c r="H358" s="133"/>
      <c r="I358" s="133"/>
      <c r="K358" s="133"/>
      <c r="L358" s="133"/>
      <c r="M358" s="133"/>
      <c r="N358" s="133"/>
      <c r="O358" s="133"/>
      <c r="P358" s="133"/>
      <c r="Q358" s="133"/>
      <c r="R358" s="133"/>
      <c r="S358" s="133"/>
      <c r="T358" s="133"/>
      <c r="U358" s="133"/>
      <c r="V358" s="133"/>
      <c r="W358" s="133"/>
      <c r="X358" s="133"/>
      <c r="Y358" s="133"/>
      <c r="Z358" s="133"/>
      <c r="AA358" s="133"/>
    </row>
    <row r="359" spans="1:27" ht="15.75" customHeight="1" x14ac:dyDescent="0.25">
      <c r="A359" s="133"/>
      <c r="B359" s="133"/>
      <c r="C359" s="133"/>
      <c r="D359" s="133"/>
      <c r="E359" s="133"/>
      <c r="F359" s="133"/>
      <c r="G359" s="133"/>
      <c r="H359" s="133"/>
      <c r="I359" s="133"/>
      <c r="K359" s="133"/>
      <c r="L359" s="133"/>
      <c r="M359" s="133"/>
      <c r="N359" s="133"/>
      <c r="O359" s="133"/>
      <c r="P359" s="133"/>
      <c r="Q359" s="133"/>
      <c r="R359" s="133"/>
      <c r="S359" s="133"/>
      <c r="T359" s="133"/>
      <c r="U359" s="133"/>
      <c r="V359" s="133"/>
      <c r="W359" s="133"/>
      <c r="X359" s="133"/>
      <c r="Y359" s="133"/>
      <c r="Z359" s="133"/>
      <c r="AA359" s="133"/>
    </row>
    <row r="360" spans="1:27" ht="15.75" customHeight="1" x14ac:dyDescent="0.25">
      <c r="A360" s="133"/>
      <c r="B360" s="133"/>
      <c r="C360" s="133"/>
      <c r="D360" s="133"/>
      <c r="E360" s="133"/>
      <c r="F360" s="133"/>
      <c r="G360" s="133"/>
      <c r="H360" s="133"/>
      <c r="I360" s="133"/>
      <c r="K360" s="133"/>
      <c r="L360" s="133"/>
      <c r="M360" s="133"/>
      <c r="N360" s="133"/>
      <c r="O360" s="133"/>
      <c r="P360" s="133"/>
      <c r="Q360" s="133"/>
      <c r="R360" s="133"/>
      <c r="S360" s="133"/>
      <c r="T360" s="133"/>
      <c r="U360" s="133"/>
      <c r="V360" s="133"/>
      <c r="W360" s="133"/>
      <c r="X360" s="133"/>
      <c r="Y360" s="133"/>
      <c r="Z360" s="133"/>
      <c r="AA360" s="133"/>
    </row>
    <row r="361" spans="1:27" ht="15.75" customHeight="1" x14ac:dyDescent="0.25">
      <c r="A361" s="133"/>
      <c r="B361" s="133"/>
      <c r="C361" s="133"/>
      <c r="D361" s="133"/>
      <c r="E361" s="133"/>
      <c r="F361" s="133"/>
      <c r="G361" s="133"/>
      <c r="H361" s="133"/>
      <c r="I361" s="133"/>
      <c r="K361" s="133"/>
      <c r="L361" s="133"/>
      <c r="M361" s="133"/>
      <c r="N361" s="133"/>
      <c r="O361" s="133"/>
      <c r="P361" s="133"/>
      <c r="Q361" s="133"/>
      <c r="R361" s="133"/>
      <c r="S361" s="133"/>
      <c r="T361" s="133"/>
      <c r="U361" s="133"/>
      <c r="V361" s="133"/>
      <c r="W361" s="133"/>
      <c r="X361" s="133"/>
      <c r="Y361" s="133"/>
      <c r="Z361" s="133"/>
      <c r="AA361" s="133"/>
    </row>
    <row r="362" spans="1:27" ht="15.75" customHeight="1" x14ac:dyDescent="0.25">
      <c r="A362" s="133"/>
      <c r="B362" s="133"/>
      <c r="C362" s="133"/>
      <c r="D362" s="133"/>
      <c r="E362" s="133"/>
      <c r="F362" s="133"/>
      <c r="G362" s="133"/>
      <c r="H362" s="133"/>
      <c r="I362" s="133"/>
      <c r="K362" s="133"/>
      <c r="L362" s="133"/>
      <c r="M362" s="133"/>
      <c r="N362" s="133"/>
      <c r="O362" s="133"/>
      <c r="P362" s="133"/>
      <c r="Q362" s="133"/>
      <c r="R362" s="133"/>
      <c r="S362" s="133"/>
      <c r="T362" s="133"/>
      <c r="U362" s="133"/>
      <c r="V362" s="133"/>
      <c r="W362" s="133"/>
      <c r="X362" s="133"/>
      <c r="Y362" s="133"/>
      <c r="Z362" s="133"/>
      <c r="AA362" s="133"/>
    </row>
    <row r="363" spans="1:27" ht="15.75" customHeight="1" x14ac:dyDescent="0.25">
      <c r="A363" s="133"/>
      <c r="B363" s="133"/>
      <c r="C363" s="133"/>
      <c r="D363" s="133"/>
      <c r="E363" s="133"/>
      <c r="F363" s="133"/>
      <c r="G363" s="133"/>
      <c r="H363" s="133"/>
      <c r="I363" s="133"/>
      <c r="K363" s="133"/>
      <c r="L363" s="133"/>
      <c r="M363" s="133"/>
      <c r="N363" s="133"/>
      <c r="O363" s="133"/>
      <c r="P363" s="133"/>
      <c r="Q363" s="133"/>
      <c r="R363" s="133"/>
      <c r="S363" s="133"/>
      <c r="T363" s="133"/>
      <c r="U363" s="133"/>
      <c r="V363" s="133"/>
      <c r="W363" s="133"/>
      <c r="X363" s="133"/>
      <c r="Y363" s="133"/>
      <c r="Z363" s="133"/>
      <c r="AA363" s="133"/>
    </row>
    <row r="364" spans="1:27" ht="15.75" customHeight="1" x14ac:dyDescent="0.25">
      <c r="A364" s="133"/>
      <c r="B364" s="133"/>
      <c r="C364" s="133"/>
      <c r="D364" s="133"/>
      <c r="E364" s="133"/>
      <c r="F364" s="133"/>
      <c r="G364" s="133"/>
      <c r="H364" s="133"/>
      <c r="I364" s="133"/>
      <c r="K364" s="133"/>
      <c r="L364" s="133"/>
      <c r="M364" s="133"/>
      <c r="N364" s="133"/>
      <c r="O364" s="133"/>
      <c r="P364" s="133"/>
      <c r="Q364" s="133"/>
      <c r="R364" s="133"/>
      <c r="S364" s="133"/>
      <c r="T364" s="133"/>
      <c r="U364" s="133"/>
      <c r="V364" s="133"/>
      <c r="W364" s="133"/>
      <c r="X364" s="133"/>
      <c r="Y364" s="133"/>
      <c r="Z364" s="133"/>
      <c r="AA364" s="133"/>
    </row>
    <row r="365" spans="1:27" ht="15.75" customHeight="1" x14ac:dyDescent="0.25">
      <c r="A365" s="133"/>
      <c r="B365" s="133"/>
      <c r="C365" s="133"/>
      <c r="D365" s="133"/>
      <c r="E365" s="133"/>
      <c r="F365" s="133"/>
      <c r="G365" s="133"/>
      <c r="H365" s="133"/>
      <c r="I365" s="133"/>
      <c r="K365" s="133"/>
      <c r="L365" s="133"/>
      <c r="M365" s="133"/>
      <c r="N365" s="133"/>
      <c r="O365" s="133"/>
      <c r="P365" s="133"/>
      <c r="Q365" s="133"/>
      <c r="R365" s="133"/>
      <c r="S365" s="133"/>
      <c r="T365" s="133"/>
      <c r="U365" s="133"/>
      <c r="V365" s="133"/>
      <c r="W365" s="133"/>
      <c r="X365" s="133"/>
      <c r="Y365" s="133"/>
      <c r="Z365" s="133"/>
      <c r="AA365" s="133"/>
    </row>
    <row r="366" spans="1:27" ht="15.75" customHeight="1" x14ac:dyDescent="0.25">
      <c r="A366" s="133"/>
      <c r="B366" s="133"/>
      <c r="C366" s="133"/>
      <c r="D366" s="133"/>
      <c r="E366" s="133"/>
      <c r="F366" s="133"/>
      <c r="G366" s="133"/>
      <c r="H366" s="133"/>
      <c r="I366" s="133"/>
      <c r="K366" s="133"/>
      <c r="L366" s="133"/>
      <c r="M366" s="133"/>
      <c r="N366" s="133"/>
      <c r="O366" s="133"/>
      <c r="P366" s="133"/>
      <c r="Q366" s="133"/>
      <c r="R366" s="133"/>
      <c r="S366" s="133"/>
      <c r="T366" s="133"/>
      <c r="U366" s="133"/>
      <c r="V366" s="133"/>
      <c r="W366" s="133"/>
      <c r="X366" s="133"/>
      <c r="Y366" s="133"/>
      <c r="Z366" s="133"/>
      <c r="AA366" s="133"/>
    </row>
    <row r="367" spans="1:27" ht="15.75" customHeight="1" x14ac:dyDescent="0.25">
      <c r="A367" s="133"/>
      <c r="B367" s="133"/>
      <c r="C367" s="133"/>
      <c r="D367" s="133"/>
      <c r="E367" s="133"/>
      <c r="F367" s="133"/>
      <c r="G367" s="133"/>
      <c r="H367" s="133"/>
      <c r="I367" s="133"/>
      <c r="K367" s="133"/>
      <c r="L367" s="133"/>
      <c r="M367" s="133"/>
      <c r="N367" s="133"/>
      <c r="O367" s="133"/>
      <c r="P367" s="133"/>
      <c r="Q367" s="133"/>
      <c r="R367" s="133"/>
      <c r="S367" s="133"/>
      <c r="T367" s="133"/>
      <c r="U367" s="133"/>
      <c r="V367" s="133"/>
      <c r="W367" s="133"/>
      <c r="X367" s="133"/>
      <c r="Y367" s="133"/>
      <c r="Z367" s="133"/>
      <c r="AA367" s="133"/>
    </row>
    <row r="368" spans="1:27" ht="15.75" customHeight="1" x14ac:dyDescent="0.25">
      <c r="A368" s="133"/>
      <c r="B368" s="133"/>
      <c r="C368" s="133"/>
      <c r="D368" s="133"/>
      <c r="E368" s="133"/>
      <c r="F368" s="133"/>
      <c r="G368" s="133"/>
      <c r="H368" s="133"/>
      <c r="I368" s="133"/>
      <c r="K368" s="133"/>
      <c r="L368" s="133"/>
      <c r="M368" s="133"/>
      <c r="N368" s="133"/>
      <c r="O368" s="133"/>
      <c r="P368" s="133"/>
      <c r="Q368" s="133"/>
      <c r="R368" s="133"/>
      <c r="S368" s="133"/>
      <c r="T368" s="133"/>
      <c r="U368" s="133"/>
      <c r="V368" s="133"/>
      <c r="W368" s="133"/>
      <c r="X368" s="133"/>
      <c r="Y368" s="133"/>
      <c r="Z368" s="133"/>
      <c r="AA368" s="133"/>
    </row>
    <row r="369" spans="1:27" ht="15.75" customHeight="1" x14ac:dyDescent="0.25">
      <c r="A369" s="133"/>
      <c r="B369" s="133"/>
      <c r="C369" s="133"/>
      <c r="D369" s="133"/>
      <c r="E369" s="133"/>
      <c r="F369" s="133"/>
      <c r="G369" s="133"/>
      <c r="H369" s="133"/>
      <c r="I369" s="133"/>
      <c r="K369" s="133"/>
      <c r="L369" s="133"/>
      <c r="M369" s="133"/>
      <c r="N369" s="133"/>
      <c r="O369" s="133"/>
      <c r="P369" s="133"/>
      <c r="Q369" s="133"/>
      <c r="R369" s="133"/>
      <c r="S369" s="133"/>
      <c r="T369" s="133"/>
      <c r="U369" s="133"/>
      <c r="V369" s="133"/>
      <c r="W369" s="133"/>
      <c r="X369" s="133"/>
      <c r="Y369" s="133"/>
      <c r="Z369" s="133"/>
      <c r="AA369" s="133"/>
    </row>
    <row r="370" spans="1:27" ht="15.75" customHeight="1" x14ac:dyDescent="0.25">
      <c r="A370" s="133"/>
      <c r="B370" s="133"/>
      <c r="C370" s="133"/>
      <c r="D370" s="133"/>
      <c r="E370" s="133"/>
      <c r="F370" s="133"/>
      <c r="G370" s="133"/>
      <c r="H370" s="133"/>
      <c r="I370" s="133"/>
      <c r="K370" s="133"/>
      <c r="L370" s="133"/>
      <c r="M370" s="133"/>
      <c r="N370" s="133"/>
      <c r="O370" s="133"/>
      <c r="P370" s="133"/>
      <c r="Q370" s="133"/>
      <c r="R370" s="133"/>
      <c r="S370" s="133"/>
      <c r="T370" s="133"/>
      <c r="U370" s="133"/>
      <c r="V370" s="133"/>
      <c r="W370" s="133"/>
      <c r="X370" s="133"/>
      <c r="Y370" s="133"/>
      <c r="Z370" s="133"/>
      <c r="AA370" s="133"/>
    </row>
    <row r="371" spans="1:27" ht="15.75" customHeight="1" x14ac:dyDescent="0.25">
      <c r="A371" s="133"/>
      <c r="B371" s="133"/>
      <c r="C371" s="133"/>
      <c r="D371" s="133"/>
      <c r="E371" s="133"/>
      <c r="F371" s="133"/>
      <c r="G371" s="133"/>
      <c r="H371" s="133"/>
      <c r="I371" s="133"/>
      <c r="K371" s="133"/>
      <c r="L371" s="133"/>
      <c r="M371" s="133"/>
      <c r="N371" s="133"/>
      <c r="O371" s="133"/>
      <c r="P371" s="133"/>
      <c r="Q371" s="133"/>
      <c r="R371" s="133"/>
      <c r="S371" s="133"/>
      <c r="T371" s="133"/>
      <c r="U371" s="133"/>
      <c r="V371" s="133"/>
      <c r="W371" s="133"/>
      <c r="X371" s="133"/>
      <c r="Y371" s="133"/>
      <c r="Z371" s="133"/>
      <c r="AA371" s="133"/>
    </row>
    <row r="372" spans="1:27" ht="15.75" customHeight="1" x14ac:dyDescent="0.25">
      <c r="A372" s="133"/>
      <c r="B372" s="133"/>
      <c r="C372" s="133"/>
      <c r="D372" s="133"/>
      <c r="E372" s="133"/>
      <c r="F372" s="133"/>
      <c r="G372" s="133"/>
      <c r="H372" s="133"/>
      <c r="I372" s="133"/>
      <c r="K372" s="133"/>
      <c r="L372" s="133"/>
      <c r="M372" s="133"/>
      <c r="N372" s="133"/>
      <c r="O372" s="133"/>
      <c r="P372" s="133"/>
      <c r="Q372" s="133"/>
      <c r="R372" s="133"/>
      <c r="S372" s="133"/>
      <c r="T372" s="133"/>
      <c r="U372" s="133"/>
      <c r="V372" s="133"/>
      <c r="W372" s="133"/>
      <c r="X372" s="133"/>
      <c r="Y372" s="133"/>
      <c r="Z372" s="133"/>
      <c r="AA372" s="133"/>
    </row>
    <row r="373" spans="1:27" ht="15.75" customHeight="1" x14ac:dyDescent="0.25">
      <c r="A373" s="133"/>
      <c r="B373" s="133"/>
      <c r="C373" s="133"/>
      <c r="D373" s="133"/>
      <c r="E373" s="133"/>
      <c r="F373" s="133"/>
      <c r="G373" s="133"/>
      <c r="H373" s="133"/>
      <c r="I373" s="133"/>
      <c r="K373" s="133"/>
      <c r="L373" s="133"/>
      <c r="M373" s="133"/>
      <c r="N373" s="133"/>
      <c r="O373" s="133"/>
      <c r="P373" s="133"/>
      <c r="Q373" s="133"/>
      <c r="R373" s="133"/>
      <c r="S373" s="133"/>
      <c r="T373" s="133"/>
      <c r="U373" s="133"/>
      <c r="V373" s="133"/>
      <c r="W373" s="133"/>
      <c r="X373" s="133"/>
      <c r="Y373" s="133"/>
      <c r="Z373" s="133"/>
      <c r="AA373" s="133"/>
    </row>
    <row r="374" spans="1:27" ht="15.75" customHeight="1" x14ac:dyDescent="0.25">
      <c r="A374" s="133"/>
      <c r="B374" s="133"/>
      <c r="C374" s="133"/>
      <c r="D374" s="133"/>
      <c r="E374" s="133"/>
      <c r="F374" s="133"/>
      <c r="G374" s="133"/>
      <c r="H374" s="133"/>
      <c r="I374" s="133"/>
      <c r="K374" s="133"/>
      <c r="L374" s="133"/>
      <c r="M374" s="133"/>
      <c r="N374" s="133"/>
      <c r="O374" s="133"/>
      <c r="P374" s="133"/>
      <c r="Q374" s="133"/>
      <c r="R374" s="133"/>
      <c r="S374" s="133"/>
      <c r="T374" s="133"/>
      <c r="U374" s="133"/>
      <c r="V374" s="133"/>
      <c r="W374" s="133"/>
      <c r="X374" s="133"/>
      <c r="Y374" s="133"/>
      <c r="Z374" s="133"/>
      <c r="AA374" s="133"/>
    </row>
    <row r="375" spans="1:27" ht="15.75" customHeight="1" x14ac:dyDescent="0.25">
      <c r="A375" s="133"/>
      <c r="B375" s="133"/>
      <c r="C375" s="133"/>
      <c r="D375" s="133"/>
      <c r="E375" s="133"/>
      <c r="F375" s="133"/>
      <c r="G375" s="133"/>
      <c r="H375" s="133"/>
      <c r="I375" s="133"/>
      <c r="K375" s="133"/>
      <c r="L375" s="133"/>
      <c r="M375" s="133"/>
      <c r="N375" s="133"/>
      <c r="O375" s="133"/>
      <c r="P375" s="133"/>
      <c r="Q375" s="133"/>
      <c r="R375" s="133"/>
      <c r="S375" s="133"/>
      <c r="T375" s="133"/>
      <c r="U375" s="133"/>
      <c r="V375" s="133"/>
      <c r="W375" s="133"/>
      <c r="X375" s="133"/>
      <c r="Y375" s="133"/>
      <c r="Z375" s="133"/>
      <c r="AA375" s="133"/>
    </row>
    <row r="376" spans="1:27" ht="15.75" customHeight="1" x14ac:dyDescent="0.25">
      <c r="A376" s="133"/>
      <c r="B376" s="133"/>
      <c r="C376" s="133"/>
      <c r="D376" s="133"/>
      <c r="E376" s="133"/>
      <c r="F376" s="133"/>
      <c r="G376" s="133"/>
      <c r="H376" s="133"/>
      <c r="I376" s="133"/>
      <c r="K376" s="133"/>
      <c r="L376" s="133"/>
      <c r="M376" s="133"/>
      <c r="N376" s="133"/>
      <c r="O376" s="133"/>
      <c r="P376" s="133"/>
      <c r="Q376" s="133"/>
      <c r="R376" s="133"/>
      <c r="S376" s="133"/>
      <c r="T376" s="133"/>
      <c r="U376" s="133"/>
      <c r="V376" s="133"/>
      <c r="W376" s="133"/>
      <c r="X376" s="133"/>
      <c r="Y376" s="133"/>
      <c r="Z376" s="133"/>
      <c r="AA376" s="133"/>
    </row>
    <row r="377" spans="1:27" ht="15.75" customHeight="1" x14ac:dyDescent="0.25">
      <c r="A377" s="133"/>
      <c r="B377" s="133"/>
      <c r="C377" s="133"/>
      <c r="D377" s="133"/>
      <c r="E377" s="133"/>
      <c r="F377" s="133"/>
      <c r="G377" s="133"/>
      <c r="H377" s="133"/>
      <c r="I377" s="133"/>
      <c r="K377" s="133"/>
      <c r="L377" s="133"/>
      <c r="M377" s="133"/>
      <c r="N377" s="133"/>
      <c r="O377" s="133"/>
      <c r="P377" s="133"/>
      <c r="Q377" s="133"/>
      <c r="R377" s="133"/>
      <c r="S377" s="133"/>
      <c r="T377" s="133"/>
      <c r="U377" s="133"/>
      <c r="V377" s="133"/>
      <c r="W377" s="133"/>
      <c r="X377" s="133"/>
      <c r="Y377" s="133"/>
      <c r="Z377" s="133"/>
      <c r="AA377" s="133"/>
    </row>
    <row r="378" spans="1:27" ht="15.75" customHeight="1" x14ac:dyDescent="0.25">
      <c r="A378" s="133"/>
      <c r="B378" s="133"/>
      <c r="C378" s="133"/>
      <c r="D378" s="133"/>
      <c r="E378" s="133"/>
      <c r="F378" s="133"/>
      <c r="G378" s="133"/>
      <c r="H378" s="133"/>
      <c r="I378" s="133"/>
      <c r="K378" s="133"/>
      <c r="L378" s="133"/>
      <c r="M378" s="133"/>
      <c r="N378" s="133"/>
      <c r="O378" s="133"/>
      <c r="P378" s="133"/>
      <c r="Q378" s="133"/>
      <c r="R378" s="133"/>
      <c r="S378" s="133"/>
      <c r="T378" s="133"/>
      <c r="U378" s="133"/>
      <c r="V378" s="133"/>
      <c r="W378" s="133"/>
      <c r="X378" s="133"/>
      <c r="Y378" s="133"/>
      <c r="Z378" s="133"/>
      <c r="AA378" s="133"/>
    </row>
    <row r="379" spans="1:27" ht="15.75" customHeight="1" x14ac:dyDescent="0.25">
      <c r="A379" s="133"/>
      <c r="B379" s="133"/>
      <c r="C379" s="133"/>
      <c r="D379" s="133"/>
      <c r="E379" s="133"/>
      <c r="F379" s="133"/>
      <c r="G379" s="133"/>
      <c r="H379" s="133"/>
      <c r="I379" s="133"/>
      <c r="K379" s="133"/>
      <c r="L379" s="133"/>
      <c r="M379" s="133"/>
      <c r="N379" s="133"/>
      <c r="O379" s="133"/>
      <c r="P379" s="133"/>
      <c r="Q379" s="133"/>
      <c r="R379" s="133"/>
      <c r="S379" s="133"/>
      <c r="T379" s="133"/>
      <c r="U379" s="133"/>
      <c r="V379" s="133"/>
      <c r="W379" s="133"/>
      <c r="X379" s="133"/>
      <c r="Y379" s="133"/>
      <c r="Z379" s="133"/>
      <c r="AA379" s="133"/>
    </row>
    <row r="380" spans="1:27" ht="15.75" customHeight="1" x14ac:dyDescent="0.25">
      <c r="A380" s="133"/>
      <c r="B380" s="133"/>
      <c r="C380" s="133"/>
      <c r="D380" s="133"/>
      <c r="E380" s="133"/>
      <c r="F380" s="133"/>
      <c r="G380" s="133"/>
      <c r="H380" s="133"/>
      <c r="I380" s="133"/>
      <c r="K380" s="133"/>
      <c r="L380" s="133"/>
      <c r="M380" s="133"/>
      <c r="N380" s="133"/>
      <c r="O380" s="133"/>
      <c r="P380" s="133"/>
      <c r="Q380" s="133"/>
      <c r="R380" s="133"/>
      <c r="S380" s="133"/>
      <c r="T380" s="133"/>
      <c r="U380" s="133"/>
      <c r="V380" s="133"/>
      <c r="W380" s="133"/>
      <c r="X380" s="133"/>
      <c r="Y380" s="133"/>
      <c r="Z380" s="133"/>
      <c r="AA380" s="133"/>
    </row>
    <row r="381" spans="1:27" ht="15.75" customHeight="1" x14ac:dyDescent="0.25">
      <c r="A381" s="133"/>
      <c r="B381" s="133"/>
      <c r="C381" s="133"/>
      <c r="D381" s="133"/>
      <c r="E381" s="133"/>
      <c r="F381" s="133"/>
      <c r="G381" s="133"/>
      <c r="H381" s="133"/>
      <c r="I381" s="133"/>
      <c r="K381" s="133"/>
      <c r="L381" s="133"/>
      <c r="M381" s="133"/>
      <c r="N381" s="133"/>
      <c r="O381" s="133"/>
      <c r="P381" s="133"/>
      <c r="Q381" s="133"/>
      <c r="R381" s="133"/>
      <c r="S381" s="133"/>
      <c r="T381" s="133"/>
      <c r="U381" s="133"/>
      <c r="V381" s="133"/>
      <c r="W381" s="133"/>
      <c r="X381" s="133"/>
      <c r="Y381" s="133"/>
      <c r="Z381" s="133"/>
      <c r="AA381" s="133"/>
    </row>
    <row r="382" spans="1:27" ht="15.75" customHeight="1" x14ac:dyDescent="0.25">
      <c r="A382" s="133"/>
      <c r="B382" s="133"/>
      <c r="C382" s="133"/>
      <c r="D382" s="133"/>
      <c r="E382" s="133"/>
      <c r="F382" s="133"/>
      <c r="G382" s="133"/>
      <c r="H382" s="133"/>
      <c r="I382" s="133"/>
      <c r="K382" s="133"/>
      <c r="L382" s="133"/>
      <c r="M382" s="133"/>
      <c r="N382" s="133"/>
      <c r="O382" s="133"/>
      <c r="P382" s="133"/>
      <c r="Q382" s="133"/>
      <c r="R382" s="133"/>
      <c r="S382" s="133"/>
      <c r="T382" s="133"/>
      <c r="U382" s="133"/>
      <c r="V382" s="133"/>
      <c r="W382" s="133"/>
      <c r="X382" s="133"/>
      <c r="Y382" s="133"/>
      <c r="Z382" s="133"/>
      <c r="AA382" s="133"/>
    </row>
    <row r="383" spans="1:27" ht="15.75" customHeight="1" x14ac:dyDescent="0.25">
      <c r="A383" s="133"/>
      <c r="B383" s="133"/>
      <c r="C383" s="133"/>
      <c r="D383" s="133"/>
      <c r="E383" s="133"/>
      <c r="F383" s="133"/>
      <c r="G383" s="133"/>
      <c r="H383" s="133"/>
      <c r="I383" s="133"/>
      <c r="K383" s="133"/>
      <c r="L383" s="133"/>
      <c r="M383" s="133"/>
      <c r="N383" s="133"/>
      <c r="O383" s="133"/>
      <c r="P383" s="133"/>
      <c r="Q383" s="133"/>
      <c r="R383" s="133"/>
      <c r="S383" s="133"/>
      <c r="T383" s="133"/>
      <c r="U383" s="133"/>
      <c r="V383" s="133"/>
      <c r="W383" s="133"/>
      <c r="X383" s="133"/>
      <c r="Y383" s="133"/>
      <c r="Z383" s="133"/>
      <c r="AA383" s="133"/>
    </row>
    <row r="384" spans="1:27" ht="15.75" customHeight="1" x14ac:dyDescent="0.25">
      <c r="A384" s="133"/>
      <c r="B384" s="133"/>
      <c r="C384" s="133"/>
      <c r="D384" s="133"/>
      <c r="E384" s="133"/>
      <c r="F384" s="133"/>
      <c r="G384" s="133"/>
      <c r="H384" s="133"/>
      <c r="I384" s="133"/>
      <c r="K384" s="133"/>
      <c r="L384" s="133"/>
      <c r="M384" s="133"/>
      <c r="N384" s="133"/>
      <c r="O384" s="133"/>
      <c r="P384" s="133"/>
      <c r="Q384" s="133"/>
      <c r="R384" s="133"/>
      <c r="S384" s="133"/>
      <c r="T384" s="133"/>
      <c r="U384" s="133"/>
      <c r="V384" s="133"/>
      <c r="W384" s="133"/>
      <c r="X384" s="133"/>
      <c r="Y384" s="133"/>
      <c r="Z384" s="133"/>
      <c r="AA384" s="133"/>
    </row>
    <row r="385" spans="1:27" ht="15.75" customHeight="1" x14ac:dyDescent="0.25">
      <c r="A385" s="133"/>
      <c r="B385" s="133"/>
      <c r="C385" s="133"/>
      <c r="D385" s="133"/>
      <c r="E385" s="133"/>
      <c r="F385" s="133"/>
      <c r="G385" s="133"/>
      <c r="H385" s="133"/>
      <c r="I385" s="133"/>
      <c r="K385" s="133"/>
      <c r="L385" s="133"/>
      <c r="M385" s="133"/>
      <c r="N385" s="133"/>
      <c r="O385" s="133"/>
      <c r="P385" s="133"/>
      <c r="Q385" s="133"/>
      <c r="R385" s="133"/>
      <c r="S385" s="133"/>
      <c r="T385" s="133"/>
      <c r="U385" s="133"/>
      <c r="V385" s="133"/>
      <c r="W385" s="133"/>
      <c r="X385" s="133"/>
      <c r="Y385" s="133"/>
      <c r="Z385" s="133"/>
      <c r="AA385" s="133"/>
    </row>
    <row r="386" spans="1:27" ht="15.75" customHeight="1" x14ac:dyDescent="0.25">
      <c r="A386" s="133"/>
      <c r="B386" s="133"/>
      <c r="C386" s="133"/>
      <c r="D386" s="133"/>
      <c r="E386" s="133"/>
      <c r="F386" s="133"/>
      <c r="G386" s="133"/>
      <c r="H386" s="133"/>
      <c r="I386" s="133"/>
      <c r="K386" s="133"/>
      <c r="L386" s="133"/>
      <c r="M386" s="133"/>
      <c r="N386" s="133"/>
      <c r="O386" s="133"/>
      <c r="P386" s="133"/>
      <c r="Q386" s="133"/>
      <c r="R386" s="133"/>
      <c r="S386" s="133"/>
      <c r="T386" s="133"/>
      <c r="U386" s="133"/>
      <c r="V386" s="133"/>
      <c r="W386" s="133"/>
      <c r="X386" s="133"/>
      <c r="Y386" s="133"/>
      <c r="Z386" s="133"/>
      <c r="AA386" s="133"/>
    </row>
    <row r="387" spans="1:27" ht="15.75" customHeight="1" x14ac:dyDescent="0.25">
      <c r="A387" s="133"/>
      <c r="B387" s="133"/>
      <c r="C387" s="133"/>
      <c r="D387" s="133"/>
      <c r="E387" s="133"/>
      <c r="F387" s="133"/>
      <c r="G387" s="133"/>
      <c r="H387" s="133"/>
      <c r="I387" s="133"/>
      <c r="K387" s="133"/>
      <c r="L387" s="133"/>
      <c r="M387" s="133"/>
      <c r="N387" s="133"/>
      <c r="O387" s="133"/>
      <c r="P387" s="133"/>
      <c r="Q387" s="133"/>
      <c r="R387" s="133"/>
      <c r="S387" s="133"/>
      <c r="T387" s="133"/>
      <c r="U387" s="133"/>
      <c r="V387" s="133"/>
      <c r="W387" s="133"/>
      <c r="X387" s="133"/>
      <c r="Y387" s="133"/>
      <c r="Z387" s="133"/>
      <c r="AA387" s="133"/>
    </row>
    <row r="388" spans="1:27" ht="15.75" customHeight="1" x14ac:dyDescent="0.25">
      <c r="A388" s="133"/>
      <c r="B388" s="133"/>
      <c r="C388" s="133"/>
      <c r="D388" s="133"/>
      <c r="E388" s="133"/>
      <c r="F388" s="133"/>
      <c r="G388" s="133"/>
      <c r="H388" s="133"/>
      <c r="I388" s="133"/>
      <c r="K388" s="133"/>
      <c r="L388" s="133"/>
      <c r="M388" s="133"/>
      <c r="N388" s="133"/>
      <c r="O388" s="133"/>
      <c r="P388" s="133"/>
      <c r="Q388" s="133"/>
      <c r="R388" s="133"/>
      <c r="S388" s="133"/>
      <c r="T388" s="133"/>
      <c r="U388" s="133"/>
      <c r="V388" s="133"/>
      <c r="W388" s="133"/>
      <c r="X388" s="133"/>
      <c r="Y388" s="133"/>
      <c r="Z388" s="133"/>
      <c r="AA388" s="133"/>
    </row>
    <row r="389" spans="1:27" ht="15.75" customHeight="1" x14ac:dyDescent="0.25">
      <c r="A389" s="133"/>
      <c r="B389" s="133"/>
      <c r="C389" s="133"/>
      <c r="D389" s="133"/>
      <c r="E389" s="133"/>
      <c r="F389" s="133"/>
      <c r="G389" s="133"/>
      <c r="H389" s="133"/>
      <c r="I389" s="133"/>
      <c r="K389" s="133"/>
      <c r="L389" s="133"/>
      <c r="M389" s="133"/>
      <c r="N389" s="133"/>
      <c r="O389" s="133"/>
      <c r="P389" s="133"/>
      <c r="Q389" s="133"/>
      <c r="R389" s="133"/>
      <c r="S389" s="133"/>
      <c r="T389" s="133"/>
      <c r="U389" s="133"/>
      <c r="V389" s="133"/>
      <c r="W389" s="133"/>
      <c r="X389" s="133"/>
      <c r="Y389" s="133"/>
      <c r="Z389" s="133"/>
      <c r="AA389" s="133"/>
    </row>
    <row r="390" spans="1:27" ht="15.75" customHeight="1" x14ac:dyDescent="0.25">
      <c r="A390" s="133"/>
      <c r="B390" s="133"/>
      <c r="C390" s="133"/>
      <c r="D390" s="133"/>
      <c r="E390" s="133"/>
      <c r="F390" s="133"/>
      <c r="G390" s="133"/>
      <c r="H390" s="133"/>
      <c r="I390" s="133"/>
      <c r="K390" s="133"/>
      <c r="L390" s="133"/>
      <c r="M390" s="133"/>
      <c r="N390" s="133"/>
      <c r="O390" s="133"/>
      <c r="P390" s="133"/>
      <c r="Q390" s="133"/>
      <c r="R390" s="133"/>
      <c r="S390" s="133"/>
      <c r="T390" s="133"/>
      <c r="U390" s="133"/>
      <c r="V390" s="133"/>
      <c r="W390" s="133"/>
      <c r="X390" s="133"/>
      <c r="Y390" s="133"/>
      <c r="Z390" s="133"/>
      <c r="AA390" s="133"/>
    </row>
    <row r="391" spans="1:27" ht="15.75" customHeight="1" x14ac:dyDescent="0.25">
      <c r="A391" s="133"/>
      <c r="B391" s="133"/>
      <c r="C391" s="133"/>
      <c r="D391" s="133"/>
      <c r="E391" s="133"/>
      <c r="F391" s="133"/>
      <c r="G391" s="133"/>
      <c r="H391" s="133"/>
      <c r="I391" s="133"/>
      <c r="K391" s="133"/>
      <c r="L391" s="133"/>
      <c r="M391" s="133"/>
      <c r="N391" s="133"/>
      <c r="O391" s="133"/>
      <c r="P391" s="133"/>
      <c r="Q391" s="133"/>
      <c r="R391" s="133"/>
      <c r="S391" s="133"/>
      <c r="T391" s="133"/>
      <c r="U391" s="133"/>
      <c r="V391" s="133"/>
      <c r="W391" s="133"/>
      <c r="X391" s="133"/>
      <c r="Y391" s="133"/>
      <c r="Z391" s="133"/>
      <c r="AA391" s="133"/>
    </row>
    <row r="392" spans="1:27" ht="15.75" customHeight="1" x14ac:dyDescent="0.25">
      <c r="A392" s="133"/>
      <c r="B392" s="133"/>
      <c r="C392" s="133"/>
      <c r="D392" s="133"/>
      <c r="E392" s="133"/>
      <c r="F392" s="133"/>
      <c r="G392" s="133"/>
      <c r="H392" s="133"/>
      <c r="I392" s="133"/>
      <c r="K392" s="133"/>
      <c r="L392" s="133"/>
      <c r="M392" s="133"/>
      <c r="N392" s="133"/>
      <c r="O392" s="133"/>
      <c r="P392" s="133"/>
      <c r="Q392" s="133"/>
      <c r="R392" s="133"/>
      <c r="S392" s="133"/>
      <c r="T392" s="133"/>
      <c r="U392" s="133"/>
      <c r="V392" s="133"/>
      <c r="W392" s="133"/>
      <c r="X392" s="133"/>
      <c r="Y392" s="133"/>
      <c r="Z392" s="133"/>
      <c r="AA392" s="133"/>
    </row>
    <row r="393" spans="1:27" ht="15.75" customHeight="1" x14ac:dyDescent="0.25">
      <c r="A393" s="133"/>
      <c r="B393" s="133"/>
      <c r="C393" s="133"/>
      <c r="D393" s="133"/>
      <c r="E393" s="133"/>
      <c r="F393" s="133"/>
      <c r="G393" s="133"/>
      <c r="H393" s="133"/>
      <c r="I393" s="133"/>
      <c r="K393" s="133"/>
      <c r="L393" s="133"/>
      <c r="M393" s="133"/>
      <c r="N393" s="133"/>
      <c r="O393" s="133"/>
      <c r="P393" s="133"/>
      <c r="Q393" s="133"/>
      <c r="R393" s="133"/>
      <c r="S393" s="133"/>
      <c r="T393" s="133"/>
      <c r="U393" s="133"/>
      <c r="V393" s="133"/>
      <c r="W393" s="133"/>
      <c r="X393" s="133"/>
      <c r="Y393" s="133"/>
      <c r="Z393" s="133"/>
      <c r="AA393" s="133"/>
    </row>
    <row r="394" spans="1:27" ht="15.75" customHeight="1" x14ac:dyDescent="0.25">
      <c r="A394" s="133"/>
      <c r="B394" s="133"/>
      <c r="C394" s="133"/>
      <c r="D394" s="133"/>
      <c r="E394" s="133"/>
      <c r="F394" s="133"/>
      <c r="G394" s="133"/>
      <c r="H394" s="133"/>
      <c r="I394" s="133"/>
      <c r="K394" s="133"/>
      <c r="L394" s="133"/>
      <c r="M394" s="133"/>
      <c r="N394" s="133"/>
      <c r="O394" s="133"/>
      <c r="P394" s="133"/>
      <c r="Q394" s="133"/>
      <c r="R394" s="133"/>
      <c r="S394" s="133"/>
      <c r="T394" s="133"/>
      <c r="U394" s="133"/>
      <c r="V394" s="133"/>
      <c r="W394" s="133"/>
      <c r="X394" s="133"/>
      <c r="Y394" s="133"/>
      <c r="Z394" s="133"/>
      <c r="AA394" s="133"/>
    </row>
    <row r="395" spans="1:27" ht="15.75" customHeight="1" x14ac:dyDescent="0.25">
      <c r="A395" s="133"/>
      <c r="B395" s="133"/>
      <c r="C395" s="133"/>
      <c r="D395" s="133"/>
      <c r="E395" s="133"/>
      <c r="F395" s="133"/>
      <c r="G395" s="133"/>
      <c r="H395" s="133"/>
      <c r="I395" s="133"/>
      <c r="K395" s="133"/>
      <c r="L395" s="133"/>
      <c r="M395" s="133"/>
      <c r="N395" s="133"/>
      <c r="O395" s="133"/>
      <c r="P395" s="133"/>
      <c r="Q395" s="133"/>
      <c r="R395" s="133"/>
      <c r="S395" s="133"/>
      <c r="T395" s="133"/>
      <c r="U395" s="133"/>
      <c r="V395" s="133"/>
      <c r="W395" s="133"/>
      <c r="X395" s="133"/>
      <c r="Y395" s="133"/>
      <c r="Z395" s="133"/>
      <c r="AA395" s="133"/>
    </row>
    <row r="396" spans="1:27" ht="15.75" customHeight="1" x14ac:dyDescent="0.25">
      <c r="A396" s="133"/>
      <c r="B396" s="133"/>
      <c r="C396" s="133"/>
      <c r="D396" s="133"/>
      <c r="E396" s="133"/>
      <c r="F396" s="133"/>
      <c r="G396" s="133"/>
      <c r="H396" s="133"/>
      <c r="I396" s="133"/>
      <c r="K396" s="133"/>
      <c r="L396" s="133"/>
      <c r="M396" s="133"/>
      <c r="N396" s="133"/>
      <c r="O396" s="133"/>
      <c r="P396" s="133"/>
      <c r="Q396" s="133"/>
      <c r="R396" s="133"/>
      <c r="S396" s="133"/>
      <c r="T396" s="133"/>
      <c r="U396" s="133"/>
      <c r="V396" s="133"/>
      <c r="W396" s="133"/>
      <c r="X396" s="133"/>
      <c r="Y396" s="133"/>
      <c r="Z396" s="133"/>
      <c r="AA396" s="133"/>
    </row>
    <row r="397" spans="1:27" ht="15.75" customHeight="1" x14ac:dyDescent="0.25">
      <c r="A397" s="133"/>
      <c r="B397" s="133"/>
      <c r="C397" s="133"/>
      <c r="D397" s="133"/>
      <c r="E397" s="133"/>
      <c r="F397" s="133"/>
      <c r="G397" s="133"/>
      <c r="H397" s="133"/>
      <c r="I397" s="133"/>
      <c r="K397" s="133"/>
      <c r="L397" s="133"/>
      <c r="M397" s="133"/>
      <c r="N397" s="133"/>
      <c r="O397" s="133"/>
      <c r="P397" s="133"/>
      <c r="Q397" s="133"/>
      <c r="R397" s="133"/>
      <c r="S397" s="133"/>
      <c r="T397" s="133"/>
      <c r="U397" s="133"/>
      <c r="V397" s="133"/>
      <c r="W397" s="133"/>
      <c r="X397" s="133"/>
      <c r="Y397" s="133"/>
      <c r="Z397" s="133"/>
      <c r="AA397" s="133"/>
    </row>
    <row r="398" spans="1:27" ht="15.75" customHeight="1" x14ac:dyDescent="0.25">
      <c r="A398" s="133"/>
      <c r="B398" s="133"/>
      <c r="C398" s="133"/>
      <c r="D398" s="133"/>
      <c r="E398" s="133"/>
      <c r="F398" s="133"/>
      <c r="G398" s="133"/>
      <c r="H398" s="133"/>
      <c r="I398" s="133"/>
      <c r="K398" s="133"/>
      <c r="L398" s="133"/>
      <c r="M398" s="133"/>
      <c r="N398" s="133"/>
      <c r="O398" s="133"/>
      <c r="P398" s="133"/>
      <c r="Q398" s="133"/>
      <c r="R398" s="133"/>
      <c r="S398" s="133"/>
      <c r="T398" s="133"/>
      <c r="U398" s="133"/>
      <c r="V398" s="133"/>
      <c r="W398" s="133"/>
      <c r="X398" s="133"/>
      <c r="Y398" s="133"/>
      <c r="Z398" s="133"/>
      <c r="AA398" s="133"/>
    </row>
    <row r="399" spans="1:27" ht="15.75" customHeight="1" x14ac:dyDescent="0.25">
      <c r="A399" s="133"/>
      <c r="B399" s="133"/>
      <c r="C399" s="133"/>
      <c r="D399" s="133"/>
      <c r="E399" s="133"/>
      <c r="F399" s="133"/>
      <c r="G399" s="133"/>
      <c r="H399" s="133"/>
      <c r="I399" s="133"/>
      <c r="K399" s="133"/>
      <c r="L399" s="133"/>
      <c r="M399" s="133"/>
      <c r="N399" s="133"/>
      <c r="O399" s="133"/>
      <c r="P399" s="133"/>
      <c r="Q399" s="133"/>
      <c r="R399" s="133"/>
      <c r="S399" s="133"/>
      <c r="T399" s="133"/>
      <c r="U399" s="133"/>
      <c r="V399" s="133"/>
      <c r="W399" s="133"/>
      <c r="X399" s="133"/>
      <c r="Y399" s="133"/>
      <c r="Z399" s="133"/>
      <c r="AA399" s="133"/>
    </row>
    <row r="400" spans="1:27" ht="15.75" customHeight="1" x14ac:dyDescent="0.25">
      <c r="A400" s="133"/>
      <c r="B400" s="133"/>
      <c r="C400" s="133"/>
      <c r="D400" s="133"/>
      <c r="E400" s="133"/>
      <c r="F400" s="133"/>
      <c r="G400" s="133"/>
      <c r="H400" s="133"/>
      <c r="I400" s="133"/>
      <c r="K400" s="133"/>
      <c r="L400" s="133"/>
      <c r="M400" s="133"/>
      <c r="N400" s="133"/>
      <c r="O400" s="133"/>
      <c r="P400" s="133"/>
      <c r="Q400" s="133"/>
      <c r="R400" s="133"/>
      <c r="S400" s="133"/>
      <c r="T400" s="133"/>
      <c r="U400" s="133"/>
      <c r="V400" s="133"/>
      <c r="W400" s="133"/>
      <c r="X400" s="133"/>
      <c r="Y400" s="133"/>
      <c r="Z400" s="133"/>
      <c r="AA400" s="133"/>
    </row>
    <row r="401" spans="1:27" ht="15.75" customHeight="1" x14ac:dyDescent="0.25">
      <c r="A401" s="133"/>
      <c r="B401" s="133"/>
      <c r="C401" s="133"/>
      <c r="D401" s="133"/>
      <c r="E401" s="133"/>
      <c r="F401" s="133"/>
      <c r="G401" s="133"/>
      <c r="H401" s="133"/>
      <c r="I401" s="133"/>
      <c r="K401" s="133"/>
      <c r="L401" s="133"/>
      <c r="M401" s="133"/>
      <c r="N401" s="133"/>
      <c r="O401" s="133"/>
      <c r="P401" s="133"/>
      <c r="Q401" s="133"/>
      <c r="R401" s="133"/>
      <c r="S401" s="133"/>
      <c r="T401" s="133"/>
      <c r="U401" s="133"/>
      <c r="V401" s="133"/>
      <c r="W401" s="133"/>
      <c r="X401" s="133"/>
      <c r="Y401" s="133"/>
      <c r="Z401" s="133"/>
      <c r="AA401" s="133"/>
    </row>
    <row r="402" spans="1:27" ht="15.75" customHeight="1" x14ac:dyDescent="0.25">
      <c r="A402" s="133"/>
      <c r="B402" s="133"/>
      <c r="C402" s="133"/>
      <c r="D402" s="133"/>
      <c r="E402" s="133"/>
      <c r="F402" s="133"/>
      <c r="G402" s="133"/>
      <c r="H402" s="133"/>
      <c r="I402" s="133"/>
      <c r="K402" s="133"/>
      <c r="L402" s="133"/>
      <c r="M402" s="133"/>
      <c r="N402" s="133"/>
      <c r="O402" s="133"/>
      <c r="P402" s="133"/>
      <c r="Q402" s="133"/>
      <c r="R402" s="133"/>
      <c r="S402" s="133"/>
      <c r="T402" s="133"/>
      <c r="U402" s="133"/>
      <c r="V402" s="133"/>
      <c r="W402" s="133"/>
      <c r="X402" s="133"/>
      <c r="Y402" s="133"/>
      <c r="Z402" s="133"/>
      <c r="AA402" s="133"/>
    </row>
    <row r="403" spans="1:27" ht="15.75" customHeight="1" x14ac:dyDescent="0.25">
      <c r="A403" s="133"/>
      <c r="B403" s="133"/>
      <c r="C403" s="133"/>
      <c r="D403" s="133"/>
      <c r="E403" s="133"/>
      <c r="F403" s="133"/>
      <c r="G403" s="133"/>
      <c r="H403" s="133"/>
      <c r="I403" s="133"/>
      <c r="K403" s="133"/>
      <c r="L403" s="133"/>
      <c r="M403" s="133"/>
      <c r="N403" s="133"/>
      <c r="O403" s="133"/>
      <c r="P403" s="133"/>
      <c r="Q403" s="133"/>
      <c r="R403" s="133"/>
      <c r="S403" s="133"/>
      <c r="T403" s="133"/>
      <c r="U403" s="133"/>
      <c r="V403" s="133"/>
      <c r="W403" s="133"/>
      <c r="X403" s="133"/>
      <c r="Y403" s="133"/>
      <c r="Z403" s="133"/>
      <c r="AA403" s="133"/>
    </row>
    <row r="404" spans="1:27" ht="15.75" customHeight="1" x14ac:dyDescent="0.25">
      <c r="A404" s="133"/>
      <c r="B404" s="133"/>
      <c r="C404" s="133"/>
      <c r="D404" s="133"/>
      <c r="E404" s="133"/>
      <c r="F404" s="133"/>
      <c r="G404" s="133"/>
      <c r="H404" s="133"/>
      <c r="I404" s="133"/>
      <c r="K404" s="133"/>
      <c r="L404" s="133"/>
      <c r="M404" s="133"/>
      <c r="N404" s="133"/>
      <c r="O404" s="133"/>
      <c r="P404" s="133"/>
      <c r="Q404" s="133"/>
      <c r="R404" s="133"/>
      <c r="S404" s="133"/>
      <c r="T404" s="133"/>
      <c r="U404" s="133"/>
      <c r="V404" s="133"/>
      <c r="W404" s="133"/>
      <c r="X404" s="133"/>
      <c r="Y404" s="133"/>
      <c r="Z404" s="133"/>
      <c r="AA404" s="133"/>
    </row>
    <row r="405" spans="1:27" ht="15.75" customHeight="1" x14ac:dyDescent="0.25">
      <c r="A405" s="133"/>
      <c r="B405" s="133"/>
      <c r="C405" s="133"/>
      <c r="D405" s="133"/>
      <c r="E405" s="133"/>
      <c r="F405" s="133"/>
      <c r="G405" s="133"/>
      <c r="H405" s="133"/>
      <c r="I405" s="133"/>
      <c r="K405" s="133"/>
      <c r="L405" s="133"/>
      <c r="M405" s="133"/>
      <c r="N405" s="133"/>
      <c r="O405" s="133"/>
      <c r="P405" s="133"/>
      <c r="Q405" s="133"/>
      <c r="R405" s="133"/>
      <c r="S405" s="133"/>
      <c r="T405" s="133"/>
      <c r="U405" s="133"/>
      <c r="V405" s="133"/>
      <c r="W405" s="133"/>
      <c r="X405" s="133"/>
      <c r="Y405" s="133"/>
      <c r="Z405" s="133"/>
      <c r="AA405" s="133"/>
    </row>
    <row r="406" spans="1:27" ht="15.75" customHeight="1" x14ac:dyDescent="0.25">
      <c r="A406" s="133"/>
      <c r="B406" s="133"/>
      <c r="C406" s="133"/>
      <c r="D406" s="133"/>
      <c r="E406" s="133"/>
      <c r="F406" s="133"/>
      <c r="G406" s="133"/>
      <c r="H406" s="133"/>
      <c r="I406" s="133"/>
      <c r="K406" s="133"/>
      <c r="L406" s="133"/>
      <c r="M406" s="133"/>
      <c r="N406" s="133"/>
      <c r="O406" s="133"/>
      <c r="P406" s="133"/>
      <c r="Q406" s="133"/>
      <c r="R406" s="133"/>
      <c r="S406" s="133"/>
      <c r="T406" s="133"/>
      <c r="U406" s="133"/>
      <c r="V406" s="133"/>
      <c r="W406" s="133"/>
      <c r="X406" s="133"/>
      <c r="Y406" s="133"/>
      <c r="Z406" s="133"/>
      <c r="AA406" s="133"/>
    </row>
    <row r="407" spans="1:27" ht="15.75" customHeight="1" x14ac:dyDescent="0.25">
      <c r="A407" s="133"/>
      <c r="B407" s="133"/>
      <c r="C407" s="133"/>
      <c r="D407" s="133"/>
      <c r="E407" s="133"/>
      <c r="F407" s="133"/>
      <c r="G407" s="133"/>
      <c r="H407" s="133"/>
      <c r="I407" s="133"/>
      <c r="K407" s="133"/>
      <c r="L407" s="133"/>
      <c r="M407" s="133"/>
      <c r="N407" s="133"/>
      <c r="O407" s="133"/>
      <c r="P407" s="133"/>
      <c r="Q407" s="133"/>
      <c r="R407" s="133"/>
      <c r="S407" s="133"/>
      <c r="T407" s="133"/>
      <c r="U407" s="133"/>
      <c r="V407" s="133"/>
      <c r="W407" s="133"/>
      <c r="X407" s="133"/>
      <c r="Y407" s="133"/>
      <c r="Z407" s="133"/>
      <c r="AA407" s="133"/>
    </row>
    <row r="408" spans="1:27" ht="15.75" customHeight="1" x14ac:dyDescent="0.25">
      <c r="A408" s="133"/>
      <c r="B408" s="133"/>
      <c r="C408" s="133"/>
      <c r="D408" s="133"/>
      <c r="E408" s="133"/>
      <c r="F408" s="133"/>
      <c r="G408" s="133"/>
      <c r="H408" s="133"/>
      <c r="I408" s="133"/>
      <c r="K408" s="133"/>
      <c r="L408" s="133"/>
      <c r="M408" s="133"/>
      <c r="N408" s="133"/>
      <c r="O408" s="133"/>
      <c r="P408" s="133"/>
      <c r="Q408" s="133"/>
      <c r="R408" s="133"/>
      <c r="S408" s="133"/>
      <c r="T408" s="133"/>
      <c r="U408" s="133"/>
      <c r="V408" s="133"/>
      <c r="W408" s="133"/>
      <c r="X408" s="133"/>
      <c r="Y408" s="133"/>
      <c r="Z408" s="133"/>
      <c r="AA408" s="133"/>
    </row>
    <row r="409" spans="1:27" ht="15.75" customHeight="1" x14ac:dyDescent="0.25">
      <c r="A409" s="133"/>
      <c r="B409" s="133"/>
      <c r="C409" s="133"/>
      <c r="D409" s="133"/>
      <c r="E409" s="133"/>
      <c r="F409" s="133"/>
      <c r="G409" s="133"/>
      <c r="H409" s="133"/>
      <c r="I409" s="133"/>
      <c r="K409" s="133"/>
      <c r="L409" s="133"/>
      <c r="M409" s="133"/>
      <c r="N409" s="133"/>
      <c r="O409" s="133"/>
      <c r="P409" s="133"/>
      <c r="Q409" s="133"/>
      <c r="R409" s="133"/>
      <c r="S409" s="133"/>
      <c r="T409" s="133"/>
      <c r="U409" s="133"/>
      <c r="V409" s="133"/>
      <c r="W409" s="133"/>
      <c r="X409" s="133"/>
      <c r="Y409" s="133"/>
      <c r="Z409" s="133"/>
      <c r="AA409" s="133"/>
    </row>
    <row r="410" spans="1:27" ht="15.75" customHeight="1" x14ac:dyDescent="0.25">
      <c r="A410" s="133"/>
      <c r="B410" s="133"/>
      <c r="C410" s="133"/>
      <c r="D410" s="133"/>
      <c r="E410" s="133"/>
      <c r="F410" s="133"/>
      <c r="G410" s="133"/>
      <c r="H410" s="133"/>
      <c r="I410" s="133"/>
      <c r="K410" s="133"/>
      <c r="L410" s="133"/>
      <c r="M410" s="133"/>
      <c r="N410" s="133"/>
      <c r="O410" s="133"/>
      <c r="P410" s="133"/>
      <c r="Q410" s="133"/>
      <c r="R410" s="133"/>
      <c r="S410" s="133"/>
      <c r="T410" s="133"/>
      <c r="U410" s="133"/>
      <c r="V410" s="133"/>
      <c r="W410" s="133"/>
      <c r="X410" s="133"/>
      <c r="Y410" s="133"/>
      <c r="Z410" s="133"/>
      <c r="AA410" s="133"/>
    </row>
    <row r="411" spans="1:27" ht="15.75" customHeight="1" x14ac:dyDescent="0.25">
      <c r="A411" s="133"/>
      <c r="B411" s="133"/>
      <c r="C411" s="133"/>
      <c r="D411" s="133"/>
      <c r="E411" s="133"/>
      <c r="F411" s="133"/>
      <c r="G411" s="133"/>
      <c r="H411" s="133"/>
      <c r="I411" s="133"/>
      <c r="K411" s="133"/>
      <c r="L411" s="133"/>
      <c r="M411" s="133"/>
      <c r="N411" s="133"/>
      <c r="O411" s="133"/>
      <c r="P411" s="133"/>
      <c r="Q411" s="133"/>
      <c r="R411" s="133"/>
      <c r="S411" s="133"/>
      <c r="T411" s="133"/>
      <c r="U411" s="133"/>
      <c r="V411" s="133"/>
      <c r="W411" s="133"/>
      <c r="X411" s="133"/>
      <c r="Y411" s="133"/>
      <c r="Z411" s="133"/>
      <c r="AA411" s="133"/>
    </row>
    <row r="412" spans="1:27" ht="15.75" customHeight="1" x14ac:dyDescent="0.25">
      <c r="A412" s="133"/>
      <c r="B412" s="133"/>
      <c r="C412" s="133"/>
      <c r="D412" s="133"/>
      <c r="E412" s="133"/>
      <c r="F412" s="133"/>
      <c r="G412" s="133"/>
      <c r="H412" s="133"/>
      <c r="I412" s="133"/>
      <c r="K412" s="133"/>
      <c r="L412" s="133"/>
      <c r="M412" s="133"/>
      <c r="N412" s="133"/>
      <c r="O412" s="133"/>
      <c r="P412" s="133"/>
      <c r="Q412" s="133"/>
      <c r="R412" s="133"/>
      <c r="S412" s="133"/>
      <c r="T412" s="133"/>
      <c r="U412" s="133"/>
      <c r="V412" s="133"/>
      <c r="W412" s="133"/>
      <c r="X412" s="133"/>
      <c r="Y412" s="133"/>
      <c r="Z412" s="133"/>
      <c r="AA412" s="133"/>
    </row>
    <row r="413" spans="1:27" ht="15.75" customHeight="1" x14ac:dyDescent="0.25">
      <c r="A413" s="133"/>
      <c r="B413" s="133"/>
      <c r="C413" s="133"/>
      <c r="D413" s="133"/>
      <c r="E413" s="133"/>
      <c r="F413" s="133"/>
      <c r="G413" s="133"/>
      <c r="H413" s="133"/>
      <c r="I413" s="133"/>
      <c r="K413" s="133"/>
      <c r="L413" s="133"/>
      <c r="M413" s="133"/>
      <c r="N413" s="133"/>
      <c r="O413" s="133"/>
      <c r="P413" s="133"/>
      <c r="Q413" s="133"/>
      <c r="R413" s="133"/>
      <c r="S413" s="133"/>
      <c r="T413" s="133"/>
      <c r="U413" s="133"/>
      <c r="V413" s="133"/>
      <c r="W413" s="133"/>
      <c r="X413" s="133"/>
      <c r="Y413" s="133"/>
      <c r="Z413" s="133"/>
      <c r="AA413" s="133"/>
    </row>
    <row r="414" spans="1:27" ht="15.75" customHeight="1" x14ac:dyDescent="0.25">
      <c r="A414" s="133"/>
      <c r="B414" s="133"/>
      <c r="C414" s="133"/>
      <c r="D414" s="133"/>
      <c r="E414" s="133"/>
      <c r="F414" s="133"/>
      <c r="G414" s="133"/>
      <c r="H414" s="133"/>
      <c r="I414" s="133"/>
      <c r="K414" s="133"/>
      <c r="L414" s="133"/>
      <c r="M414" s="133"/>
      <c r="N414" s="133"/>
      <c r="O414" s="133"/>
      <c r="P414" s="133"/>
      <c r="Q414" s="133"/>
      <c r="R414" s="133"/>
      <c r="S414" s="133"/>
      <c r="T414" s="133"/>
      <c r="U414" s="133"/>
      <c r="V414" s="133"/>
      <c r="W414" s="133"/>
      <c r="X414" s="133"/>
      <c r="Y414" s="133"/>
      <c r="Z414" s="133"/>
      <c r="AA414" s="133"/>
    </row>
    <row r="415" spans="1:27" ht="15.75" customHeight="1" x14ac:dyDescent="0.25">
      <c r="A415" s="133"/>
      <c r="B415" s="133"/>
      <c r="C415" s="133"/>
      <c r="D415" s="133"/>
      <c r="E415" s="133"/>
      <c r="F415" s="133"/>
      <c r="G415" s="133"/>
      <c r="H415" s="133"/>
      <c r="I415" s="133"/>
      <c r="K415" s="133"/>
      <c r="L415" s="133"/>
      <c r="M415" s="133"/>
      <c r="N415" s="133"/>
      <c r="O415" s="133"/>
      <c r="P415" s="133"/>
      <c r="Q415" s="133"/>
      <c r="R415" s="133"/>
      <c r="S415" s="133"/>
      <c r="T415" s="133"/>
      <c r="U415" s="133"/>
      <c r="V415" s="133"/>
      <c r="W415" s="133"/>
      <c r="X415" s="133"/>
      <c r="Y415" s="133"/>
      <c r="Z415" s="133"/>
      <c r="AA415" s="133"/>
    </row>
    <row r="416" spans="1:27" ht="15.75" customHeight="1" x14ac:dyDescent="0.25">
      <c r="A416" s="133"/>
      <c r="B416" s="133"/>
      <c r="C416" s="133"/>
      <c r="D416" s="133"/>
      <c r="E416" s="133"/>
      <c r="F416" s="133"/>
      <c r="G416" s="133"/>
      <c r="H416" s="133"/>
      <c r="I416" s="133"/>
      <c r="K416" s="133"/>
      <c r="L416" s="133"/>
      <c r="M416" s="133"/>
      <c r="N416" s="133"/>
      <c r="O416" s="133"/>
      <c r="P416" s="133"/>
      <c r="Q416" s="133"/>
      <c r="R416" s="133"/>
      <c r="S416" s="133"/>
      <c r="T416" s="133"/>
      <c r="U416" s="133"/>
      <c r="V416" s="133"/>
      <c r="W416" s="133"/>
      <c r="X416" s="133"/>
      <c r="Y416" s="133"/>
      <c r="Z416" s="133"/>
      <c r="AA416" s="133"/>
    </row>
    <row r="417" spans="1:27" ht="15.75" customHeight="1" x14ac:dyDescent="0.25">
      <c r="A417" s="133"/>
      <c r="B417" s="133"/>
      <c r="C417" s="133"/>
      <c r="D417" s="133"/>
      <c r="E417" s="133"/>
      <c r="F417" s="133"/>
      <c r="G417" s="133"/>
      <c r="H417" s="133"/>
      <c r="I417" s="133"/>
      <c r="K417" s="133"/>
      <c r="L417" s="133"/>
      <c r="M417" s="133"/>
      <c r="N417" s="133"/>
      <c r="O417" s="133"/>
      <c r="P417" s="133"/>
      <c r="Q417" s="133"/>
      <c r="R417" s="133"/>
      <c r="S417" s="133"/>
      <c r="T417" s="133"/>
      <c r="U417" s="133"/>
      <c r="V417" s="133"/>
      <c r="W417" s="133"/>
      <c r="X417" s="133"/>
      <c r="Y417" s="133"/>
      <c r="Z417" s="133"/>
      <c r="AA417" s="133"/>
    </row>
    <row r="418" spans="1:27" ht="15.75" customHeight="1" x14ac:dyDescent="0.25">
      <c r="A418" s="133"/>
      <c r="B418" s="133"/>
      <c r="C418" s="133"/>
      <c r="D418" s="133"/>
      <c r="E418" s="133"/>
      <c r="F418" s="133"/>
      <c r="G418" s="133"/>
      <c r="H418" s="133"/>
      <c r="I418" s="133"/>
      <c r="K418" s="133"/>
      <c r="L418" s="133"/>
      <c r="M418" s="133"/>
      <c r="N418" s="133"/>
      <c r="O418" s="133"/>
      <c r="P418" s="133"/>
      <c r="Q418" s="133"/>
      <c r="R418" s="133"/>
      <c r="S418" s="133"/>
      <c r="T418" s="133"/>
      <c r="U418" s="133"/>
      <c r="V418" s="133"/>
      <c r="W418" s="133"/>
      <c r="X418" s="133"/>
      <c r="Y418" s="133"/>
      <c r="Z418" s="133"/>
      <c r="AA418" s="133"/>
    </row>
    <row r="419" spans="1:27" ht="15.75" customHeight="1" x14ac:dyDescent="0.25">
      <c r="A419" s="133"/>
      <c r="B419" s="133"/>
      <c r="C419" s="133"/>
      <c r="D419" s="133"/>
      <c r="E419" s="133"/>
      <c r="F419" s="133"/>
      <c r="G419" s="133"/>
      <c r="H419" s="133"/>
      <c r="I419" s="133"/>
      <c r="K419" s="133"/>
      <c r="L419" s="133"/>
      <c r="M419" s="133"/>
      <c r="N419" s="133"/>
      <c r="O419" s="133"/>
      <c r="P419" s="133"/>
      <c r="Q419" s="133"/>
      <c r="R419" s="133"/>
      <c r="S419" s="133"/>
      <c r="T419" s="133"/>
      <c r="U419" s="133"/>
      <c r="V419" s="133"/>
      <c r="W419" s="133"/>
      <c r="X419" s="133"/>
      <c r="Y419" s="133"/>
      <c r="Z419" s="133"/>
      <c r="AA419" s="133"/>
    </row>
    <row r="420" spans="1:27" ht="15.75" customHeight="1" x14ac:dyDescent="0.25">
      <c r="A420" s="133"/>
      <c r="B420" s="133"/>
      <c r="C420" s="133"/>
      <c r="D420" s="133"/>
      <c r="E420" s="133"/>
      <c r="F420" s="133"/>
      <c r="G420" s="133"/>
      <c r="H420" s="133"/>
      <c r="I420" s="133"/>
      <c r="K420" s="133"/>
      <c r="L420" s="133"/>
      <c r="M420" s="133"/>
      <c r="N420" s="133"/>
      <c r="O420" s="133"/>
      <c r="P420" s="133"/>
      <c r="Q420" s="133"/>
      <c r="R420" s="133"/>
      <c r="S420" s="133"/>
      <c r="T420" s="133"/>
      <c r="U420" s="133"/>
      <c r="V420" s="133"/>
      <c r="W420" s="133"/>
      <c r="X420" s="133"/>
      <c r="Y420" s="133"/>
      <c r="Z420" s="133"/>
      <c r="AA420" s="133"/>
    </row>
    <row r="421" spans="1:27" ht="15.75" customHeight="1" x14ac:dyDescent="0.25">
      <c r="A421" s="133"/>
      <c r="B421" s="133"/>
      <c r="C421" s="133"/>
      <c r="D421" s="133"/>
      <c r="E421" s="133"/>
      <c r="F421" s="133"/>
      <c r="G421" s="133"/>
      <c r="H421" s="133"/>
      <c r="I421" s="133"/>
      <c r="K421" s="133"/>
      <c r="L421" s="133"/>
      <c r="M421" s="133"/>
      <c r="N421" s="133"/>
      <c r="O421" s="133"/>
      <c r="P421" s="133"/>
      <c r="Q421" s="133"/>
      <c r="R421" s="133"/>
      <c r="S421" s="133"/>
      <c r="T421" s="133"/>
      <c r="U421" s="133"/>
      <c r="V421" s="133"/>
      <c r="W421" s="133"/>
      <c r="X421" s="133"/>
      <c r="Y421" s="133"/>
      <c r="Z421" s="133"/>
      <c r="AA421" s="133"/>
    </row>
    <row r="422" spans="1:27" ht="15.75" customHeight="1" x14ac:dyDescent="0.25">
      <c r="A422" s="133"/>
      <c r="B422" s="133"/>
      <c r="C422" s="133"/>
      <c r="D422" s="133"/>
      <c r="E422" s="133"/>
      <c r="F422" s="133"/>
      <c r="G422" s="133"/>
      <c r="H422" s="133"/>
      <c r="I422" s="133"/>
      <c r="K422" s="133"/>
      <c r="L422" s="133"/>
      <c r="M422" s="133"/>
      <c r="N422" s="133"/>
      <c r="O422" s="133"/>
      <c r="P422" s="133"/>
      <c r="Q422" s="133"/>
      <c r="R422" s="133"/>
      <c r="S422" s="133"/>
      <c r="T422" s="133"/>
      <c r="U422" s="133"/>
      <c r="V422" s="133"/>
      <c r="W422" s="133"/>
      <c r="X422" s="133"/>
      <c r="Y422" s="133"/>
      <c r="Z422" s="133"/>
      <c r="AA422" s="133"/>
    </row>
    <row r="423" spans="1:27" ht="15.75" customHeight="1" x14ac:dyDescent="0.25">
      <c r="A423" s="133"/>
      <c r="B423" s="133"/>
      <c r="C423" s="133"/>
      <c r="D423" s="133"/>
      <c r="E423" s="133"/>
      <c r="F423" s="133"/>
      <c r="G423" s="133"/>
      <c r="H423" s="133"/>
      <c r="I423" s="133"/>
      <c r="K423" s="133"/>
      <c r="L423" s="133"/>
      <c r="M423" s="133"/>
      <c r="N423" s="133"/>
      <c r="O423" s="133"/>
      <c r="P423" s="133"/>
      <c r="Q423" s="133"/>
      <c r="R423" s="133"/>
      <c r="S423" s="133"/>
      <c r="T423" s="133"/>
      <c r="U423" s="133"/>
      <c r="V423" s="133"/>
      <c r="W423" s="133"/>
      <c r="X423" s="133"/>
      <c r="Y423" s="133"/>
      <c r="Z423" s="133"/>
      <c r="AA423" s="133"/>
    </row>
    <row r="424" spans="1:27" ht="15.75" customHeight="1" x14ac:dyDescent="0.25">
      <c r="A424" s="133"/>
      <c r="B424" s="133"/>
      <c r="C424" s="133"/>
      <c r="D424" s="133"/>
      <c r="E424" s="133"/>
      <c r="F424" s="133"/>
      <c r="G424" s="133"/>
      <c r="H424" s="133"/>
      <c r="I424" s="133"/>
      <c r="K424" s="133"/>
      <c r="L424" s="133"/>
      <c r="M424" s="133"/>
      <c r="N424" s="133"/>
      <c r="O424" s="133"/>
      <c r="P424" s="133"/>
      <c r="Q424" s="133"/>
      <c r="R424" s="133"/>
      <c r="S424" s="133"/>
      <c r="T424" s="133"/>
      <c r="U424" s="133"/>
      <c r="V424" s="133"/>
      <c r="W424" s="133"/>
      <c r="X424" s="133"/>
      <c r="Y424" s="133"/>
      <c r="Z424" s="133"/>
      <c r="AA424" s="133"/>
    </row>
    <row r="425" spans="1:27" ht="15.75" customHeight="1" x14ac:dyDescent="0.25">
      <c r="A425" s="133"/>
      <c r="B425" s="133"/>
      <c r="C425" s="133"/>
      <c r="D425" s="133"/>
      <c r="E425" s="133"/>
      <c r="F425" s="133"/>
      <c r="G425" s="133"/>
      <c r="H425" s="133"/>
      <c r="I425" s="133"/>
      <c r="K425" s="133"/>
      <c r="L425" s="133"/>
      <c r="M425" s="133"/>
      <c r="N425" s="133"/>
      <c r="O425" s="133"/>
      <c r="P425" s="133"/>
      <c r="Q425" s="133"/>
      <c r="R425" s="133"/>
      <c r="S425" s="133"/>
      <c r="T425" s="133"/>
      <c r="U425" s="133"/>
      <c r="V425" s="133"/>
      <c r="W425" s="133"/>
      <c r="X425" s="133"/>
      <c r="Y425" s="133"/>
      <c r="Z425" s="133"/>
      <c r="AA425" s="133"/>
    </row>
    <row r="426" spans="1:27" ht="15.75" customHeight="1" x14ac:dyDescent="0.25">
      <c r="A426" s="133"/>
      <c r="B426" s="133"/>
      <c r="C426" s="133"/>
      <c r="D426" s="133"/>
      <c r="E426" s="133"/>
      <c r="F426" s="133"/>
      <c r="G426" s="133"/>
      <c r="H426" s="133"/>
      <c r="I426" s="133"/>
      <c r="K426" s="133"/>
      <c r="L426" s="133"/>
      <c r="M426" s="133"/>
      <c r="N426" s="133"/>
      <c r="O426" s="133"/>
      <c r="P426" s="133"/>
      <c r="Q426" s="133"/>
      <c r="R426" s="133"/>
      <c r="S426" s="133"/>
      <c r="T426" s="133"/>
      <c r="U426" s="133"/>
      <c r="V426" s="133"/>
      <c r="W426" s="133"/>
      <c r="X426" s="133"/>
      <c r="Y426" s="133"/>
      <c r="Z426" s="133"/>
      <c r="AA426" s="133"/>
    </row>
    <row r="427" spans="1:27" ht="15.75" customHeight="1" x14ac:dyDescent="0.25">
      <c r="A427" s="133"/>
      <c r="B427" s="133"/>
      <c r="C427" s="133"/>
      <c r="D427" s="133"/>
      <c r="E427" s="133"/>
      <c r="F427" s="133"/>
      <c r="G427" s="133"/>
      <c r="H427" s="133"/>
      <c r="I427" s="133"/>
      <c r="K427" s="133"/>
      <c r="L427" s="133"/>
      <c r="M427" s="133"/>
      <c r="N427" s="133"/>
      <c r="O427" s="133"/>
      <c r="P427" s="133"/>
      <c r="Q427" s="133"/>
      <c r="R427" s="133"/>
      <c r="S427" s="133"/>
      <c r="T427" s="133"/>
      <c r="U427" s="133"/>
      <c r="V427" s="133"/>
      <c r="W427" s="133"/>
      <c r="X427" s="133"/>
      <c r="Y427" s="133"/>
      <c r="Z427" s="133"/>
      <c r="AA427" s="133"/>
    </row>
    <row r="428" spans="1:27" ht="15.75" customHeight="1" x14ac:dyDescent="0.25">
      <c r="A428" s="133"/>
      <c r="B428" s="133"/>
      <c r="C428" s="133"/>
      <c r="D428" s="133"/>
      <c r="E428" s="133"/>
      <c r="F428" s="133"/>
      <c r="G428" s="133"/>
      <c r="H428" s="133"/>
      <c r="I428" s="133"/>
      <c r="K428" s="133"/>
      <c r="L428" s="133"/>
      <c r="M428" s="133"/>
      <c r="N428" s="133"/>
      <c r="O428" s="133"/>
      <c r="P428" s="133"/>
      <c r="Q428" s="133"/>
      <c r="R428" s="133"/>
      <c r="S428" s="133"/>
      <c r="T428" s="133"/>
      <c r="U428" s="133"/>
      <c r="V428" s="133"/>
      <c r="W428" s="133"/>
      <c r="X428" s="133"/>
      <c r="Y428" s="133"/>
      <c r="Z428" s="133"/>
      <c r="AA428" s="133"/>
    </row>
    <row r="429" spans="1:27" ht="15.75" customHeight="1" x14ac:dyDescent="0.25">
      <c r="A429" s="133"/>
      <c r="B429" s="133"/>
      <c r="C429" s="133"/>
      <c r="D429" s="133"/>
      <c r="E429" s="133"/>
      <c r="F429" s="133"/>
      <c r="G429" s="133"/>
      <c r="H429" s="133"/>
      <c r="I429" s="133"/>
      <c r="K429" s="133"/>
      <c r="L429" s="133"/>
      <c r="M429" s="133"/>
      <c r="N429" s="133"/>
      <c r="O429" s="133"/>
      <c r="P429" s="133"/>
      <c r="Q429" s="133"/>
      <c r="R429" s="133"/>
      <c r="S429" s="133"/>
      <c r="T429" s="133"/>
      <c r="U429" s="133"/>
      <c r="V429" s="133"/>
      <c r="W429" s="133"/>
      <c r="X429" s="133"/>
      <c r="Y429" s="133"/>
      <c r="Z429" s="133"/>
      <c r="AA429" s="133"/>
    </row>
    <row r="430" spans="1:27" ht="15.75" customHeight="1" x14ac:dyDescent="0.25">
      <c r="A430" s="133"/>
      <c r="B430" s="133"/>
      <c r="C430" s="133"/>
      <c r="D430" s="133"/>
      <c r="E430" s="133"/>
      <c r="F430" s="133"/>
      <c r="G430" s="133"/>
      <c r="H430" s="133"/>
      <c r="I430" s="133"/>
      <c r="K430" s="133"/>
      <c r="L430" s="133"/>
      <c r="M430" s="133"/>
      <c r="N430" s="133"/>
      <c r="O430" s="133"/>
      <c r="P430" s="133"/>
      <c r="Q430" s="133"/>
      <c r="R430" s="133"/>
      <c r="S430" s="133"/>
      <c r="T430" s="133"/>
      <c r="U430" s="133"/>
      <c r="V430" s="133"/>
      <c r="W430" s="133"/>
      <c r="X430" s="133"/>
      <c r="Y430" s="133"/>
      <c r="Z430" s="133"/>
      <c r="AA430" s="133"/>
    </row>
    <row r="431" spans="1:27" ht="15.75" customHeight="1" x14ac:dyDescent="0.25">
      <c r="A431" s="133"/>
      <c r="B431" s="133"/>
      <c r="C431" s="133"/>
      <c r="D431" s="133"/>
      <c r="E431" s="133"/>
      <c r="F431" s="133"/>
      <c r="G431" s="133"/>
      <c r="H431" s="133"/>
      <c r="I431" s="133"/>
      <c r="K431" s="133"/>
      <c r="L431" s="133"/>
      <c r="M431" s="133"/>
      <c r="N431" s="133"/>
      <c r="O431" s="133"/>
      <c r="P431" s="133"/>
      <c r="Q431" s="133"/>
      <c r="R431" s="133"/>
      <c r="S431" s="133"/>
      <c r="T431" s="133"/>
      <c r="U431" s="133"/>
      <c r="V431" s="133"/>
      <c r="W431" s="133"/>
      <c r="X431" s="133"/>
      <c r="Y431" s="133"/>
      <c r="Z431" s="133"/>
      <c r="AA431" s="133"/>
    </row>
    <row r="432" spans="1:27" ht="15.75" customHeight="1" x14ac:dyDescent="0.25">
      <c r="A432" s="133"/>
      <c r="B432" s="133"/>
      <c r="C432" s="133"/>
      <c r="D432" s="133"/>
      <c r="E432" s="133"/>
      <c r="F432" s="133"/>
      <c r="G432" s="133"/>
      <c r="H432" s="133"/>
      <c r="I432" s="133"/>
      <c r="K432" s="133"/>
      <c r="L432" s="133"/>
      <c r="M432" s="133"/>
      <c r="N432" s="133"/>
      <c r="O432" s="133"/>
      <c r="P432" s="133"/>
      <c r="Q432" s="133"/>
      <c r="R432" s="133"/>
      <c r="S432" s="133"/>
      <c r="T432" s="133"/>
      <c r="U432" s="133"/>
      <c r="V432" s="133"/>
      <c r="W432" s="133"/>
      <c r="X432" s="133"/>
      <c r="Y432" s="133"/>
      <c r="Z432" s="133"/>
      <c r="AA432" s="133"/>
    </row>
    <row r="433" spans="1:27" ht="15.75" customHeight="1" x14ac:dyDescent="0.25">
      <c r="A433" s="133"/>
      <c r="B433" s="133"/>
      <c r="C433" s="133"/>
      <c r="D433" s="133"/>
      <c r="E433" s="133"/>
      <c r="F433" s="133"/>
      <c r="G433" s="133"/>
      <c r="H433" s="133"/>
      <c r="I433" s="133"/>
      <c r="K433" s="133"/>
      <c r="L433" s="133"/>
      <c r="M433" s="133"/>
      <c r="N433" s="133"/>
      <c r="O433" s="133"/>
      <c r="P433" s="133"/>
      <c r="Q433" s="133"/>
      <c r="R433" s="133"/>
      <c r="S433" s="133"/>
      <c r="T433" s="133"/>
      <c r="U433" s="133"/>
      <c r="V433" s="133"/>
      <c r="W433" s="133"/>
      <c r="X433" s="133"/>
      <c r="Y433" s="133"/>
      <c r="Z433" s="133"/>
      <c r="AA433" s="133"/>
    </row>
    <row r="434" spans="1:27" ht="15.75" customHeight="1" x14ac:dyDescent="0.25">
      <c r="A434" s="133"/>
      <c r="B434" s="133"/>
      <c r="C434" s="133"/>
      <c r="D434" s="133"/>
      <c r="E434" s="133"/>
      <c r="F434" s="133"/>
      <c r="G434" s="133"/>
      <c r="H434" s="133"/>
      <c r="I434" s="133"/>
      <c r="K434" s="133"/>
      <c r="L434" s="133"/>
      <c r="M434" s="133"/>
      <c r="N434" s="133"/>
      <c r="O434" s="133"/>
      <c r="P434" s="133"/>
      <c r="Q434" s="133"/>
      <c r="R434" s="133"/>
      <c r="S434" s="133"/>
      <c r="T434" s="133"/>
      <c r="U434" s="133"/>
      <c r="V434" s="133"/>
      <c r="W434" s="133"/>
      <c r="X434" s="133"/>
      <c r="Y434" s="133"/>
      <c r="Z434" s="133"/>
      <c r="AA434" s="133"/>
    </row>
    <row r="435" spans="1:27" ht="15.75" customHeight="1" x14ac:dyDescent="0.25">
      <c r="A435" s="133"/>
      <c r="B435" s="133"/>
      <c r="C435" s="133"/>
      <c r="D435" s="133"/>
      <c r="E435" s="133"/>
      <c r="F435" s="133"/>
      <c r="G435" s="133"/>
      <c r="H435" s="133"/>
      <c r="I435" s="133"/>
      <c r="K435" s="133"/>
      <c r="L435" s="133"/>
      <c r="M435" s="133"/>
      <c r="N435" s="133"/>
      <c r="O435" s="133"/>
      <c r="P435" s="133"/>
      <c r="Q435" s="133"/>
      <c r="R435" s="133"/>
      <c r="S435" s="133"/>
      <c r="T435" s="133"/>
      <c r="U435" s="133"/>
      <c r="V435" s="133"/>
      <c r="W435" s="133"/>
      <c r="X435" s="133"/>
      <c r="Y435" s="133"/>
      <c r="Z435" s="133"/>
      <c r="AA435" s="133"/>
    </row>
    <row r="436" spans="1:27" ht="15.75" customHeight="1" x14ac:dyDescent="0.25">
      <c r="A436" s="133"/>
      <c r="B436" s="133"/>
      <c r="C436" s="133"/>
      <c r="D436" s="133"/>
      <c r="E436" s="133"/>
      <c r="F436" s="133"/>
      <c r="G436" s="133"/>
      <c r="H436" s="133"/>
      <c r="I436" s="133"/>
      <c r="K436" s="133"/>
      <c r="L436" s="133"/>
      <c r="M436" s="133"/>
      <c r="N436" s="133"/>
      <c r="O436" s="133"/>
      <c r="P436" s="133"/>
      <c r="Q436" s="133"/>
      <c r="R436" s="133"/>
      <c r="S436" s="133"/>
      <c r="T436" s="133"/>
      <c r="U436" s="133"/>
      <c r="V436" s="133"/>
      <c r="W436" s="133"/>
      <c r="X436" s="133"/>
      <c r="Y436" s="133"/>
      <c r="Z436" s="133"/>
      <c r="AA436" s="133"/>
    </row>
    <row r="437" spans="1:27" ht="15.75" customHeight="1" x14ac:dyDescent="0.25">
      <c r="A437" s="133"/>
      <c r="B437" s="133"/>
      <c r="C437" s="133"/>
      <c r="D437" s="133"/>
      <c r="E437" s="133"/>
      <c r="F437" s="133"/>
      <c r="G437" s="133"/>
      <c r="H437" s="133"/>
      <c r="I437" s="133"/>
      <c r="K437" s="133"/>
      <c r="L437" s="133"/>
      <c r="M437" s="133"/>
      <c r="N437" s="133"/>
      <c r="O437" s="133"/>
      <c r="P437" s="133"/>
      <c r="Q437" s="133"/>
      <c r="R437" s="133"/>
      <c r="S437" s="133"/>
      <c r="T437" s="133"/>
      <c r="U437" s="133"/>
      <c r="V437" s="133"/>
      <c r="W437" s="133"/>
      <c r="X437" s="133"/>
      <c r="Y437" s="133"/>
      <c r="Z437" s="133"/>
      <c r="AA437" s="133"/>
    </row>
    <row r="438" spans="1:27" ht="15.75" customHeight="1" x14ac:dyDescent="0.25">
      <c r="A438" s="133"/>
      <c r="B438" s="133"/>
      <c r="C438" s="133"/>
      <c r="D438" s="133"/>
      <c r="E438" s="133"/>
      <c r="F438" s="133"/>
      <c r="G438" s="133"/>
      <c r="H438" s="133"/>
      <c r="I438" s="133"/>
      <c r="K438" s="133"/>
      <c r="L438" s="133"/>
      <c r="M438" s="133"/>
      <c r="N438" s="133"/>
      <c r="O438" s="133"/>
      <c r="P438" s="133"/>
      <c r="Q438" s="133"/>
      <c r="R438" s="133"/>
      <c r="S438" s="133"/>
      <c r="T438" s="133"/>
      <c r="U438" s="133"/>
      <c r="V438" s="133"/>
      <c r="W438" s="133"/>
      <c r="X438" s="133"/>
      <c r="Y438" s="133"/>
      <c r="Z438" s="133"/>
      <c r="AA438" s="133"/>
    </row>
    <row r="439" spans="1:27" ht="15.75" customHeight="1" x14ac:dyDescent="0.25">
      <c r="A439" s="133"/>
      <c r="B439" s="133"/>
      <c r="C439" s="133"/>
      <c r="D439" s="133"/>
      <c r="E439" s="133"/>
      <c r="F439" s="133"/>
      <c r="G439" s="133"/>
      <c r="H439" s="133"/>
      <c r="I439" s="133"/>
      <c r="K439" s="133"/>
      <c r="L439" s="133"/>
      <c r="M439" s="133"/>
      <c r="N439" s="133"/>
      <c r="O439" s="133"/>
      <c r="P439" s="133"/>
      <c r="Q439" s="133"/>
      <c r="R439" s="133"/>
      <c r="S439" s="133"/>
      <c r="T439" s="133"/>
      <c r="U439" s="133"/>
      <c r="V439" s="133"/>
      <c r="W439" s="133"/>
      <c r="X439" s="133"/>
      <c r="Y439" s="133"/>
      <c r="Z439" s="133"/>
      <c r="AA439" s="133"/>
    </row>
    <row r="440" spans="1:27" ht="15.75" customHeight="1" x14ac:dyDescent="0.25">
      <c r="A440" s="133"/>
      <c r="B440" s="133"/>
      <c r="C440" s="133"/>
      <c r="D440" s="133"/>
      <c r="E440" s="133"/>
      <c r="F440" s="133"/>
      <c r="G440" s="133"/>
      <c r="H440" s="133"/>
      <c r="I440" s="133"/>
      <c r="K440" s="133"/>
      <c r="L440" s="133"/>
      <c r="M440" s="133"/>
      <c r="N440" s="133"/>
      <c r="O440" s="133"/>
      <c r="P440" s="133"/>
      <c r="Q440" s="133"/>
      <c r="R440" s="133"/>
      <c r="S440" s="133"/>
      <c r="T440" s="133"/>
      <c r="U440" s="133"/>
      <c r="V440" s="133"/>
      <c r="W440" s="133"/>
      <c r="X440" s="133"/>
      <c r="Y440" s="133"/>
      <c r="Z440" s="133"/>
      <c r="AA440" s="133"/>
    </row>
    <row r="441" spans="1:27" ht="15.75" customHeight="1" x14ac:dyDescent="0.25">
      <c r="A441" s="133"/>
      <c r="B441" s="133"/>
      <c r="C441" s="133"/>
      <c r="D441" s="133"/>
      <c r="E441" s="133"/>
      <c r="F441" s="133"/>
      <c r="G441" s="133"/>
      <c r="H441" s="133"/>
      <c r="I441" s="133"/>
      <c r="K441" s="133"/>
      <c r="L441" s="133"/>
      <c r="M441" s="133"/>
      <c r="N441" s="133"/>
      <c r="O441" s="133"/>
      <c r="P441" s="133"/>
      <c r="Q441" s="133"/>
      <c r="R441" s="133"/>
      <c r="S441" s="133"/>
      <c r="T441" s="133"/>
      <c r="U441" s="133"/>
      <c r="V441" s="133"/>
      <c r="W441" s="133"/>
      <c r="X441" s="133"/>
      <c r="Y441" s="133"/>
      <c r="Z441" s="133"/>
      <c r="AA441" s="133"/>
    </row>
    <row r="442" spans="1:27" ht="15.75" customHeight="1" x14ac:dyDescent="0.25">
      <c r="A442" s="133"/>
      <c r="B442" s="133"/>
      <c r="C442" s="133"/>
      <c r="D442" s="133"/>
      <c r="E442" s="133"/>
      <c r="F442" s="133"/>
      <c r="G442" s="133"/>
      <c r="H442" s="133"/>
      <c r="I442" s="133"/>
      <c r="K442" s="133"/>
      <c r="L442" s="133"/>
      <c r="M442" s="133"/>
      <c r="N442" s="133"/>
      <c r="O442" s="133"/>
      <c r="P442" s="133"/>
      <c r="Q442" s="133"/>
      <c r="R442" s="133"/>
      <c r="S442" s="133"/>
      <c r="T442" s="133"/>
      <c r="U442" s="133"/>
      <c r="V442" s="133"/>
      <c r="W442" s="133"/>
      <c r="X442" s="133"/>
      <c r="Y442" s="133"/>
      <c r="Z442" s="133"/>
      <c r="AA442" s="133"/>
    </row>
    <row r="443" spans="1:27" ht="15.75" customHeight="1" x14ac:dyDescent="0.25">
      <c r="A443" s="133"/>
      <c r="B443" s="133"/>
      <c r="C443" s="133"/>
      <c r="D443" s="133"/>
      <c r="E443" s="133"/>
      <c r="F443" s="133"/>
      <c r="G443" s="133"/>
      <c r="H443" s="133"/>
      <c r="I443" s="133"/>
      <c r="K443" s="133"/>
      <c r="L443" s="133"/>
      <c r="M443" s="133"/>
      <c r="N443" s="133"/>
      <c r="O443" s="133"/>
      <c r="P443" s="133"/>
      <c r="Q443" s="133"/>
      <c r="R443" s="133"/>
      <c r="S443" s="133"/>
      <c r="T443" s="133"/>
      <c r="U443" s="133"/>
      <c r="V443" s="133"/>
      <c r="W443" s="133"/>
      <c r="X443" s="133"/>
      <c r="Y443" s="133"/>
      <c r="Z443" s="133"/>
      <c r="AA443" s="133"/>
    </row>
    <row r="444" spans="1:27" ht="15.75" customHeight="1" x14ac:dyDescent="0.25">
      <c r="A444" s="133"/>
      <c r="B444" s="133"/>
      <c r="C444" s="133"/>
      <c r="D444" s="133"/>
      <c r="E444" s="133"/>
      <c r="F444" s="133"/>
      <c r="G444" s="133"/>
      <c r="H444" s="133"/>
      <c r="I444" s="133"/>
      <c r="K444" s="133"/>
      <c r="L444" s="133"/>
      <c r="M444" s="133"/>
      <c r="N444" s="133"/>
      <c r="O444" s="133"/>
      <c r="P444" s="133"/>
      <c r="Q444" s="133"/>
      <c r="R444" s="133"/>
      <c r="S444" s="133"/>
      <c r="T444" s="133"/>
      <c r="U444" s="133"/>
      <c r="V444" s="133"/>
      <c r="W444" s="133"/>
      <c r="X444" s="133"/>
      <c r="Y444" s="133"/>
      <c r="Z444" s="133"/>
      <c r="AA444" s="133"/>
    </row>
    <row r="445" spans="1:27" ht="15.75" customHeight="1" x14ac:dyDescent="0.25">
      <c r="A445" s="133"/>
      <c r="B445" s="133"/>
      <c r="C445" s="133"/>
      <c r="D445" s="133"/>
      <c r="E445" s="133"/>
      <c r="F445" s="133"/>
      <c r="G445" s="133"/>
      <c r="H445" s="133"/>
      <c r="I445" s="133"/>
      <c r="K445" s="133"/>
      <c r="L445" s="133"/>
      <c r="M445" s="133"/>
      <c r="N445" s="133"/>
      <c r="O445" s="133"/>
      <c r="P445" s="133"/>
      <c r="Q445" s="133"/>
      <c r="R445" s="133"/>
      <c r="S445" s="133"/>
      <c r="T445" s="133"/>
      <c r="U445" s="133"/>
      <c r="V445" s="133"/>
      <c r="W445" s="133"/>
      <c r="X445" s="133"/>
      <c r="Y445" s="133"/>
      <c r="Z445" s="133"/>
      <c r="AA445" s="133"/>
    </row>
    <row r="446" spans="1:27" ht="15.75" customHeight="1" x14ac:dyDescent="0.25">
      <c r="A446" s="133"/>
      <c r="B446" s="133"/>
      <c r="C446" s="133"/>
      <c r="D446" s="133"/>
      <c r="E446" s="133"/>
      <c r="F446" s="133"/>
      <c r="G446" s="133"/>
      <c r="H446" s="133"/>
      <c r="I446" s="133"/>
      <c r="K446" s="133"/>
      <c r="L446" s="133"/>
      <c r="M446" s="133"/>
      <c r="N446" s="133"/>
      <c r="O446" s="133"/>
      <c r="P446" s="133"/>
      <c r="Q446" s="133"/>
      <c r="R446" s="133"/>
      <c r="S446" s="133"/>
      <c r="T446" s="133"/>
      <c r="U446" s="133"/>
      <c r="V446" s="133"/>
      <c r="W446" s="133"/>
      <c r="X446" s="133"/>
      <c r="Y446" s="133"/>
      <c r="Z446" s="133"/>
      <c r="AA446" s="133"/>
    </row>
    <row r="447" spans="1:27" ht="15.75" customHeight="1" x14ac:dyDescent="0.25">
      <c r="A447" s="133"/>
      <c r="B447" s="133"/>
      <c r="C447" s="133"/>
      <c r="D447" s="133"/>
      <c r="E447" s="133"/>
      <c r="F447" s="133"/>
      <c r="G447" s="133"/>
      <c r="H447" s="133"/>
      <c r="I447" s="133"/>
      <c r="K447" s="133"/>
      <c r="L447" s="133"/>
      <c r="M447" s="133"/>
      <c r="N447" s="133"/>
      <c r="O447" s="133"/>
      <c r="P447" s="133"/>
      <c r="Q447" s="133"/>
      <c r="R447" s="133"/>
      <c r="S447" s="133"/>
      <c r="T447" s="133"/>
      <c r="U447" s="133"/>
      <c r="V447" s="133"/>
      <c r="W447" s="133"/>
      <c r="X447" s="133"/>
      <c r="Y447" s="133"/>
      <c r="Z447" s="133"/>
      <c r="AA447" s="133"/>
    </row>
    <row r="448" spans="1:27" ht="15.75" customHeight="1" x14ac:dyDescent="0.25">
      <c r="A448" s="133"/>
      <c r="B448" s="133"/>
      <c r="C448" s="133"/>
      <c r="D448" s="133"/>
      <c r="E448" s="133"/>
      <c r="F448" s="133"/>
      <c r="G448" s="133"/>
      <c r="H448" s="133"/>
      <c r="I448" s="133"/>
      <c r="K448" s="133"/>
      <c r="L448" s="133"/>
      <c r="M448" s="133"/>
      <c r="N448" s="133"/>
      <c r="O448" s="133"/>
      <c r="P448" s="133"/>
      <c r="Q448" s="133"/>
      <c r="R448" s="133"/>
      <c r="S448" s="133"/>
      <c r="T448" s="133"/>
      <c r="U448" s="133"/>
      <c r="V448" s="133"/>
      <c r="W448" s="133"/>
      <c r="X448" s="133"/>
      <c r="Y448" s="133"/>
      <c r="Z448" s="133"/>
      <c r="AA448" s="133"/>
    </row>
    <row r="449" spans="1:27" ht="15.75" customHeight="1" x14ac:dyDescent="0.25">
      <c r="A449" s="133"/>
      <c r="B449" s="133"/>
      <c r="C449" s="133"/>
      <c r="D449" s="133"/>
      <c r="E449" s="133"/>
      <c r="F449" s="133"/>
      <c r="G449" s="133"/>
      <c r="H449" s="133"/>
      <c r="I449" s="133"/>
      <c r="K449" s="133"/>
      <c r="L449" s="133"/>
      <c r="M449" s="133"/>
      <c r="N449" s="133"/>
      <c r="O449" s="133"/>
      <c r="P449" s="133"/>
      <c r="Q449" s="133"/>
      <c r="R449" s="133"/>
      <c r="S449" s="133"/>
      <c r="T449" s="133"/>
      <c r="U449" s="133"/>
      <c r="V449" s="133"/>
      <c r="W449" s="133"/>
      <c r="X449" s="133"/>
      <c r="Y449" s="133"/>
      <c r="Z449" s="133"/>
      <c r="AA449" s="133"/>
    </row>
    <row r="450" spans="1:27" ht="15.75" customHeight="1" x14ac:dyDescent="0.25">
      <c r="A450" s="133"/>
      <c r="B450" s="133"/>
      <c r="C450" s="133"/>
      <c r="D450" s="133"/>
      <c r="E450" s="133"/>
      <c r="F450" s="133"/>
      <c r="G450" s="133"/>
      <c r="H450" s="133"/>
      <c r="I450" s="133"/>
      <c r="K450" s="133"/>
      <c r="L450" s="133"/>
      <c r="M450" s="133"/>
      <c r="N450" s="133"/>
      <c r="O450" s="133"/>
      <c r="P450" s="133"/>
      <c r="Q450" s="133"/>
      <c r="R450" s="133"/>
      <c r="S450" s="133"/>
      <c r="T450" s="133"/>
      <c r="U450" s="133"/>
      <c r="V450" s="133"/>
      <c r="W450" s="133"/>
      <c r="X450" s="133"/>
      <c r="Y450" s="133"/>
      <c r="Z450" s="133"/>
      <c r="AA450" s="133"/>
    </row>
    <row r="451" spans="1:27" ht="15.75" customHeight="1" x14ac:dyDescent="0.25">
      <c r="A451" s="133"/>
      <c r="B451" s="133"/>
      <c r="C451" s="133"/>
      <c r="D451" s="133"/>
      <c r="E451" s="133"/>
      <c r="F451" s="133"/>
      <c r="G451" s="133"/>
      <c r="H451" s="133"/>
      <c r="I451" s="133"/>
      <c r="K451" s="133"/>
      <c r="L451" s="133"/>
      <c r="M451" s="133"/>
      <c r="N451" s="133"/>
      <c r="O451" s="133"/>
      <c r="P451" s="133"/>
      <c r="Q451" s="133"/>
      <c r="R451" s="133"/>
      <c r="S451" s="133"/>
      <c r="T451" s="133"/>
      <c r="U451" s="133"/>
      <c r="V451" s="133"/>
      <c r="W451" s="133"/>
      <c r="X451" s="133"/>
      <c r="Y451" s="133"/>
      <c r="Z451" s="133"/>
      <c r="AA451" s="133"/>
    </row>
    <row r="452" spans="1:27" ht="15.75" customHeight="1" x14ac:dyDescent="0.25">
      <c r="A452" s="133"/>
      <c r="B452" s="133"/>
      <c r="C452" s="133"/>
      <c r="D452" s="133"/>
      <c r="E452" s="133"/>
      <c r="F452" s="133"/>
      <c r="G452" s="133"/>
      <c r="H452" s="133"/>
      <c r="I452" s="133"/>
      <c r="K452" s="133"/>
      <c r="L452" s="133"/>
      <c r="M452" s="133"/>
      <c r="N452" s="133"/>
      <c r="O452" s="133"/>
      <c r="P452" s="133"/>
      <c r="Q452" s="133"/>
      <c r="R452" s="133"/>
      <c r="S452" s="133"/>
      <c r="T452" s="133"/>
      <c r="U452" s="133"/>
      <c r="V452" s="133"/>
      <c r="W452" s="133"/>
      <c r="X452" s="133"/>
      <c r="Y452" s="133"/>
      <c r="Z452" s="133"/>
      <c r="AA452" s="133"/>
    </row>
    <row r="453" spans="1:27" ht="15.75" customHeight="1" x14ac:dyDescent="0.25">
      <c r="A453" s="133"/>
      <c r="B453" s="133"/>
      <c r="C453" s="133"/>
      <c r="D453" s="133"/>
      <c r="E453" s="133"/>
      <c r="F453" s="133"/>
      <c r="G453" s="133"/>
      <c r="H453" s="133"/>
      <c r="I453" s="133"/>
      <c r="K453" s="133"/>
      <c r="L453" s="133"/>
      <c r="M453" s="133"/>
      <c r="N453" s="133"/>
      <c r="O453" s="133"/>
      <c r="P453" s="133"/>
      <c r="Q453" s="133"/>
      <c r="R453" s="133"/>
      <c r="S453" s="133"/>
      <c r="T453" s="133"/>
      <c r="U453" s="133"/>
      <c r="V453" s="133"/>
      <c r="W453" s="133"/>
      <c r="X453" s="133"/>
      <c r="Y453" s="133"/>
      <c r="Z453" s="133"/>
      <c r="AA453" s="133"/>
    </row>
    <row r="454" spans="1:27" ht="15.75" customHeight="1" x14ac:dyDescent="0.25">
      <c r="A454" s="133"/>
      <c r="B454" s="133"/>
      <c r="C454" s="133"/>
      <c r="D454" s="133"/>
      <c r="E454" s="133"/>
      <c r="F454" s="133"/>
      <c r="G454" s="133"/>
      <c r="H454" s="133"/>
      <c r="I454" s="133"/>
      <c r="K454" s="133"/>
      <c r="L454" s="133"/>
      <c r="M454" s="133"/>
      <c r="N454" s="133"/>
      <c r="O454" s="133"/>
      <c r="P454" s="133"/>
      <c r="Q454" s="133"/>
      <c r="R454" s="133"/>
      <c r="S454" s="133"/>
      <c r="T454" s="133"/>
      <c r="U454" s="133"/>
      <c r="V454" s="133"/>
      <c r="W454" s="133"/>
      <c r="X454" s="133"/>
      <c r="Y454" s="133"/>
      <c r="Z454" s="133"/>
      <c r="AA454" s="133"/>
    </row>
    <row r="455" spans="1:27" ht="15.75" customHeight="1" x14ac:dyDescent="0.25">
      <c r="A455" s="133"/>
      <c r="B455" s="133"/>
      <c r="C455" s="133"/>
      <c r="D455" s="133"/>
      <c r="E455" s="133"/>
      <c r="F455" s="133"/>
      <c r="G455" s="133"/>
      <c r="H455" s="133"/>
      <c r="I455" s="133"/>
      <c r="K455" s="133"/>
      <c r="L455" s="133"/>
      <c r="M455" s="133"/>
      <c r="N455" s="133"/>
      <c r="O455" s="133"/>
      <c r="P455" s="133"/>
      <c r="Q455" s="133"/>
      <c r="R455" s="133"/>
      <c r="S455" s="133"/>
      <c r="T455" s="133"/>
      <c r="U455" s="133"/>
      <c r="V455" s="133"/>
      <c r="W455" s="133"/>
      <c r="X455" s="133"/>
      <c r="Y455" s="133"/>
      <c r="Z455" s="133"/>
      <c r="AA455" s="133"/>
    </row>
    <row r="456" spans="1:27" ht="15.75" customHeight="1" x14ac:dyDescent="0.25">
      <c r="A456" s="133"/>
      <c r="B456" s="133"/>
      <c r="C456" s="133"/>
      <c r="D456" s="133"/>
      <c r="E456" s="133"/>
      <c r="F456" s="133"/>
      <c r="G456" s="133"/>
      <c r="H456" s="133"/>
      <c r="I456" s="133"/>
      <c r="K456" s="133"/>
      <c r="L456" s="133"/>
      <c r="M456" s="133"/>
      <c r="N456" s="133"/>
      <c r="O456" s="133"/>
      <c r="P456" s="133"/>
      <c r="Q456" s="133"/>
      <c r="R456" s="133"/>
      <c r="S456" s="133"/>
      <c r="T456" s="133"/>
      <c r="U456" s="133"/>
      <c r="V456" s="133"/>
      <c r="W456" s="133"/>
      <c r="X456" s="133"/>
      <c r="Y456" s="133"/>
      <c r="Z456" s="133"/>
      <c r="AA456" s="133"/>
    </row>
    <row r="457" spans="1:27" ht="15.75" customHeight="1" x14ac:dyDescent="0.25">
      <c r="A457" s="133"/>
      <c r="B457" s="133"/>
      <c r="C457" s="133"/>
      <c r="D457" s="133"/>
      <c r="E457" s="133"/>
      <c r="F457" s="133"/>
      <c r="G457" s="133"/>
      <c r="H457" s="133"/>
      <c r="I457" s="133"/>
      <c r="K457" s="133"/>
      <c r="L457" s="133"/>
      <c r="M457" s="133"/>
      <c r="N457" s="133"/>
      <c r="O457" s="133"/>
      <c r="P457" s="133"/>
      <c r="Q457" s="133"/>
      <c r="R457" s="133"/>
      <c r="S457" s="133"/>
      <c r="T457" s="133"/>
      <c r="U457" s="133"/>
      <c r="V457" s="133"/>
      <c r="W457" s="133"/>
      <c r="X457" s="133"/>
      <c r="Y457" s="133"/>
      <c r="Z457" s="133"/>
      <c r="AA457" s="133"/>
    </row>
    <row r="458" spans="1:27" ht="15.75" customHeight="1" x14ac:dyDescent="0.25">
      <c r="A458" s="133"/>
      <c r="B458" s="133"/>
      <c r="C458" s="133"/>
      <c r="D458" s="133"/>
      <c r="E458" s="133"/>
      <c r="F458" s="133"/>
      <c r="G458" s="133"/>
      <c r="H458" s="133"/>
      <c r="I458" s="133"/>
      <c r="K458" s="133"/>
      <c r="L458" s="133"/>
      <c r="M458" s="133"/>
      <c r="N458" s="133"/>
      <c r="O458" s="133"/>
      <c r="P458" s="133"/>
      <c r="Q458" s="133"/>
      <c r="R458" s="133"/>
      <c r="S458" s="133"/>
      <c r="T458" s="133"/>
      <c r="U458" s="133"/>
      <c r="V458" s="133"/>
      <c r="W458" s="133"/>
      <c r="X458" s="133"/>
      <c r="Y458" s="133"/>
      <c r="Z458" s="133"/>
      <c r="AA458" s="133"/>
    </row>
    <row r="459" spans="1:27" ht="15.75" customHeight="1" x14ac:dyDescent="0.25">
      <c r="A459" s="133"/>
      <c r="B459" s="133"/>
      <c r="C459" s="133"/>
      <c r="D459" s="133"/>
      <c r="E459" s="133"/>
      <c r="F459" s="133"/>
      <c r="G459" s="133"/>
      <c r="H459" s="133"/>
      <c r="I459" s="133"/>
      <c r="K459" s="133"/>
      <c r="L459" s="133"/>
      <c r="M459" s="133"/>
      <c r="N459" s="133"/>
      <c r="O459" s="133"/>
      <c r="P459" s="133"/>
      <c r="Q459" s="133"/>
      <c r="R459" s="133"/>
      <c r="S459" s="133"/>
      <c r="T459" s="133"/>
      <c r="U459" s="133"/>
      <c r="V459" s="133"/>
      <c r="W459" s="133"/>
      <c r="X459" s="133"/>
      <c r="Y459" s="133"/>
      <c r="Z459" s="133"/>
      <c r="AA459" s="133"/>
    </row>
    <row r="460" spans="1:27" ht="15.75" customHeight="1" x14ac:dyDescent="0.25">
      <c r="A460" s="133"/>
      <c r="B460" s="133"/>
      <c r="C460" s="133"/>
      <c r="D460" s="133"/>
      <c r="E460" s="133"/>
      <c r="F460" s="133"/>
      <c r="G460" s="133"/>
      <c r="H460" s="133"/>
      <c r="I460" s="133"/>
      <c r="K460" s="133"/>
      <c r="L460" s="133"/>
      <c r="M460" s="133"/>
      <c r="N460" s="133"/>
      <c r="O460" s="133"/>
      <c r="P460" s="133"/>
      <c r="Q460" s="133"/>
      <c r="R460" s="133"/>
      <c r="S460" s="133"/>
      <c r="T460" s="133"/>
      <c r="U460" s="133"/>
      <c r="V460" s="133"/>
      <c r="W460" s="133"/>
      <c r="X460" s="133"/>
      <c r="Y460" s="133"/>
      <c r="Z460" s="133"/>
      <c r="AA460" s="133"/>
    </row>
    <row r="461" spans="1:27" ht="15.75" customHeight="1" x14ac:dyDescent="0.25">
      <c r="A461" s="133"/>
      <c r="B461" s="133"/>
      <c r="C461" s="133"/>
      <c r="D461" s="133"/>
      <c r="E461" s="133"/>
      <c r="F461" s="133"/>
      <c r="G461" s="133"/>
      <c r="H461" s="133"/>
      <c r="I461" s="133"/>
      <c r="K461" s="133"/>
      <c r="L461" s="133"/>
      <c r="M461" s="133"/>
      <c r="N461" s="133"/>
      <c r="O461" s="133"/>
      <c r="P461" s="133"/>
      <c r="Q461" s="133"/>
      <c r="R461" s="133"/>
      <c r="S461" s="133"/>
      <c r="T461" s="133"/>
      <c r="U461" s="133"/>
      <c r="V461" s="133"/>
      <c r="W461" s="133"/>
      <c r="X461" s="133"/>
      <c r="Y461" s="133"/>
      <c r="Z461" s="133"/>
      <c r="AA461" s="133"/>
    </row>
    <row r="462" spans="1:27" ht="15.75" customHeight="1" x14ac:dyDescent="0.25">
      <c r="A462" s="133"/>
      <c r="B462" s="133"/>
      <c r="C462" s="133"/>
      <c r="D462" s="133"/>
      <c r="E462" s="133"/>
      <c r="F462" s="133"/>
      <c r="G462" s="133"/>
      <c r="H462" s="133"/>
      <c r="I462" s="133"/>
      <c r="K462" s="133"/>
      <c r="L462" s="133"/>
      <c r="M462" s="133"/>
      <c r="N462" s="133"/>
      <c r="O462" s="133"/>
      <c r="P462" s="133"/>
      <c r="Q462" s="133"/>
      <c r="R462" s="133"/>
      <c r="S462" s="133"/>
      <c r="T462" s="133"/>
      <c r="U462" s="133"/>
      <c r="V462" s="133"/>
      <c r="W462" s="133"/>
      <c r="X462" s="133"/>
      <c r="Y462" s="133"/>
      <c r="Z462" s="133"/>
      <c r="AA462" s="133"/>
    </row>
    <row r="463" spans="1:27" ht="15.75" customHeight="1" x14ac:dyDescent="0.25">
      <c r="A463" s="133"/>
      <c r="B463" s="133"/>
      <c r="C463" s="133"/>
      <c r="D463" s="133"/>
      <c r="E463" s="133"/>
      <c r="F463" s="133"/>
      <c r="G463" s="133"/>
      <c r="H463" s="133"/>
      <c r="I463" s="133"/>
      <c r="K463" s="133"/>
      <c r="L463" s="133"/>
      <c r="M463" s="133"/>
      <c r="N463" s="133"/>
      <c r="O463" s="133"/>
      <c r="P463" s="133"/>
      <c r="Q463" s="133"/>
      <c r="R463" s="133"/>
      <c r="S463" s="133"/>
      <c r="T463" s="133"/>
      <c r="U463" s="133"/>
      <c r="V463" s="133"/>
      <c r="W463" s="133"/>
      <c r="X463" s="133"/>
      <c r="Y463" s="133"/>
      <c r="Z463" s="133"/>
      <c r="AA463" s="133"/>
    </row>
    <row r="464" spans="1:27" ht="15.75" customHeight="1" x14ac:dyDescent="0.25">
      <c r="A464" s="133"/>
      <c r="B464" s="133"/>
      <c r="C464" s="133"/>
      <c r="D464" s="133"/>
      <c r="E464" s="133"/>
      <c r="F464" s="133"/>
      <c r="G464" s="133"/>
      <c r="H464" s="133"/>
      <c r="I464" s="133"/>
      <c r="K464" s="133"/>
      <c r="L464" s="133"/>
      <c r="M464" s="133"/>
      <c r="N464" s="133"/>
      <c r="O464" s="133"/>
      <c r="P464" s="133"/>
      <c r="Q464" s="133"/>
      <c r="R464" s="133"/>
      <c r="S464" s="133"/>
      <c r="T464" s="133"/>
      <c r="U464" s="133"/>
      <c r="V464" s="133"/>
      <c r="W464" s="133"/>
      <c r="X464" s="133"/>
      <c r="Y464" s="133"/>
      <c r="Z464" s="133"/>
      <c r="AA464" s="133"/>
    </row>
    <row r="465" spans="1:27" ht="15.75" customHeight="1" x14ac:dyDescent="0.25">
      <c r="A465" s="133"/>
      <c r="B465" s="133"/>
      <c r="C465" s="133"/>
      <c r="D465" s="133"/>
      <c r="E465" s="133"/>
      <c r="F465" s="133"/>
      <c r="G465" s="133"/>
      <c r="H465" s="133"/>
      <c r="I465" s="133"/>
      <c r="K465" s="133"/>
      <c r="L465" s="133"/>
      <c r="M465" s="133"/>
      <c r="N465" s="133"/>
      <c r="O465" s="133"/>
      <c r="P465" s="133"/>
      <c r="Q465" s="133"/>
      <c r="R465" s="133"/>
      <c r="S465" s="133"/>
      <c r="T465" s="133"/>
      <c r="U465" s="133"/>
      <c r="V465" s="133"/>
      <c r="W465" s="133"/>
      <c r="X465" s="133"/>
      <c r="Y465" s="133"/>
      <c r="Z465" s="133"/>
      <c r="AA465" s="133"/>
    </row>
    <row r="466" spans="1:27" ht="15.75" customHeight="1" x14ac:dyDescent="0.25">
      <c r="A466" s="133"/>
      <c r="B466" s="133"/>
      <c r="C466" s="133"/>
      <c r="D466" s="133"/>
      <c r="E466" s="133"/>
      <c r="F466" s="133"/>
      <c r="G466" s="133"/>
      <c r="H466" s="133"/>
      <c r="I466" s="133"/>
      <c r="K466" s="133"/>
      <c r="L466" s="133"/>
      <c r="M466" s="133"/>
      <c r="N466" s="133"/>
      <c r="O466" s="133"/>
      <c r="P466" s="133"/>
      <c r="Q466" s="133"/>
      <c r="R466" s="133"/>
      <c r="S466" s="133"/>
      <c r="T466" s="133"/>
      <c r="U466" s="133"/>
      <c r="V466" s="133"/>
      <c r="W466" s="133"/>
      <c r="X466" s="133"/>
      <c r="Y466" s="133"/>
      <c r="Z466" s="133"/>
      <c r="AA466" s="133"/>
    </row>
    <row r="467" spans="1:27" ht="15.75" customHeight="1" x14ac:dyDescent="0.25">
      <c r="A467" s="133"/>
      <c r="B467" s="133"/>
      <c r="C467" s="133"/>
      <c r="D467" s="133"/>
      <c r="E467" s="133"/>
      <c r="F467" s="133"/>
      <c r="G467" s="133"/>
      <c r="H467" s="133"/>
      <c r="I467" s="133"/>
      <c r="K467" s="133"/>
      <c r="L467" s="133"/>
      <c r="M467" s="133"/>
      <c r="N467" s="133"/>
      <c r="O467" s="133"/>
      <c r="P467" s="133"/>
      <c r="Q467" s="133"/>
      <c r="R467" s="133"/>
      <c r="S467" s="133"/>
      <c r="T467" s="133"/>
      <c r="U467" s="133"/>
      <c r="V467" s="133"/>
      <c r="W467" s="133"/>
      <c r="X467" s="133"/>
      <c r="Y467" s="133"/>
      <c r="Z467" s="133"/>
      <c r="AA467" s="133"/>
    </row>
    <row r="468" spans="1:27" ht="15.75" customHeight="1" x14ac:dyDescent="0.25">
      <c r="A468" s="133"/>
      <c r="B468" s="133"/>
      <c r="C468" s="133"/>
      <c r="D468" s="133"/>
      <c r="E468" s="133"/>
      <c r="F468" s="133"/>
      <c r="G468" s="133"/>
      <c r="H468" s="133"/>
      <c r="I468" s="133"/>
      <c r="K468" s="133"/>
      <c r="L468" s="133"/>
      <c r="M468" s="133"/>
      <c r="N468" s="133"/>
      <c r="O468" s="133"/>
      <c r="P468" s="133"/>
      <c r="Q468" s="133"/>
      <c r="R468" s="133"/>
      <c r="S468" s="133"/>
      <c r="T468" s="133"/>
      <c r="U468" s="133"/>
      <c r="V468" s="133"/>
      <c r="W468" s="133"/>
      <c r="X468" s="133"/>
      <c r="Y468" s="133"/>
      <c r="Z468" s="133"/>
      <c r="AA468" s="133"/>
    </row>
    <row r="469" spans="1:27" ht="15.75" customHeight="1" x14ac:dyDescent="0.25">
      <c r="A469" s="133"/>
      <c r="B469" s="133"/>
      <c r="C469" s="133"/>
      <c r="D469" s="133"/>
      <c r="E469" s="133"/>
      <c r="F469" s="133"/>
      <c r="G469" s="133"/>
      <c r="H469" s="133"/>
      <c r="I469" s="133"/>
      <c r="K469" s="133"/>
      <c r="L469" s="133"/>
      <c r="M469" s="133"/>
      <c r="N469" s="133"/>
      <c r="O469" s="133"/>
      <c r="P469" s="133"/>
      <c r="Q469" s="133"/>
      <c r="R469" s="133"/>
      <c r="S469" s="133"/>
      <c r="T469" s="133"/>
      <c r="U469" s="133"/>
      <c r="V469" s="133"/>
      <c r="W469" s="133"/>
      <c r="X469" s="133"/>
      <c r="Y469" s="133"/>
      <c r="Z469" s="133"/>
      <c r="AA469" s="133"/>
    </row>
    <row r="470" spans="1:27" ht="15.75" customHeight="1" x14ac:dyDescent="0.25">
      <c r="A470" s="133"/>
      <c r="B470" s="133"/>
      <c r="C470" s="133"/>
      <c r="D470" s="133"/>
      <c r="E470" s="133"/>
      <c r="F470" s="133"/>
      <c r="G470" s="133"/>
      <c r="H470" s="133"/>
      <c r="I470" s="133"/>
      <c r="K470" s="133"/>
      <c r="L470" s="133"/>
      <c r="M470" s="133"/>
      <c r="N470" s="133"/>
      <c r="O470" s="133"/>
      <c r="P470" s="133"/>
      <c r="Q470" s="133"/>
      <c r="R470" s="133"/>
      <c r="S470" s="133"/>
      <c r="T470" s="133"/>
      <c r="U470" s="133"/>
      <c r="V470" s="133"/>
      <c r="W470" s="133"/>
      <c r="X470" s="133"/>
      <c r="Y470" s="133"/>
      <c r="Z470" s="133"/>
      <c r="AA470" s="133"/>
    </row>
    <row r="471" spans="1:27" ht="15.75" customHeight="1" x14ac:dyDescent="0.25">
      <c r="A471" s="133"/>
      <c r="B471" s="133"/>
      <c r="C471" s="133"/>
      <c r="D471" s="133"/>
      <c r="E471" s="133"/>
      <c r="F471" s="133"/>
      <c r="G471" s="133"/>
      <c r="H471" s="133"/>
      <c r="I471" s="133"/>
      <c r="K471" s="133"/>
      <c r="L471" s="133"/>
      <c r="M471" s="133"/>
      <c r="N471" s="133"/>
      <c r="O471" s="133"/>
      <c r="P471" s="133"/>
      <c r="Q471" s="133"/>
      <c r="R471" s="133"/>
      <c r="S471" s="133"/>
      <c r="T471" s="133"/>
      <c r="U471" s="133"/>
      <c r="V471" s="133"/>
      <c r="W471" s="133"/>
      <c r="X471" s="133"/>
      <c r="Y471" s="133"/>
      <c r="Z471" s="133"/>
      <c r="AA471" s="133"/>
    </row>
    <row r="472" spans="1:27" ht="15.75" customHeight="1" x14ac:dyDescent="0.25">
      <c r="A472" s="133"/>
      <c r="B472" s="133"/>
      <c r="C472" s="133"/>
      <c r="D472" s="133"/>
      <c r="E472" s="133"/>
      <c r="F472" s="133"/>
      <c r="G472" s="133"/>
      <c r="H472" s="133"/>
      <c r="I472" s="133"/>
      <c r="K472" s="133"/>
      <c r="L472" s="133"/>
      <c r="M472" s="133"/>
      <c r="N472" s="133"/>
      <c r="O472" s="133"/>
      <c r="P472" s="133"/>
      <c r="Q472" s="133"/>
      <c r="R472" s="133"/>
      <c r="S472" s="133"/>
      <c r="T472" s="133"/>
      <c r="U472" s="133"/>
      <c r="V472" s="133"/>
      <c r="W472" s="133"/>
      <c r="X472" s="133"/>
      <c r="Y472" s="133"/>
      <c r="Z472" s="133"/>
      <c r="AA472" s="133"/>
    </row>
    <row r="473" spans="1:27" ht="15.75" customHeight="1" x14ac:dyDescent="0.25">
      <c r="A473" s="133"/>
      <c r="B473" s="133"/>
      <c r="C473" s="133"/>
      <c r="D473" s="133"/>
      <c r="E473" s="133"/>
      <c r="F473" s="133"/>
      <c r="G473" s="133"/>
      <c r="H473" s="133"/>
      <c r="I473" s="133"/>
      <c r="K473" s="133"/>
      <c r="L473" s="133"/>
      <c r="M473" s="133"/>
      <c r="N473" s="133"/>
      <c r="O473" s="133"/>
      <c r="P473" s="133"/>
      <c r="Q473" s="133"/>
      <c r="R473" s="133"/>
      <c r="S473" s="133"/>
      <c r="T473" s="133"/>
      <c r="U473" s="133"/>
      <c r="V473" s="133"/>
      <c r="W473" s="133"/>
      <c r="X473" s="133"/>
      <c r="Y473" s="133"/>
      <c r="Z473" s="133"/>
      <c r="AA473" s="133"/>
    </row>
    <row r="474" spans="1:27" ht="15.75" customHeight="1" x14ac:dyDescent="0.25">
      <c r="A474" s="133"/>
      <c r="B474" s="133"/>
      <c r="C474" s="133"/>
      <c r="D474" s="133"/>
      <c r="E474" s="133"/>
      <c r="F474" s="133"/>
      <c r="G474" s="133"/>
      <c r="H474" s="133"/>
      <c r="I474" s="133"/>
      <c r="K474" s="133"/>
      <c r="L474" s="133"/>
      <c r="M474" s="133"/>
      <c r="N474" s="133"/>
      <c r="O474" s="133"/>
      <c r="P474" s="133"/>
      <c r="Q474" s="133"/>
      <c r="R474" s="133"/>
      <c r="S474" s="133"/>
      <c r="T474" s="133"/>
      <c r="U474" s="133"/>
      <c r="V474" s="133"/>
      <c r="W474" s="133"/>
      <c r="X474" s="133"/>
      <c r="Y474" s="133"/>
      <c r="Z474" s="133"/>
      <c r="AA474" s="133"/>
    </row>
    <row r="475" spans="1:27" ht="15.75" customHeight="1" x14ac:dyDescent="0.25">
      <c r="A475" s="133"/>
      <c r="B475" s="133"/>
      <c r="C475" s="133"/>
      <c r="D475" s="133"/>
      <c r="E475" s="133"/>
      <c r="F475" s="133"/>
      <c r="G475" s="133"/>
      <c r="H475" s="133"/>
      <c r="I475" s="133"/>
      <c r="K475" s="133"/>
      <c r="L475" s="133"/>
      <c r="M475" s="133"/>
      <c r="N475" s="133"/>
      <c r="O475" s="133"/>
      <c r="P475" s="133"/>
      <c r="Q475" s="133"/>
      <c r="R475" s="133"/>
      <c r="S475" s="133"/>
      <c r="T475" s="133"/>
      <c r="U475" s="133"/>
      <c r="V475" s="133"/>
      <c r="W475" s="133"/>
      <c r="X475" s="133"/>
      <c r="Y475" s="133"/>
      <c r="Z475" s="133"/>
      <c r="AA475" s="133"/>
    </row>
    <row r="476" spans="1:27" ht="15.75" customHeight="1" x14ac:dyDescent="0.25">
      <c r="A476" s="133"/>
      <c r="B476" s="133"/>
      <c r="C476" s="133"/>
      <c r="D476" s="133"/>
      <c r="E476" s="133"/>
      <c r="F476" s="133"/>
      <c r="G476" s="133"/>
      <c r="H476" s="133"/>
      <c r="I476" s="133"/>
      <c r="K476" s="133"/>
      <c r="L476" s="133"/>
      <c r="M476" s="133"/>
      <c r="N476" s="133"/>
      <c r="O476" s="133"/>
      <c r="P476" s="133"/>
      <c r="Q476" s="133"/>
      <c r="R476" s="133"/>
      <c r="S476" s="133"/>
      <c r="T476" s="133"/>
      <c r="U476" s="133"/>
      <c r="V476" s="133"/>
      <c r="W476" s="133"/>
      <c r="X476" s="133"/>
      <c r="Y476" s="133"/>
      <c r="Z476" s="133"/>
      <c r="AA476" s="133"/>
    </row>
    <row r="477" spans="1:27" ht="15.75" customHeight="1" x14ac:dyDescent="0.25">
      <c r="A477" s="133"/>
      <c r="B477" s="133"/>
      <c r="C477" s="133"/>
      <c r="D477" s="133"/>
      <c r="E477" s="133"/>
      <c r="F477" s="133"/>
      <c r="G477" s="133"/>
      <c r="H477" s="133"/>
      <c r="I477" s="133"/>
      <c r="K477" s="133"/>
      <c r="L477" s="133"/>
      <c r="M477" s="133"/>
      <c r="N477" s="133"/>
      <c r="O477" s="133"/>
      <c r="P477" s="133"/>
      <c r="Q477" s="133"/>
      <c r="R477" s="133"/>
      <c r="S477" s="133"/>
      <c r="T477" s="133"/>
      <c r="U477" s="133"/>
      <c r="V477" s="133"/>
      <c r="W477" s="133"/>
      <c r="X477" s="133"/>
      <c r="Y477" s="133"/>
      <c r="Z477" s="133"/>
      <c r="AA477" s="133"/>
    </row>
    <row r="478" spans="1:27" ht="15.75" customHeight="1" x14ac:dyDescent="0.25">
      <c r="A478" s="133"/>
      <c r="B478" s="133"/>
      <c r="C478" s="133"/>
      <c r="D478" s="133"/>
      <c r="E478" s="133"/>
      <c r="F478" s="133"/>
      <c r="G478" s="133"/>
      <c r="H478" s="133"/>
      <c r="I478" s="133"/>
      <c r="K478" s="133"/>
      <c r="L478" s="133"/>
      <c r="M478" s="133"/>
      <c r="N478" s="133"/>
      <c r="O478" s="133"/>
      <c r="P478" s="133"/>
      <c r="Q478" s="133"/>
      <c r="R478" s="133"/>
      <c r="S478" s="133"/>
      <c r="T478" s="133"/>
      <c r="U478" s="133"/>
      <c r="V478" s="133"/>
      <c r="W478" s="133"/>
      <c r="X478" s="133"/>
      <c r="Y478" s="133"/>
      <c r="Z478" s="133"/>
      <c r="AA478" s="133"/>
    </row>
    <row r="479" spans="1:27" ht="15.75" customHeight="1" x14ac:dyDescent="0.25">
      <c r="A479" s="133"/>
      <c r="B479" s="133"/>
      <c r="C479" s="133"/>
      <c r="D479" s="133"/>
      <c r="E479" s="133"/>
      <c r="F479" s="133"/>
      <c r="G479" s="133"/>
      <c r="H479" s="133"/>
      <c r="I479" s="133"/>
      <c r="K479" s="133"/>
      <c r="L479" s="133"/>
      <c r="M479" s="133"/>
      <c r="N479" s="133"/>
      <c r="O479" s="133"/>
      <c r="P479" s="133"/>
      <c r="Q479" s="133"/>
      <c r="R479" s="133"/>
      <c r="S479" s="133"/>
      <c r="T479" s="133"/>
      <c r="U479" s="133"/>
      <c r="V479" s="133"/>
      <c r="W479" s="133"/>
      <c r="X479" s="133"/>
      <c r="Y479" s="133"/>
      <c r="Z479" s="133"/>
      <c r="AA479" s="133"/>
    </row>
    <row r="480" spans="1:27" ht="15.75" customHeight="1" x14ac:dyDescent="0.25">
      <c r="A480" s="133"/>
      <c r="B480" s="133"/>
      <c r="C480" s="133"/>
      <c r="D480" s="133"/>
      <c r="E480" s="133"/>
      <c r="F480" s="133"/>
      <c r="G480" s="133"/>
      <c r="H480" s="133"/>
      <c r="I480" s="133"/>
      <c r="K480" s="133"/>
      <c r="L480" s="133"/>
      <c r="M480" s="133"/>
      <c r="N480" s="133"/>
      <c r="O480" s="133"/>
      <c r="P480" s="133"/>
      <c r="Q480" s="133"/>
      <c r="R480" s="133"/>
      <c r="S480" s="133"/>
      <c r="T480" s="133"/>
      <c r="U480" s="133"/>
      <c r="V480" s="133"/>
      <c r="W480" s="133"/>
      <c r="X480" s="133"/>
      <c r="Y480" s="133"/>
      <c r="Z480" s="133"/>
      <c r="AA480" s="133"/>
    </row>
    <row r="481" spans="1:27" ht="15.75" customHeight="1" x14ac:dyDescent="0.25">
      <c r="A481" s="133"/>
      <c r="B481" s="133"/>
      <c r="C481" s="133"/>
      <c r="D481" s="133"/>
      <c r="E481" s="133"/>
      <c r="F481" s="133"/>
      <c r="G481" s="133"/>
      <c r="H481" s="133"/>
      <c r="I481" s="133"/>
      <c r="K481" s="133"/>
      <c r="L481" s="133"/>
      <c r="M481" s="133"/>
      <c r="N481" s="133"/>
      <c r="O481" s="133"/>
      <c r="P481" s="133"/>
      <c r="Q481" s="133"/>
      <c r="R481" s="133"/>
      <c r="S481" s="133"/>
      <c r="T481" s="133"/>
      <c r="U481" s="133"/>
      <c r="V481" s="133"/>
      <c r="W481" s="133"/>
      <c r="X481" s="133"/>
      <c r="Y481" s="133"/>
      <c r="Z481" s="133"/>
      <c r="AA481" s="133"/>
    </row>
    <row r="482" spans="1:27" ht="15.75" customHeight="1" x14ac:dyDescent="0.25">
      <c r="A482" s="133"/>
      <c r="B482" s="133"/>
      <c r="C482" s="133"/>
      <c r="D482" s="133"/>
      <c r="E482" s="133"/>
      <c r="F482" s="133"/>
      <c r="G482" s="133"/>
      <c r="H482" s="133"/>
      <c r="I482" s="133"/>
      <c r="K482" s="133"/>
      <c r="L482" s="133"/>
      <c r="M482" s="133"/>
      <c r="N482" s="133"/>
      <c r="O482" s="133"/>
      <c r="P482" s="133"/>
      <c r="Q482" s="133"/>
      <c r="R482" s="133"/>
      <c r="S482" s="133"/>
      <c r="T482" s="133"/>
      <c r="U482" s="133"/>
      <c r="V482" s="133"/>
      <c r="W482" s="133"/>
      <c r="X482" s="133"/>
      <c r="Y482" s="133"/>
      <c r="Z482" s="133"/>
      <c r="AA482" s="133"/>
    </row>
    <row r="483" spans="1:27" ht="15.75" customHeight="1" x14ac:dyDescent="0.25">
      <c r="A483" s="133"/>
      <c r="B483" s="133"/>
      <c r="C483" s="133"/>
      <c r="D483" s="133"/>
      <c r="E483" s="133"/>
      <c r="F483" s="133"/>
      <c r="G483" s="133"/>
      <c r="H483" s="133"/>
      <c r="I483" s="133"/>
      <c r="K483" s="133"/>
      <c r="L483" s="133"/>
      <c r="M483" s="133"/>
      <c r="N483" s="133"/>
      <c r="O483" s="133"/>
      <c r="P483" s="133"/>
      <c r="Q483" s="133"/>
      <c r="R483" s="133"/>
      <c r="S483" s="133"/>
      <c r="T483" s="133"/>
      <c r="U483" s="133"/>
      <c r="V483" s="133"/>
      <c r="W483" s="133"/>
      <c r="X483" s="133"/>
      <c r="Y483" s="133"/>
      <c r="Z483" s="133"/>
      <c r="AA483" s="133"/>
    </row>
    <row r="484" spans="1:27" ht="15.75" customHeight="1" x14ac:dyDescent="0.25">
      <c r="A484" s="133"/>
      <c r="B484" s="133"/>
      <c r="C484" s="133"/>
      <c r="D484" s="133"/>
      <c r="E484" s="133"/>
      <c r="F484" s="133"/>
      <c r="G484" s="133"/>
      <c r="H484" s="133"/>
      <c r="I484" s="133"/>
      <c r="K484" s="133"/>
      <c r="L484" s="133"/>
      <c r="M484" s="133"/>
      <c r="N484" s="133"/>
      <c r="O484" s="133"/>
      <c r="P484" s="133"/>
      <c r="Q484" s="133"/>
      <c r="R484" s="133"/>
      <c r="S484" s="133"/>
      <c r="T484" s="133"/>
      <c r="U484" s="133"/>
      <c r="V484" s="133"/>
      <c r="W484" s="133"/>
      <c r="X484" s="133"/>
      <c r="Y484" s="133"/>
      <c r="Z484" s="133"/>
      <c r="AA484" s="133"/>
    </row>
    <row r="485" spans="1:27" ht="15.75" customHeight="1" x14ac:dyDescent="0.25">
      <c r="A485" s="133"/>
      <c r="B485" s="133"/>
      <c r="C485" s="133"/>
      <c r="D485" s="133"/>
      <c r="E485" s="133"/>
      <c r="F485" s="133"/>
      <c r="G485" s="133"/>
      <c r="H485" s="133"/>
      <c r="I485" s="133"/>
      <c r="K485" s="133"/>
      <c r="L485" s="133"/>
      <c r="M485" s="133"/>
      <c r="N485" s="133"/>
      <c r="O485" s="133"/>
      <c r="P485" s="133"/>
      <c r="Q485" s="133"/>
      <c r="R485" s="133"/>
      <c r="S485" s="133"/>
      <c r="T485" s="133"/>
      <c r="U485" s="133"/>
      <c r="V485" s="133"/>
      <c r="W485" s="133"/>
      <c r="X485" s="133"/>
      <c r="Y485" s="133"/>
      <c r="Z485" s="133"/>
      <c r="AA485" s="133"/>
    </row>
    <row r="486" spans="1:27" ht="15.75" customHeight="1" x14ac:dyDescent="0.25">
      <c r="A486" s="133"/>
      <c r="B486" s="133"/>
      <c r="C486" s="133"/>
      <c r="D486" s="133"/>
      <c r="E486" s="133"/>
      <c r="F486" s="133"/>
      <c r="G486" s="133"/>
      <c r="H486" s="133"/>
      <c r="I486" s="133"/>
      <c r="K486" s="133"/>
      <c r="L486" s="133"/>
      <c r="M486" s="133"/>
      <c r="N486" s="133"/>
      <c r="O486" s="133"/>
      <c r="P486" s="133"/>
      <c r="Q486" s="133"/>
      <c r="R486" s="133"/>
      <c r="S486" s="133"/>
      <c r="T486" s="133"/>
      <c r="U486" s="133"/>
      <c r="V486" s="133"/>
      <c r="W486" s="133"/>
      <c r="X486" s="133"/>
      <c r="Y486" s="133"/>
      <c r="Z486" s="133"/>
      <c r="AA486" s="133"/>
    </row>
    <row r="487" spans="1:27" ht="15.75" customHeight="1" x14ac:dyDescent="0.25">
      <c r="A487" s="133"/>
      <c r="B487" s="133"/>
      <c r="C487" s="133"/>
      <c r="D487" s="133"/>
      <c r="E487" s="133"/>
      <c r="F487" s="133"/>
      <c r="G487" s="133"/>
      <c r="H487" s="133"/>
      <c r="I487" s="133"/>
      <c r="K487" s="133"/>
      <c r="L487" s="133"/>
      <c r="M487" s="133"/>
      <c r="N487" s="133"/>
      <c r="O487" s="133"/>
      <c r="P487" s="133"/>
      <c r="Q487" s="133"/>
      <c r="R487" s="133"/>
      <c r="S487" s="133"/>
      <c r="T487" s="133"/>
      <c r="U487" s="133"/>
      <c r="V487" s="133"/>
      <c r="W487" s="133"/>
      <c r="X487" s="133"/>
      <c r="Y487" s="133"/>
      <c r="Z487" s="133"/>
      <c r="AA487" s="133"/>
    </row>
    <row r="488" spans="1:27" ht="15.75" customHeight="1" x14ac:dyDescent="0.25">
      <c r="A488" s="133"/>
      <c r="B488" s="133"/>
      <c r="C488" s="133"/>
      <c r="D488" s="133"/>
      <c r="E488" s="133"/>
      <c r="F488" s="133"/>
      <c r="G488" s="133"/>
      <c r="H488" s="133"/>
      <c r="I488" s="133"/>
      <c r="K488" s="133"/>
      <c r="L488" s="133"/>
      <c r="M488" s="133"/>
      <c r="N488" s="133"/>
      <c r="O488" s="133"/>
      <c r="P488" s="133"/>
      <c r="Q488" s="133"/>
      <c r="R488" s="133"/>
      <c r="S488" s="133"/>
      <c r="T488" s="133"/>
      <c r="U488" s="133"/>
      <c r="V488" s="133"/>
      <c r="W488" s="133"/>
      <c r="X488" s="133"/>
      <c r="Y488" s="133"/>
      <c r="Z488" s="133"/>
      <c r="AA488" s="133"/>
    </row>
    <row r="489" spans="1:27" ht="15.75" customHeight="1" x14ac:dyDescent="0.25">
      <c r="A489" s="133"/>
      <c r="B489" s="133"/>
      <c r="C489" s="133"/>
      <c r="D489" s="133"/>
      <c r="E489" s="133"/>
      <c r="F489" s="133"/>
      <c r="G489" s="133"/>
      <c r="H489" s="133"/>
      <c r="I489" s="133"/>
      <c r="K489" s="133"/>
      <c r="L489" s="133"/>
      <c r="M489" s="133"/>
      <c r="N489" s="133"/>
      <c r="O489" s="133"/>
      <c r="P489" s="133"/>
      <c r="Q489" s="133"/>
      <c r="R489" s="133"/>
      <c r="S489" s="133"/>
      <c r="T489" s="133"/>
      <c r="U489" s="133"/>
      <c r="V489" s="133"/>
      <c r="W489" s="133"/>
      <c r="X489" s="133"/>
      <c r="Y489" s="133"/>
      <c r="Z489" s="133"/>
      <c r="AA489" s="133"/>
    </row>
    <row r="490" spans="1:27" ht="15.75" customHeight="1" x14ac:dyDescent="0.25">
      <c r="A490" s="133"/>
      <c r="B490" s="133"/>
      <c r="C490" s="133"/>
      <c r="D490" s="133"/>
      <c r="E490" s="133"/>
      <c r="F490" s="133"/>
      <c r="G490" s="133"/>
      <c r="H490" s="133"/>
      <c r="I490" s="133"/>
      <c r="K490" s="133"/>
      <c r="L490" s="133"/>
      <c r="M490" s="133"/>
      <c r="N490" s="133"/>
      <c r="O490" s="133"/>
      <c r="P490" s="133"/>
      <c r="Q490" s="133"/>
      <c r="R490" s="133"/>
      <c r="S490" s="133"/>
      <c r="T490" s="133"/>
      <c r="U490" s="133"/>
      <c r="V490" s="133"/>
      <c r="W490" s="133"/>
      <c r="X490" s="133"/>
      <c r="Y490" s="133"/>
      <c r="Z490" s="133"/>
      <c r="AA490" s="133"/>
    </row>
    <row r="491" spans="1:27" ht="15.75" customHeight="1" x14ac:dyDescent="0.25">
      <c r="A491" s="133"/>
      <c r="B491" s="133"/>
      <c r="C491" s="133"/>
      <c r="D491" s="133"/>
      <c r="E491" s="133"/>
      <c r="F491" s="133"/>
      <c r="G491" s="133"/>
      <c r="H491" s="133"/>
      <c r="I491" s="133"/>
      <c r="K491" s="133"/>
      <c r="L491" s="133"/>
      <c r="M491" s="133"/>
      <c r="N491" s="133"/>
      <c r="O491" s="133"/>
      <c r="P491" s="133"/>
      <c r="Q491" s="133"/>
      <c r="R491" s="133"/>
      <c r="S491" s="133"/>
      <c r="T491" s="133"/>
      <c r="U491" s="133"/>
      <c r="V491" s="133"/>
      <c r="W491" s="133"/>
      <c r="X491" s="133"/>
      <c r="Y491" s="133"/>
      <c r="Z491" s="133"/>
      <c r="AA491" s="133"/>
    </row>
    <row r="492" spans="1:27" ht="15.75" customHeight="1" x14ac:dyDescent="0.25">
      <c r="A492" s="133"/>
      <c r="B492" s="133"/>
      <c r="C492" s="133"/>
      <c r="D492" s="133"/>
      <c r="E492" s="133"/>
      <c r="F492" s="133"/>
      <c r="G492" s="133"/>
      <c r="H492" s="133"/>
      <c r="I492" s="133"/>
      <c r="K492" s="133"/>
      <c r="L492" s="133"/>
      <c r="M492" s="133"/>
      <c r="N492" s="133"/>
      <c r="O492" s="133"/>
      <c r="P492" s="133"/>
      <c r="Q492" s="133"/>
      <c r="R492" s="133"/>
      <c r="S492" s="133"/>
      <c r="T492" s="133"/>
      <c r="U492" s="133"/>
      <c r="V492" s="133"/>
      <c r="W492" s="133"/>
      <c r="X492" s="133"/>
      <c r="Y492" s="133"/>
      <c r="Z492" s="133"/>
      <c r="AA492" s="133"/>
    </row>
    <row r="493" spans="1:27" ht="15.75" customHeight="1" x14ac:dyDescent="0.25">
      <c r="A493" s="133"/>
      <c r="B493" s="133"/>
      <c r="C493" s="133"/>
      <c r="D493" s="133"/>
      <c r="E493" s="133"/>
      <c r="F493" s="133"/>
      <c r="G493" s="133"/>
      <c r="H493" s="133"/>
      <c r="I493" s="133"/>
      <c r="K493" s="133"/>
      <c r="L493" s="133"/>
      <c r="M493" s="133"/>
      <c r="N493" s="133"/>
      <c r="O493" s="133"/>
      <c r="P493" s="133"/>
      <c r="Q493" s="133"/>
      <c r="R493" s="133"/>
      <c r="S493" s="133"/>
      <c r="T493" s="133"/>
      <c r="U493" s="133"/>
      <c r="V493" s="133"/>
      <c r="W493" s="133"/>
      <c r="X493" s="133"/>
      <c r="Y493" s="133"/>
      <c r="Z493" s="133"/>
      <c r="AA493" s="133"/>
    </row>
    <row r="494" spans="1:27" ht="15.75" customHeight="1" x14ac:dyDescent="0.25">
      <c r="A494" s="133"/>
      <c r="B494" s="133"/>
      <c r="C494" s="133"/>
      <c r="D494" s="133"/>
      <c r="E494" s="133"/>
      <c r="F494" s="133"/>
      <c r="G494" s="133"/>
      <c r="H494" s="133"/>
      <c r="I494" s="133"/>
      <c r="K494" s="133"/>
      <c r="L494" s="133"/>
      <c r="M494" s="133"/>
      <c r="N494" s="133"/>
      <c r="O494" s="133"/>
      <c r="P494" s="133"/>
      <c r="Q494" s="133"/>
      <c r="R494" s="133"/>
      <c r="S494" s="133"/>
      <c r="T494" s="133"/>
      <c r="U494" s="133"/>
      <c r="V494" s="133"/>
      <c r="W494" s="133"/>
      <c r="X494" s="133"/>
      <c r="Y494" s="133"/>
      <c r="Z494" s="133"/>
      <c r="AA494" s="133"/>
    </row>
    <row r="495" spans="1:27" ht="15.75" customHeight="1" x14ac:dyDescent="0.25">
      <c r="A495" s="133"/>
      <c r="B495" s="133"/>
      <c r="C495" s="133"/>
      <c r="D495" s="133"/>
      <c r="E495" s="133"/>
      <c r="F495" s="133"/>
      <c r="G495" s="133"/>
      <c r="H495" s="133"/>
      <c r="I495" s="133"/>
      <c r="K495" s="133"/>
      <c r="L495" s="133"/>
      <c r="M495" s="133"/>
      <c r="N495" s="133"/>
      <c r="O495" s="133"/>
      <c r="P495" s="133"/>
      <c r="Q495" s="133"/>
      <c r="R495" s="133"/>
      <c r="S495" s="133"/>
      <c r="T495" s="133"/>
      <c r="U495" s="133"/>
      <c r="V495" s="133"/>
      <c r="W495" s="133"/>
      <c r="X495" s="133"/>
      <c r="Y495" s="133"/>
      <c r="Z495" s="133"/>
      <c r="AA495" s="133"/>
    </row>
    <row r="496" spans="1:27" ht="15.75" customHeight="1" x14ac:dyDescent="0.25">
      <c r="A496" s="133"/>
      <c r="B496" s="133"/>
      <c r="C496" s="133"/>
      <c r="D496" s="133"/>
      <c r="E496" s="133"/>
      <c r="F496" s="133"/>
      <c r="G496" s="133"/>
      <c r="H496" s="133"/>
      <c r="I496" s="133"/>
      <c r="K496" s="133"/>
      <c r="L496" s="133"/>
      <c r="M496" s="133"/>
      <c r="N496" s="133"/>
      <c r="O496" s="133"/>
      <c r="P496" s="133"/>
      <c r="Q496" s="133"/>
      <c r="R496" s="133"/>
      <c r="S496" s="133"/>
      <c r="T496" s="133"/>
      <c r="U496" s="133"/>
      <c r="V496" s="133"/>
      <c r="W496" s="133"/>
      <c r="X496" s="133"/>
      <c r="Y496" s="133"/>
      <c r="Z496" s="133"/>
      <c r="AA496" s="133"/>
    </row>
    <row r="497" spans="1:27" ht="15.75" customHeight="1" x14ac:dyDescent="0.25">
      <c r="A497" s="133"/>
      <c r="B497" s="133"/>
      <c r="C497" s="133"/>
      <c r="D497" s="133"/>
      <c r="E497" s="133"/>
      <c r="F497" s="133"/>
      <c r="G497" s="133"/>
      <c r="H497" s="133"/>
      <c r="I497" s="133"/>
      <c r="K497" s="133"/>
      <c r="L497" s="133"/>
      <c r="M497" s="133"/>
      <c r="N497" s="133"/>
      <c r="O497" s="133"/>
      <c r="P497" s="133"/>
      <c r="Q497" s="133"/>
      <c r="R497" s="133"/>
      <c r="S497" s="133"/>
      <c r="T497" s="133"/>
      <c r="U497" s="133"/>
      <c r="V497" s="133"/>
      <c r="W497" s="133"/>
      <c r="X497" s="133"/>
      <c r="Y497" s="133"/>
      <c r="Z497" s="133"/>
      <c r="AA497" s="133"/>
    </row>
    <row r="498" spans="1:27" ht="15.75" customHeight="1" x14ac:dyDescent="0.25">
      <c r="A498" s="133"/>
      <c r="B498" s="133"/>
      <c r="C498" s="133"/>
      <c r="D498" s="133"/>
      <c r="E498" s="133"/>
      <c r="F498" s="133"/>
      <c r="G498" s="133"/>
      <c r="H498" s="133"/>
      <c r="I498" s="133"/>
      <c r="K498" s="133"/>
      <c r="L498" s="133"/>
      <c r="M498" s="133"/>
      <c r="N498" s="133"/>
      <c r="O498" s="133"/>
      <c r="P498" s="133"/>
      <c r="Q498" s="133"/>
      <c r="R498" s="133"/>
      <c r="S498" s="133"/>
      <c r="T498" s="133"/>
      <c r="U498" s="133"/>
      <c r="V498" s="133"/>
      <c r="W498" s="133"/>
      <c r="X498" s="133"/>
      <c r="Y498" s="133"/>
      <c r="Z498" s="133"/>
      <c r="AA498" s="133"/>
    </row>
    <row r="499" spans="1:27" ht="15.75" customHeight="1" x14ac:dyDescent="0.25">
      <c r="A499" s="133"/>
      <c r="B499" s="133"/>
      <c r="C499" s="133"/>
      <c r="D499" s="133"/>
      <c r="E499" s="133"/>
      <c r="F499" s="133"/>
      <c r="G499" s="133"/>
      <c r="H499" s="133"/>
      <c r="I499" s="133"/>
      <c r="K499" s="133"/>
      <c r="L499" s="133"/>
      <c r="M499" s="133"/>
      <c r="N499" s="133"/>
      <c r="O499" s="133"/>
      <c r="P499" s="133"/>
      <c r="Q499" s="133"/>
      <c r="R499" s="133"/>
      <c r="S499" s="133"/>
      <c r="T499" s="133"/>
      <c r="U499" s="133"/>
      <c r="V499" s="133"/>
      <c r="W499" s="133"/>
      <c r="X499" s="133"/>
      <c r="Y499" s="133"/>
      <c r="Z499" s="133"/>
      <c r="AA499" s="133"/>
    </row>
    <row r="500" spans="1:27" ht="15.75" customHeight="1" x14ac:dyDescent="0.25">
      <c r="A500" s="133"/>
      <c r="B500" s="133"/>
      <c r="C500" s="133"/>
      <c r="D500" s="133"/>
      <c r="E500" s="133"/>
      <c r="F500" s="133"/>
      <c r="G500" s="133"/>
      <c r="H500" s="133"/>
      <c r="I500" s="133"/>
      <c r="K500" s="133"/>
      <c r="L500" s="133"/>
      <c r="M500" s="133"/>
      <c r="N500" s="133"/>
      <c r="O500" s="133"/>
      <c r="P500" s="133"/>
      <c r="Q500" s="133"/>
      <c r="R500" s="133"/>
      <c r="S500" s="133"/>
      <c r="T500" s="133"/>
      <c r="U500" s="133"/>
      <c r="V500" s="133"/>
      <c r="W500" s="133"/>
      <c r="X500" s="133"/>
      <c r="Y500" s="133"/>
      <c r="Z500" s="133"/>
      <c r="AA500" s="133"/>
    </row>
    <row r="501" spans="1:27" ht="15.75" customHeight="1" x14ac:dyDescent="0.25">
      <c r="A501" s="133"/>
      <c r="B501" s="133"/>
      <c r="C501" s="133"/>
      <c r="D501" s="133"/>
      <c r="E501" s="133"/>
      <c r="F501" s="133"/>
      <c r="G501" s="133"/>
      <c r="H501" s="133"/>
      <c r="I501" s="133"/>
      <c r="K501" s="133"/>
      <c r="L501" s="133"/>
      <c r="M501" s="133"/>
      <c r="N501" s="133"/>
      <c r="O501" s="133"/>
      <c r="P501" s="133"/>
      <c r="Q501" s="133"/>
      <c r="R501" s="133"/>
      <c r="S501" s="133"/>
      <c r="T501" s="133"/>
      <c r="U501" s="133"/>
      <c r="V501" s="133"/>
      <c r="W501" s="133"/>
      <c r="X501" s="133"/>
      <c r="Y501" s="133"/>
      <c r="Z501" s="133"/>
      <c r="AA501" s="133"/>
    </row>
    <row r="502" spans="1:27" ht="15.75" customHeight="1" x14ac:dyDescent="0.25">
      <c r="A502" s="133"/>
      <c r="B502" s="133"/>
      <c r="C502" s="133"/>
      <c r="D502" s="133"/>
      <c r="E502" s="133"/>
      <c r="F502" s="133"/>
      <c r="G502" s="133"/>
      <c r="H502" s="133"/>
      <c r="I502" s="133"/>
      <c r="K502" s="133"/>
      <c r="L502" s="133"/>
      <c r="M502" s="133"/>
      <c r="N502" s="133"/>
      <c r="O502" s="133"/>
      <c r="P502" s="133"/>
      <c r="Q502" s="133"/>
      <c r="R502" s="133"/>
      <c r="S502" s="133"/>
      <c r="T502" s="133"/>
      <c r="U502" s="133"/>
      <c r="V502" s="133"/>
      <c r="W502" s="133"/>
      <c r="X502" s="133"/>
      <c r="Y502" s="133"/>
      <c r="Z502" s="133"/>
      <c r="AA502" s="133"/>
    </row>
    <row r="503" spans="1:27" ht="15.75" customHeight="1" x14ac:dyDescent="0.25">
      <c r="A503" s="133"/>
      <c r="B503" s="133"/>
      <c r="C503" s="133"/>
      <c r="D503" s="133"/>
      <c r="E503" s="133"/>
      <c r="F503" s="133"/>
      <c r="G503" s="133"/>
      <c r="H503" s="133"/>
      <c r="I503" s="133"/>
      <c r="K503" s="133"/>
      <c r="L503" s="133"/>
      <c r="M503" s="133"/>
      <c r="N503" s="133"/>
      <c r="O503" s="133"/>
      <c r="P503" s="133"/>
      <c r="Q503" s="133"/>
      <c r="R503" s="133"/>
      <c r="S503" s="133"/>
      <c r="T503" s="133"/>
      <c r="U503" s="133"/>
      <c r="V503" s="133"/>
      <c r="W503" s="133"/>
      <c r="X503" s="133"/>
      <c r="Y503" s="133"/>
      <c r="Z503" s="133"/>
      <c r="AA503" s="133"/>
    </row>
    <row r="504" spans="1:27" ht="15.75" customHeight="1" x14ac:dyDescent="0.25">
      <c r="A504" s="133"/>
      <c r="B504" s="133"/>
      <c r="C504" s="133"/>
      <c r="D504" s="133"/>
      <c r="E504" s="133"/>
      <c r="F504" s="133"/>
      <c r="G504" s="133"/>
      <c r="H504" s="133"/>
      <c r="I504" s="133"/>
      <c r="K504" s="133"/>
      <c r="L504" s="133"/>
      <c r="M504" s="133"/>
      <c r="N504" s="133"/>
      <c r="O504" s="133"/>
      <c r="P504" s="133"/>
      <c r="Q504" s="133"/>
      <c r="R504" s="133"/>
      <c r="S504" s="133"/>
      <c r="T504" s="133"/>
      <c r="U504" s="133"/>
      <c r="V504" s="133"/>
      <c r="W504" s="133"/>
      <c r="X504" s="133"/>
      <c r="Y504" s="133"/>
      <c r="Z504" s="133"/>
      <c r="AA504" s="133"/>
    </row>
    <row r="505" spans="1:27" ht="15.75" customHeight="1" x14ac:dyDescent="0.25">
      <c r="A505" s="133"/>
      <c r="B505" s="133"/>
      <c r="C505" s="133"/>
      <c r="D505" s="133"/>
      <c r="E505" s="133"/>
      <c r="F505" s="133"/>
      <c r="G505" s="133"/>
      <c r="H505" s="133"/>
      <c r="I505" s="133"/>
      <c r="K505" s="133"/>
      <c r="L505" s="133"/>
      <c r="M505" s="133"/>
      <c r="N505" s="133"/>
      <c r="O505" s="133"/>
      <c r="P505" s="133"/>
      <c r="Q505" s="133"/>
      <c r="R505" s="133"/>
      <c r="S505" s="133"/>
      <c r="T505" s="133"/>
      <c r="U505" s="133"/>
      <c r="V505" s="133"/>
      <c r="W505" s="133"/>
      <c r="X505" s="133"/>
      <c r="Y505" s="133"/>
      <c r="Z505" s="133"/>
      <c r="AA505" s="133"/>
    </row>
    <row r="506" spans="1:27" ht="15.75" customHeight="1" x14ac:dyDescent="0.25">
      <c r="A506" s="133"/>
      <c r="B506" s="133"/>
      <c r="C506" s="133"/>
      <c r="D506" s="133"/>
      <c r="E506" s="133"/>
      <c r="F506" s="133"/>
      <c r="G506" s="133"/>
      <c r="H506" s="133"/>
      <c r="I506" s="133"/>
      <c r="K506" s="133"/>
      <c r="L506" s="133"/>
      <c r="M506" s="133"/>
      <c r="N506" s="133"/>
      <c r="O506" s="133"/>
      <c r="P506" s="133"/>
      <c r="Q506" s="133"/>
      <c r="R506" s="133"/>
      <c r="S506" s="133"/>
      <c r="T506" s="133"/>
      <c r="U506" s="133"/>
      <c r="V506" s="133"/>
      <c r="W506" s="133"/>
      <c r="X506" s="133"/>
      <c r="Y506" s="133"/>
      <c r="Z506" s="133"/>
      <c r="AA506" s="133"/>
    </row>
    <row r="507" spans="1:27" ht="15.75" customHeight="1" x14ac:dyDescent="0.25">
      <c r="A507" s="133"/>
      <c r="B507" s="133"/>
      <c r="C507" s="133"/>
      <c r="D507" s="133"/>
      <c r="E507" s="133"/>
      <c r="F507" s="133"/>
      <c r="G507" s="133"/>
      <c r="H507" s="133"/>
      <c r="I507" s="133"/>
      <c r="K507" s="133"/>
      <c r="L507" s="133"/>
      <c r="M507" s="133"/>
      <c r="N507" s="133"/>
      <c r="O507" s="133"/>
      <c r="P507" s="133"/>
      <c r="Q507" s="133"/>
      <c r="R507" s="133"/>
      <c r="S507" s="133"/>
      <c r="T507" s="133"/>
      <c r="U507" s="133"/>
      <c r="V507" s="133"/>
      <c r="W507" s="133"/>
      <c r="X507" s="133"/>
      <c r="Y507" s="133"/>
      <c r="Z507" s="133"/>
      <c r="AA507" s="133"/>
    </row>
    <row r="508" spans="1:27" ht="15.75" customHeight="1" x14ac:dyDescent="0.25">
      <c r="A508" s="133"/>
      <c r="B508" s="133"/>
      <c r="C508" s="133"/>
      <c r="D508" s="133"/>
      <c r="E508" s="133"/>
      <c r="F508" s="133"/>
      <c r="G508" s="133"/>
      <c r="H508" s="133"/>
      <c r="I508" s="133"/>
      <c r="K508" s="133"/>
      <c r="L508" s="133"/>
      <c r="M508" s="133"/>
      <c r="N508" s="133"/>
      <c r="O508" s="133"/>
      <c r="P508" s="133"/>
      <c r="Q508" s="133"/>
      <c r="R508" s="133"/>
      <c r="S508" s="133"/>
      <c r="T508" s="133"/>
      <c r="U508" s="133"/>
      <c r="V508" s="133"/>
      <c r="W508" s="133"/>
      <c r="X508" s="133"/>
      <c r="Y508" s="133"/>
      <c r="Z508" s="133"/>
      <c r="AA508" s="133"/>
    </row>
    <row r="509" spans="1:27" ht="15.75" customHeight="1" x14ac:dyDescent="0.25">
      <c r="A509" s="133"/>
      <c r="B509" s="133"/>
      <c r="C509" s="133"/>
      <c r="D509" s="133"/>
      <c r="E509" s="133"/>
      <c r="F509" s="133"/>
      <c r="G509" s="133"/>
      <c r="H509" s="133"/>
      <c r="I509" s="133"/>
      <c r="K509" s="133"/>
      <c r="L509" s="133"/>
      <c r="M509" s="133"/>
      <c r="N509" s="133"/>
      <c r="O509" s="133"/>
      <c r="P509" s="133"/>
      <c r="Q509" s="133"/>
      <c r="R509" s="133"/>
      <c r="S509" s="133"/>
      <c r="T509" s="133"/>
      <c r="U509" s="133"/>
      <c r="V509" s="133"/>
      <c r="W509" s="133"/>
      <c r="X509" s="133"/>
      <c r="Y509" s="133"/>
      <c r="Z509" s="133"/>
      <c r="AA509" s="133"/>
    </row>
    <row r="510" spans="1:27" ht="15.75" customHeight="1" x14ac:dyDescent="0.25">
      <c r="A510" s="133"/>
      <c r="B510" s="133"/>
      <c r="C510" s="133"/>
      <c r="D510" s="133"/>
      <c r="E510" s="133"/>
      <c r="F510" s="133"/>
      <c r="G510" s="133"/>
      <c r="H510" s="133"/>
      <c r="I510" s="133"/>
      <c r="K510" s="133"/>
      <c r="L510" s="133"/>
      <c r="M510" s="133"/>
      <c r="N510" s="133"/>
      <c r="O510" s="133"/>
      <c r="P510" s="133"/>
      <c r="Q510" s="133"/>
      <c r="R510" s="133"/>
      <c r="S510" s="133"/>
      <c r="T510" s="133"/>
      <c r="U510" s="133"/>
      <c r="V510" s="133"/>
      <c r="W510" s="133"/>
      <c r="X510" s="133"/>
      <c r="Y510" s="133"/>
      <c r="Z510" s="133"/>
      <c r="AA510" s="133"/>
    </row>
    <row r="511" spans="1:27" ht="15.75" customHeight="1" x14ac:dyDescent="0.25">
      <c r="A511" s="133"/>
      <c r="B511" s="133"/>
      <c r="C511" s="133"/>
      <c r="D511" s="133"/>
      <c r="E511" s="133"/>
      <c r="F511" s="133"/>
      <c r="G511" s="133"/>
      <c r="H511" s="133"/>
      <c r="I511" s="133"/>
      <c r="K511" s="133"/>
      <c r="L511" s="133"/>
      <c r="M511" s="133"/>
      <c r="N511" s="133"/>
      <c r="O511" s="133"/>
      <c r="P511" s="133"/>
      <c r="Q511" s="133"/>
      <c r="R511" s="133"/>
      <c r="S511" s="133"/>
      <c r="T511" s="133"/>
      <c r="U511" s="133"/>
      <c r="V511" s="133"/>
      <c r="W511" s="133"/>
      <c r="X511" s="133"/>
      <c r="Y511" s="133"/>
      <c r="Z511" s="133"/>
      <c r="AA511" s="133"/>
    </row>
    <row r="512" spans="1:27" ht="15.75" customHeight="1" x14ac:dyDescent="0.25">
      <c r="A512" s="133"/>
      <c r="B512" s="133"/>
      <c r="C512" s="133"/>
      <c r="D512" s="133"/>
      <c r="E512" s="133"/>
      <c r="F512" s="133"/>
      <c r="G512" s="133"/>
      <c r="H512" s="133"/>
      <c r="I512" s="133"/>
      <c r="K512" s="133"/>
      <c r="L512" s="133"/>
      <c r="M512" s="133"/>
      <c r="N512" s="133"/>
      <c r="O512" s="133"/>
      <c r="P512" s="133"/>
      <c r="Q512" s="133"/>
      <c r="R512" s="133"/>
      <c r="S512" s="133"/>
      <c r="T512" s="133"/>
      <c r="U512" s="133"/>
      <c r="V512" s="133"/>
      <c r="W512" s="133"/>
      <c r="X512" s="133"/>
      <c r="Y512" s="133"/>
      <c r="Z512" s="133"/>
      <c r="AA512" s="133"/>
    </row>
    <row r="513" spans="1:27" ht="15.75" customHeight="1" x14ac:dyDescent="0.25">
      <c r="A513" s="133"/>
      <c r="B513" s="133"/>
      <c r="C513" s="133"/>
      <c r="D513" s="133"/>
      <c r="E513" s="133"/>
      <c r="F513" s="133"/>
      <c r="G513" s="133"/>
      <c r="H513" s="133"/>
      <c r="I513" s="133"/>
      <c r="K513" s="133"/>
      <c r="L513" s="133"/>
      <c r="M513" s="133"/>
      <c r="N513" s="133"/>
      <c r="O513" s="133"/>
      <c r="P513" s="133"/>
      <c r="Q513" s="133"/>
      <c r="R513" s="133"/>
      <c r="S513" s="133"/>
      <c r="T513" s="133"/>
      <c r="U513" s="133"/>
      <c r="V513" s="133"/>
      <c r="W513" s="133"/>
      <c r="X513" s="133"/>
      <c r="Y513" s="133"/>
      <c r="Z513" s="133"/>
      <c r="AA513" s="133"/>
    </row>
    <row r="514" spans="1:27" ht="15.75" customHeight="1" x14ac:dyDescent="0.25">
      <c r="A514" s="133"/>
      <c r="B514" s="133"/>
      <c r="C514" s="133"/>
      <c r="D514" s="133"/>
      <c r="E514" s="133"/>
      <c r="F514" s="133"/>
      <c r="G514" s="133"/>
      <c r="H514" s="133"/>
      <c r="I514" s="133"/>
      <c r="K514" s="133"/>
      <c r="L514" s="133"/>
      <c r="M514" s="133"/>
      <c r="N514" s="133"/>
      <c r="O514" s="133"/>
      <c r="P514" s="133"/>
      <c r="Q514" s="133"/>
      <c r="R514" s="133"/>
      <c r="S514" s="133"/>
      <c r="T514" s="133"/>
      <c r="U514" s="133"/>
      <c r="V514" s="133"/>
      <c r="W514" s="133"/>
      <c r="X514" s="133"/>
      <c r="Y514" s="133"/>
      <c r="Z514" s="133"/>
      <c r="AA514" s="133"/>
    </row>
    <row r="515" spans="1:27" ht="15.75" customHeight="1" x14ac:dyDescent="0.25">
      <c r="A515" s="133"/>
      <c r="B515" s="133"/>
      <c r="C515" s="133"/>
      <c r="D515" s="133"/>
      <c r="E515" s="133"/>
      <c r="F515" s="133"/>
      <c r="G515" s="133"/>
      <c r="H515" s="133"/>
      <c r="I515" s="133"/>
      <c r="K515" s="133"/>
      <c r="L515" s="133"/>
      <c r="M515" s="133"/>
      <c r="N515" s="133"/>
      <c r="O515" s="133"/>
      <c r="P515" s="133"/>
      <c r="Q515" s="133"/>
      <c r="R515" s="133"/>
      <c r="S515" s="133"/>
      <c r="T515" s="133"/>
      <c r="U515" s="133"/>
      <c r="V515" s="133"/>
      <c r="W515" s="133"/>
      <c r="X515" s="133"/>
      <c r="Y515" s="133"/>
      <c r="Z515" s="133"/>
      <c r="AA515" s="133"/>
    </row>
    <row r="516" spans="1:27" ht="15.75" customHeight="1" x14ac:dyDescent="0.25">
      <c r="A516" s="133"/>
      <c r="B516" s="133"/>
      <c r="C516" s="133"/>
      <c r="D516" s="133"/>
      <c r="E516" s="133"/>
      <c r="F516" s="133"/>
      <c r="G516" s="133"/>
      <c r="H516" s="133"/>
      <c r="I516" s="133"/>
      <c r="K516" s="133"/>
      <c r="L516" s="133"/>
      <c r="M516" s="133"/>
      <c r="N516" s="133"/>
      <c r="O516" s="133"/>
      <c r="P516" s="133"/>
      <c r="Q516" s="133"/>
      <c r="R516" s="133"/>
      <c r="S516" s="133"/>
      <c r="T516" s="133"/>
      <c r="U516" s="133"/>
      <c r="V516" s="133"/>
      <c r="W516" s="133"/>
      <c r="X516" s="133"/>
      <c r="Y516" s="133"/>
      <c r="Z516" s="133"/>
      <c r="AA516" s="133"/>
    </row>
    <row r="517" spans="1:27" ht="15.75" customHeight="1" x14ac:dyDescent="0.25">
      <c r="A517" s="133"/>
      <c r="B517" s="133"/>
      <c r="C517" s="133"/>
      <c r="D517" s="133"/>
      <c r="E517" s="133"/>
      <c r="F517" s="133"/>
      <c r="G517" s="133"/>
      <c r="H517" s="133"/>
      <c r="I517" s="133"/>
      <c r="K517" s="133"/>
      <c r="L517" s="133"/>
      <c r="M517" s="133"/>
      <c r="N517" s="133"/>
      <c r="O517" s="133"/>
      <c r="P517" s="133"/>
      <c r="Q517" s="133"/>
      <c r="R517" s="133"/>
      <c r="S517" s="133"/>
      <c r="T517" s="133"/>
      <c r="U517" s="133"/>
      <c r="V517" s="133"/>
      <c r="W517" s="133"/>
      <c r="X517" s="133"/>
      <c r="Y517" s="133"/>
      <c r="Z517" s="133"/>
      <c r="AA517" s="133"/>
    </row>
    <row r="518" spans="1:27" ht="15.75" customHeight="1" x14ac:dyDescent="0.25">
      <c r="A518" s="133"/>
      <c r="B518" s="133"/>
      <c r="C518" s="133"/>
      <c r="D518" s="133"/>
      <c r="E518" s="133"/>
      <c r="F518" s="133"/>
      <c r="G518" s="133"/>
      <c r="H518" s="133"/>
      <c r="I518" s="133"/>
      <c r="K518" s="133"/>
      <c r="L518" s="133"/>
      <c r="M518" s="133"/>
      <c r="N518" s="133"/>
      <c r="O518" s="133"/>
      <c r="P518" s="133"/>
      <c r="Q518" s="133"/>
      <c r="R518" s="133"/>
      <c r="S518" s="133"/>
      <c r="T518" s="133"/>
      <c r="U518" s="133"/>
      <c r="V518" s="133"/>
      <c r="W518" s="133"/>
      <c r="X518" s="133"/>
      <c r="Y518" s="133"/>
      <c r="Z518" s="133"/>
      <c r="AA518" s="133"/>
    </row>
    <row r="519" spans="1:27" ht="15.75" customHeight="1" x14ac:dyDescent="0.25">
      <c r="A519" s="133"/>
      <c r="B519" s="133"/>
      <c r="C519" s="133"/>
      <c r="D519" s="133"/>
      <c r="E519" s="133"/>
      <c r="F519" s="133"/>
      <c r="G519" s="133"/>
      <c r="H519" s="133"/>
      <c r="I519" s="133"/>
      <c r="K519" s="133"/>
      <c r="L519" s="133"/>
      <c r="M519" s="133"/>
      <c r="N519" s="133"/>
      <c r="O519" s="133"/>
      <c r="P519" s="133"/>
      <c r="Q519" s="133"/>
      <c r="R519" s="133"/>
      <c r="S519" s="133"/>
      <c r="T519" s="133"/>
      <c r="U519" s="133"/>
      <c r="V519" s="133"/>
      <c r="W519" s="133"/>
      <c r="X519" s="133"/>
      <c r="Y519" s="133"/>
      <c r="Z519" s="133"/>
      <c r="AA519" s="133"/>
    </row>
    <row r="520" spans="1:27" ht="15.75" customHeight="1" x14ac:dyDescent="0.25">
      <c r="A520" s="133"/>
      <c r="B520" s="133"/>
      <c r="C520" s="133"/>
      <c r="D520" s="133"/>
      <c r="E520" s="133"/>
      <c r="F520" s="133"/>
      <c r="G520" s="133"/>
      <c r="H520" s="133"/>
      <c r="I520" s="133"/>
      <c r="K520" s="133"/>
      <c r="L520" s="133"/>
      <c r="M520" s="133"/>
      <c r="N520" s="133"/>
      <c r="O520" s="133"/>
      <c r="P520" s="133"/>
      <c r="Q520" s="133"/>
      <c r="R520" s="133"/>
      <c r="S520" s="133"/>
      <c r="T520" s="133"/>
      <c r="U520" s="133"/>
      <c r="V520" s="133"/>
      <c r="W520" s="133"/>
      <c r="X520" s="133"/>
      <c r="Y520" s="133"/>
      <c r="Z520" s="133"/>
      <c r="AA520" s="133"/>
    </row>
    <row r="521" spans="1:27" ht="15.75" customHeight="1" x14ac:dyDescent="0.25">
      <c r="A521" s="133"/>
      <c r="B521" s="133"/>
      <c r="C521" s="133"/>
      <c r="D521" s="133"/>
      <c r="E521" s="133"/>
      <c r="F521" s="133"/>
      <c r="G521" s="133"/>
      <c r="H521" s="133"/>
      <c r="I521" s="133"/>
      <c r="K521" s="133"/>
      <c r="L521" s="133"/>
      <c r="M521" s="133"/>
      <c r="N521" s="133"/>
      <c r="O521" s="133"/>
      <c r="P521" s="133"/>
      <c r="Q521" s="133"/>
      <c r="R521" s="133"/>
      <c r="S521" s="133"/>
      <c r="T521" s="133"/>
      <c r="U521" s="133"/>
      <c r="V521" s="133"/>
      <c r="W521" s="133"/>
      <c r="X521" s="133"/>
      <c r="Y521" s="133"/>
      <c r="Z521" s="133"/>
      <c r="AA521" s="133"/>
    </row>
    <row r="522" spans="1:27" ht="15.75" customHeight="1" x14ac:dyDescent="0.25">
      <c r="A522" s="133"/>
      <c r="B522" s="133"/>
      <c r="C522" s="133"/>
      <c r="D522" s="133"/>
      <c r="E522" s="133"/>
      <c r="F522" s="133"/>
      <c r="G522" s="133"/>
      <c r="H522" s="133"/>
      <c r="I522" s="133"/>
      <c r="K522" s="133"/>
      <c r="L522" s="133"/>
      <c r="M522" s="133"/>
      <c r="N522" s="133"/>
      <c r="O522" s="133"/>
      <c r="P522" s="133"/>
      <c r="Q522" s="133"/>
      <c r="R522" s="133"/>
      <c r="S522" s="133"/>
      <c r="T522" s="133"/>
      <c r="U522" s="133"/>
      <c r="V522" s="133"/>
      <c r="W522" s="133"/>
      <c r="X522" s="133"/>
      <c r="Y522" s="133"/>
      <c r="Z522" s="133"/>
      <c r="AA522" s="133"/>
    </row>
    <row r="523" spans="1:27" ht="15.75" customHeight="1" x14ac:dyDescent="0.25">
      <c r="A523" s="133"/>
      <c r="B523" s="133"/>
      <c r="C523" s="133"/>
      <c r="D523" s="133"/>
      <c r="E523" s="133"/>
      <c r="F523" s="133"/>
      <c r="G523" s="133"/>
      <c r="H523" s="133"/>
      <c r="I523" s="133"/>
      <c r="K523" s="133"/>
      <c r="L523" s="133"/>
      <c r="M523" s="133"/>
      <c r="N523" s="133"/>
      <c r="O523" s="133"/>
      <c r="P523" s="133"/>
      <c r="Q523" s="133"/>
      <c r="R523" s="133"/>
      <c r="S523" s="133"/>
      <c r="T523" s="133"/>
      <c r="U523" s="133"/>
      <c r="V523" s="133"/>
      <c r="W523" s="133"/>
      <c r="X523" s="133"/>
      <c r="Y523" s="133"/>
      <c r="Z523" s="133"/>
      <c r="AA523" s="133"/>
    </row>
    <row r="524" spans="1:27" ht="15.75" customHeight="1" x14ac:dyDescent="0.25">
      <c r="A524" s="133"/>
      <c r="B524" s="133"/>
      <c r="C524" s="133"/>
      <c r="D524" s="133"/>
      <c r="E524" s="133"/>
      <c r="F524" s="133"/>
      <c r="G524" s="133"/>
      <c r="H524" s="133"/>
      <c r="I524" s="133"/>
      <c r="K524" s="133"/>
      <c r="L524" s="133"/>
      <c r="M524" s="133"/>
      <c r="N524" s="133"/>
      <c r="O524" s="133"/>
      <c r="P524" s="133"/>
      <c r="Q524" s="133"/>
      <c r="R524" s="133"/>
      <c r="S524" s="133"/>
      <c r="T524" s="133"/>
      <c r="U524" s="133"/>
      <c r="V524" s="133"/>
      <c r="W524" s="133"/>
      <c r="X524" s="133"/>
      <c r="Y524" s="133"/>
      <c r="Z524" s="133"/>
      <c r="AA524" s="133"/>
    </row>
    <row r="525" spans="1:27" ht="15.75" customHeight="1" x14ac:dyDescent="0.25">
      <c r="A525" s="133"/>
      <c r="B525" s="133"/>
      <c r="C525" s="133"/>
      <c r="D525" s="133"/>
      <c r="E525" s="133"/>
      <c r="F525" s="133"/>
      <c r="G525" s="133"/>
      <c r="H525" s="133"/>
      <c r="I525" s="133"/>
      <c r="K525" s="133"/>
      <c r="L525" s="133"/>
      <c r="M525" s="133"/>
      <c r="N525" s="133"/>
      <c r="O525" s="133"/>
      <c r="P525" s="133"/>
      <c r="Q525" s="133"/>
      <c r="R525" s="133"/>
      <c r="S525" s="133"/>
      <c r="T525" s="133"/>
      <c r="U525" s="133"/>
      <c r="V525" s="133"/>
      <c r="W525" s="133"/>
      <c r="X525" s="133"/>
      <c r="Y525" s="133"/>
      <c r="Z525" s="133"/>
      <c r="AA525" s="133"/>
    </row>
    <row r="526" spans="1:27" ht="15.75" customHeight="1" x14ac:dyDescent="0.25">
      <c r="A526" s="133"/>
      <c r="B526" s="133"/>
      <c r="C526" s="133"/>
      <c r="D526" s="133"/>
      <c r="E526" s="133"/>
      <c r="F526" s="133"/>
      <c r="G526" s="133"/>
      <c r="H526" s="133"/>
      <c r="I526" s="133"/>
      <c r="K526" s="133"/>
      <c r="L526" s="133"/>
      <c r="M526" s="133"/>
      <c r="N526" s="133"/>
      <c r="O526" s="133"/>
      <c r="P526" s="133"/>
      <c r="Q526" s="133"/>
      <c r="R526" s="133"/>
      <c r="S526" s="133"/>
      <c r="T526" s="133"/>
      <c r="U526" s="133"/>
      <c r="V526" s="133"/>
      <c r="W526" s="133"/>
      <c r="X526" s="133"/>
      <c r="Y526" s="133"/>
      <c r="Z526" s="133"/>
      <c r="AA526" s="133"/>
    </row>
    <row r="527" spans="1:27" ht="15.75" customHeight="1" x14ac:dyDescent="0.25">
      <c r="A527" s="133"/>
      <c r="B527" s="133"/>
      <c r="C527" s="133"/>
      <c r="D527" s="133"/>
      <c r="E527" s="133"/>
      <c r="F527" s="133"/>
      <c r="G527" s="133"/>
      <c r="H527" s="133"/>
      <c r="I527" s="133"/>
      <c r="K527" s="133"/>
      <c r="L527" s="133"/>
      <c r="M527" s="133"/>
      <c r="N527" s="133"/>
      <c r="O527" s="133"/>
      <c r="P527" s="133"/>
      <c r="Q527" s="133"/>
      <c r="R527" s="133"/>
      <c r="S527" s="133"/>
      <c r="T527" s="133"/>
      <c r="U527" s="133"/>
      <c r="V527" s="133"/>
      <c r="W527" s="133"/>
      <c r="X527" s="133"/>
      <c r="Y527" s="133"/>
      <c r="Z527" s="133"/>
      <c r="AA527" s="133"/>
    </row>
    <row r="528" spans="1:27" ht="15.75" customHeight="1" x14ac:dyDescent="0.25">
      <c r="A528" s="133"/>
      <c r="B528" s="133"/>
      <c r="C528" s="133"/>
      <c r="D528" s="133"/>
      <c r="E528" s="133"/>
      <c r="F528" s="133"/>
      <c r="G528" s="133"/>
      <c r="H528" s="133"/>
      <c r="I528" s="133"/>
      <c r="K528" s="133"/>
      <c r="L528" s="133"/>
      <c r="M528" s="133"/>
      <c r="N528" s="133"/>
      <c r="O528" s="133"/>
      <c r="P528" s="133"/>
      <c r="Q528" s="133"/>
      <c r="R528" s="133"/>
      <c r="S528" s="133"/>
      <c r="T528" s="133"/>
      <c r="U528" s="133"/>
      <c r="V528" s="133"/>
      <c r="W528" s="133"/>
      <c r="X528" s="133"/>
      <c r="Y528" s="133"/>
      <c r="Z528" s="133"/>
      <c r="AA528" s="133"/>
    </row>
    <row r="529" spans="1:27" ht="15.75" customHeight="1" x14ac:dyDescent="0.25">
      <c r="A529" s="133"/>
      <c r="B529" s="133"/>
      <c r="C529" s="133"/>
      <c r="D529" s="133"/>
      <c r="E529" s="133"/>
      <c r="F529" s="133"/>
      <c r="G529" s="133"/>
      <c r="H529" s="133"/>
      <c r="I529" s="133"/>
      <c r="K529" s="133"/>
      <c r="L529" s="133"/>
      <c r="M529" s="133"/>
      <c r="N529" s="133"/>
      <c r="O529" s="133"/>
      <c r="P529" s="133"/>
      <c r="Q529" s="133"/>
      <c r="R529" s="133"/>
      <c r="S529" s="133"/>
      <c r="T529" s="133"/>
      <c r="U529" s="133"/>
      <c r="V529" s="133"/>
      <c r="W529" s="133"/>
      <c r="X529" s="133"/>
      <c r="Y529" s="133"/>
      <c r="Z529" s="133"/>
      <c r="AA529" s="133"/>
    </row>
    <row r="530" spans="1:27" ht="15.75" customHeight="1" x14ac:dyDescent="0.25">
      <c r="A530" s="133"/>
      <c r="B530" s="133"/>
      <c r="C530" s="133"/>
      <c r="D530" s="133"/>
      <c r="E530" s="133"/>
      <c r="F530" s="133"/>
      <c r="G530" s="133"/>
      <c r="H530" s="133"/>
      <c r="I530" s="133"/>
      <c r="K530" s="133"/>
      <c r="L530" s="133"/>
      <c r="M530" s="133"/>
      <c r="N530" s="133"/>
      <c r="O530" s="133"/>
      <c r="P530" s="133"/>
      <c r="Q530" s="133"/>
      <c r="R530" s="133"/>
      <c r="S530" s="133"/>
      <c r="T530" s="133"/>
      <c r="U530" s="133"/>
      <c r="V530" s="133"/>
      <c r="W530" s="133"/>
      <c r="X530" s="133"/>
      <c r="Y530" s="133"/>
      <c r="Z530" s="133"/>
      <c r="AA530" s="133"/>
    </row>
    <row r="531" spans="1:27" ht="15.75" customHeight="1" x14ac:dyDescent="0.25">
      <c r="A531" s="133"/>
      <c r="B531" s="133"/>
      <c r="C531" s="133"/>
      <c r="D531" s="133"/>
      <c r="E531" s="133"/>
      <c r="F531" s="133"/>
      <c r="G531" s="133"/>
      <c r="H531" s="133"/>
      <c r="I531" s="133"/>
      <c r="K531" s="133"/>
      <c r="L531" s="133"/>
      <c r="M531" s="133"/>
      <c r="N531" s="133"/>
      <c r="O531" s="133"/>
      <c r="P531" s="133"/>
      <c r="Q531" s="133"/>
      <c r="R531" s="133"/>
      <c r="S531" s="133"/>
      <c r="T531" s="133"/>
      <c r="U531" s="133"/>
      <c r="V531" s="133"/>
      <c r="W531" s="133"/>
      <c r="X531" s="133"/>
      <c r="Y531" s="133"/>
      <c r="Z531" s="133"/>
      <c r="AA531" s="133"/>
    </row>
    <row r="532" spans="1:27" ht="15.75" customHeight="1" x14ac:dyDescent="0.25">
      <c r="A532" s="133"/>
      <c r="B532" s="133"/>
      <c r="C532" s="133"/>
      <c r="D532" s="133"/>
      <c r="E532" s="133"/>
      <c r="F532" s="133"/>
      <c r="G532" s="133"/>
      <c r="H532" s="133"/>
      <c r="I532" s="133"/>
      <c r="K532" s="133"/>
      <c r="L532" s="133"/>
      <c r="M532" s="133"/>
      <c r="N532" s="133"/>
      <c r="O532" s="133"/>
      <c r="P532" s="133"/>
      <c r="Q532" s="133"/>
      <c r="R532" s="133"/>
      <c r="S532" s="133"/>
      <c r="T532" s="133"/>
      <c r="U532" s="133"/>
      <c r="V532" s="133"/>
      <c r="W532" s="133"/>
      <c r="X532" s="133"/>
      <c r="Y532" s="133"/>
      <c r="Z532" s="133"/>
      <c r="AA532" s="133"/>
    </row>
    <row r="533" spans="1:27" ht="15.75" customHeight="1" x14ac:dyDescent="0.25">
      <c r="A533" s="133"/>
      <c r="B533" s="133"/>
      <c r="C533" s="133"/>
      <c r="D533" s="133"/>
      <c r="E533" s="133"/>
      <c r="F533" s="133"/>
      <c r="G533" s="133"/>
      <c r="H533" s="133"/>
      <c r="I533" s="133"/>
      <c r="K533" s="133"/>
      <c r="L533" s="133"/>
      <c r="M533" s="133"/>
      <c r="N533" s="133"/>
      <c r="O533" s="133"/>
      <c r="P533" s="133"/>
      <c r="Q533" s="133"/>
      <c r="R533" s="133"/>
      <c r="S533" s="133"/>
      <c r="T533" s="133"/>
      <c r="U533" s="133"/>
      <c r="V533" s="133"/>
      <c r="W533" s="133"/>
      <c r="X533" s="133"/>
      <c r="Y533" s="133"/>
      <c r="Z533" s="133"/>
      <c r="AA533" s="133"/>
    </row>
    <row r="534" spans="1:27" ht="15.75" customHeight="1" x14ac:dyDescent="0.25">
      <c r="A534" s="133"/>
      <c r="B534" s="133"/>
      <c r="C534" s="133"/>
      <c r="D534" s="133"/>
      <c r="E534" s="133"/>
      <c r="F534" s="133"/>
      <c r="G534" s="133"/>
      <c r="H534" s="133"/>
      <c r="I534" s="133"/>
      <c r="K534" s="133"/>
      <c r="L534" s="133"/>
      <c r="M534" s="133"/>
      <c r="N534" s="133"/>
      <c r="O534" s="133"/>
      <c r="P534" s="133"/>
      <c r="Q534" s="133"/>
      <c r="R534" s="133"/>
      <c r="S534" s="133"/>
      <c r="T534" s="133"/>
      <c r="U534" s="133"/>
      <c r="V534" s="133"/>
      <c r="W534" s="133"/>
      <c r="X534" s="133"/>
      <c r="Y534" s="133"/>
      <c r="Z534" s="133"/>
      <c r="AA534" s="133"/>
    </row>
    <row r="535" spans="1:27" ht="15.75" customHeight="1" x14ac:dyDescent="0.25">
      <c r="A535" s="133"/>
      <c r="B535" s="133"/>
      <c r="C535" s="133"/>
      <c r="D535" s="133"/>
      <c r="E535" s="133"/>
      <c r="F535" s="133"/>
      <c r="G535" s="133"/>
      <c r="H535" s="133"/>
      <c r="I535" s="133"/>
      <c r="K535" s="133"/>
      <c r="L535" s="133"/>
      <c r="M535" s="133"/>
      <c r="N535" s="133"/>
      <c r="O535" s="133"/>
      <c r="P535" s="133"/>
      <c r="Q535" s="133"/>
      <c r="R535" s="133"/>
      <c r="S535" s="133"/>
      <c r="T535" s="133"/>
      <c r="U535" s="133"/>
      <c r="V535" s="133"/>
      <c r="W535" s="133"/>
      <c r="X535" s="133"/>
      <c r="Y535" s="133"/>
      <c r="Z535" s="133"/>
      <c r="AA535" s="133"/>
    </row>
    <row r="536" spans="1:27" ht="15.75" customHeight="1" x14ac:dyDescent="0.25">
      <c r="A536" s="133"/>
      <c r="B536" s="133"/>
      <c r="C536" s="133"/>
      <c r="D536" s="133"/>
      <c r="E536" s="133"/>
      <c r="F536" s="133"/>
      <c r="G536" s="133"/>
      <c r="H536" s="133"/>
      <c r="I536" s="133"/>
      <c r="K536" s="133"/>
      <c r="L536" s="133"/>
      <c r="M536" s="133"/>
      <c r="N536" s="133"/>
      <c r="O536" s="133"/>
      <c r="P536" s="133"/>
      <c r="Q536" s="133"/>
      <c r="R536" s="133"/>
      <c r="S536" s="133"/>
      <c r="T536" s="133"/>
      <c r="U536" s="133"/>
      <c r="V536" s="133"/>
      <c r="W536" s="133"/>
      <c r="X536" s="133"/>
      <c r="Y536" s="133"/>
      <c r="Z536" s="133"/>
      <c r="AA536" s="133"/>
    </row>
    <row r="537" spans="1:27" ht="15.75" customHeight="1" x14ac:dyDescent="0.25">
      <c r="A537" s="133"/>
      <c r="B537" s="133"/>
      <c r="C537" s="133"/>
      <c r="D537" s="133"/>
      <c r="E537" s="133"/>
      <c r="F537" s="133"/>
      <c r="G537" s="133"/>
      <c r="H537" s="133"/>
      <c r="I537" s="133"/>
      <c r="K537" s="133"/>
      <c r="L537" s="133"/>
      <c r="M537" s="133"/>
      <c r="N537" s="133"/>
      <c r="O537" s="133"/>
      <c r="P537" s="133"/>
      <c r="Q537" s="133"/>
      <c r="R537" s="133"/>
      <c r="S537" s="133"/>
      <c r="T537" s="133"/>
      <c r="U537" s="133"/>
      <c r="V537" s="133"/>
      <c r="W537" s="133"/>
      <c r="X537" s="133"/>
      <c r="Y537" s="133"/>
      <c r="Z537" s="133"/>
      <c r="AA537" s="133"/>
    </row>
    <row r="538" spans="1:27" ht="15.75" customHeight="1" x14ac:dyDescent="0.25">
      <c r="A538" s="133"/>
      <c r="B538" s="133"/>
      <c r="C538" s="133"/>
      <c r="D538" s="133"/>
      <c r="E538" s="133"/>
      <c r="F538" s="133"/>
      <c r="G538" s="133"/>
      <c r="H538" s="133"/>
      <c r="I538" s="133"/>
      <c r="K538" s="133"/>
      <c r="L538" s="133"/>
      <c r="M538" s="133"/>
      <c r="N538" s="133"/>
      <c r="O538" s="133"/>
      <c r="P538" s="133"/>
      <c r="Q538" s="133"/>
      <c r="R538" s="133"/>
      <c r="S538" s="133"/>
      <c r="T538" s="133"/>
      <c r="U538" s="133"/>
      <c r="V538" s="133"/>
      <c r="W538" s="133"/>
      <c r="X538" s="133"/>
      <c r="Y538" s="133"/>
      <c r="Z538" s="133"/>
      <c r="AA538" s="133"/>
    </row>
    <row r="539" spans="1:27" ht="15.75" customHeight="1" x14ac:dyDescent="0.25">
      <c r="A539" s="133"/>
      <c r="B539" s="133"/>
      <c r="C539" s="133"/>
      <c r="D539" s="133"/>
      <c r="E539" s="133"/>
      <c r="F539" s="133"/>
      <c r="G539" s="133"/>
      <c r="H539" s="133"/>
      <c r="I539" s="133"/>
      <c r="K539" s="133"/>
      <c r="L539" s="133"/>
      <c r="M539" s="133"/>
      <c r="N539" s="133"/>
      <c r="O539" s="133"/>
      <c r="P539" s="133"/>
      <c r="Q539" s="133"/>
      <c r="R539" s="133"/>
      <c r="S539" s="133"/>
      <c r="T539" s="133"/>
      <c r="U539" s="133"/>
      <c r="V539" s="133"/>
      <c r="W539" s="133"/>
      <c r="X539" s="133"/>
      <c r="Y539" s="133"/>
      <c r="Z539" s="133"/>
      <c r="AA539" s="133"/>
    </row>
    <row r="540" spans="1:27" ht="15.75" customHeight="1" x14ac:dyDescent="0.25">
      <c r="A540" s="133"/>
      <c r="B540" s="133"/>
      <c r="C540" s="133"/>
      <c r="D540" s="133"/>
      <c r="E540" s="133"/>
      <c r="F540" s="133"/>
      <c r="G540" s="133"/>
      <c r="H540" s="133"/>
      <c r="I540" s="133"/>
      <c r="K540" s="133"/>
      <c r="L540" s="133"/>
      <c r="M540" s="133"/>
      <c r="N540" s="133"/>
      <c r="O540" s="133"/>
      <c r="P540" s="133"/>
      <c r="Q540" s="133"/>
      <c r="R540" s="133"/>
      <c r="S540" s="133"/>
      <c r="T540" s="133"/>
      <c r="U540" s="133"/>
      <c r="V540" s="133"/>
      <c r="W540" s="133"/>
      <c r="X540" s="133"/>
      <c r="Y540" s="133"/>
      <c r="Z540" s="133"/>
      <c r="AA540" s="133"/>
    </row>
    <row r="541" spans="1:27" ht="15.75" customHeight="1" x14ac:dyDescent="0.25">
      <c r="A541" s="133"/>
      <c r="B541" s="133"/>
      <c r="C541" s="133"/>
      <c r="D541" s="133"/>
      <c r="E541" s="133"/>
      <c r="F541" s="133"/>
      <c r="G541" s="133"/>
      <c r="H541" s="133"/>
      <c r="I541" s="133"/>
      <c r="K541" s="133"/>
      <c r="L541" s="133"/>
      <c r="M541" s="133"/>
      <c r="N541" s="133"/>
      <c r="O541" s="133"/>
      <c r="P541" s="133"/>
      <c r="Q541" s="133"/>
      <c r="R541" s="133"/>
      <c r="S541" s="133"/>
      <c r="T541" s="133"/>
      <c r="U541" s="133"/>
      <c r="V541" s="133"/>
      <c r="W541" s="133"/>
      <c r="X541" s="133"/>
      <c r="Y541" s="133"/>
      <c r="Z541" s="133"/>
      <c r="AA541" s="133"/>
    </row>
    <row r="542" spans="1:27" ht="15.75" customHeight="1" x14ac:dyDescent="0.25">
      <c r="A542" s="133"/>
      <c r="B542" s="133"/>
      <c r="C542" s="133"/>
      <c r="D542" s="133"/>
      <c r="E542" s="133"/>
      <c r="F542" s="133"/>
      <c r="G542" s="133"/>
      <c r="H542" s="133"/>
      <c r="I542" s="133"/>
      <c r="K542" s="133"/>
      <c r="L542" s="133"/>
      <c r="M542" s="133"/>
      <c r="N542" s="133"/>
      <c r="O542" s="133"/>
      <c r="P542" s="133"/>
      <c r="Q542" s="133"/>
      <c r="R542" s="133"/>
      <c r="S542" s="133"/>
      <c r="T542" s="133"/>
      <c r="U542" s="133"/>
      <c r="V542" s="133"/>
      <c r="W542" s="133"/>
      <c r="X542" s="133"/>
      <c r="Y542" s="133"/>
      <c r="Z542" s="133"/>
      <c r="AA542" s="133"/>
    </row>
    <row r="543" spans="1:27" ht="15.75" customHeight="1" x14ac:dyDescent="0.25">
      <c r="A543" s="133"/>
      <c r="B543" s="133"/>
      <c r="C543" s="133"/>
      <c r="D543" s="133"/>
      <c r="E543" s="133"/>
      <c r="F543" s="133"/>
      <c r="G543" s="133"/>
      <c r="H543" s="133"/>
      <c r="I543" s="133"/>
      <c r="K543" s="133"/>
      <c r="L543" s="133"/>
      <c r="M543" s="133"/>
      <c r="N543" s="133"/>
      <c r="O543" s="133"/>
      <c r="P543" s="133"/>
      <c r="Q543" s="133"/>
      <c r="R543" s="133"/>
      <c r="S543" s="133"/>
      <c r="T543" s="133"/>
      <c r="U543" s="133"/>
      <c r="V543" s="133"/>
      <c r="W543" s="133"/>
      <c r="X543" s="133"/>
      <c r="Y543" s="133"/>
      <c r="Z543" s="133"/>
      <c r="AA543" s="133"/>
    </row>
    <row r="544" spans="1:27" ht="15.75" customHeight="1" x14ac:dyDescent="0.25">
      <c r="A544" s="133"/>
      <c r="B544" s="133"/>
      <c r="C544" s="133"/>
      <c r="D544" s="133"/>
      <c r="E544" s="133"/>
      <c r="F544" s="133"/>
      <c r="G544" s="133"/>
      <c r="H544" s="133"/>
      <c r="I544" s="133"/>
      <c r="K544" s="133"/>
      <c r="L544" s="133"/>
      <c r="M544" s="133"/>
      <c r="N544" s="133"/>
      <c r="O544" s="133"/>
      <c r="P544" s="133"/>
      <c r="Q544" s="133"/>
      <c r="R544" s="133"/>
      <c r="S544" s="133"/>
      <c r="T544" s="133"/>
      <c r="U544" s="133"/>
      <c r="V544" s="133"/>
      <c r="W544" s="133"/>
      <c r="X544" s="133"/>
      <c r="Y544" s="133"/>
      <c r="Z544" s="133"/>
      <c r="AA544" s="133"/>
    </row>
    <row r="545" spans="1:27" ht="15.75" customHeight="1" x14ac:dyDescent="0.25">
      <c r="A545" s="133"/>
      <c r="B545" s="133"/>
      <c r="C545" s="133"/>
      <c r="D545" s="133"/>
      <c r="E545" s="133"/>
      <c r="F545" s="133"/>
      <c r="G545" s="133"/>
      <c r="H545" s="133"/>
      <c r="I545" s="133"/>
      <c r="K545" s="133"/>
      <c r="L545" s="133"/>
      <c r="M545" s="133"/>
      <c r="N545" s="133"/>
      <c r="O545" s="133"/>
      <c r="P545" s="133"/>
      <c r="Q545" s="133"/>
      <c r="R545" s="133"/>
      <c r="S545" s="133"/>
      <c r="T545" s="133"/>
      <c r="U545" s="133"/>
      <c r="V545" s="133"/>
      <c r="W545" s="133"/>
      <c r="X545" s="133"/>
      <c r="Y545" s="133"/>
      <c r="Z545" s="133"/>
      <c r="AA545" s="133"/>
    </row>
    <row r="546" spans="1:27" ht="15.75" customHeight="1" x14ac:dyDescent="0.25">
      <c r="A546" s="133"/>
      <c r="B546" s="133"/>
      <c r="C546" s="133"/>
      <c r="D546" s="133"/>
      <c r="E546" s="133"/>
      <c r="F546" s="133"/>
      <c r="G546" s="133"/>
      <c r="H546" s="133"/>
      <c r="I546" s="133"/>
      <c r="K546" s="133"/>
      <c r="L546" s="133"/>
      <c r="M546" s="133"/>
      <c r="N546" s="133"/>
      <c r="O546" s="133"/>
      <c r="P546" s="133"/>
      <c r="Q546" s="133"/>
      <c r="R546" s="133"/>
      <c r="S546" s="133"/>
      <c r="T546" s="133"/>
      <c r="U546" s="133"/>
      <c r="V546" s="133"/>
      <c r="W546" s="133"/>
      <c r="X546" s="133"/>
      <c r="Y546" s="133"/>
      <c r="Z546" s="133"/>
      <c r="AA546" s="133"/>
    </row>
    <row r="547" spans="1:27" ht="15.75" customHeight="1" x14ac:dyDescent="0.25">
      <c r="A547" s="133"/>
      <c r="B547" s="133"/>
      <c r="C547" s="133"/>
      <c r="D547" s="133"/>
      <c r="E547" s="133"/>
      <c r="F547" s="133"/>
      <c r="G547" s="133"/>
      <c r="H547" s="133"/>
      <c r="I547" s="133"/>
      <c r="K547" s="133"/>
      <c r="L547" s="133"/>
      <c r="M547" s="133"/>
      <c r="N547" s="133"/>
      <c r="O547" s="133"/>
      <c r="P547" s="133"/>
      <c r="Q547" s="133"/>
      <c r="R547" s="133"/>
      <c r="S547" s="133"/>
      <c r="T547" s="133"/>
      <c r="U547" s="133"/>
      <c r="V547" s="133"/>
      <c r="W547" s="133"/>
      <c r="X547" s="133"/>
      <c r="Y547" s="133"/>
      <c r="Z547" s="133"/>
      <c r="AA547" s="133"/>
    </row>
    <row r="548" spans="1:27" ht="15.75" customHeight="1" x14ac:dyDescent="0.25">
      <c r="A548" s="133"/>
      <c r="B548" s="133"/>
      <c r="C548" s="133"/>
      <c r="D548" s="133"/>
      <c r="E548" s="133"/>
      <c r="F548" s="133"/>
      <c r="G548" s="133"/>
      <c r="H548" s="133"/>
      <c r="I548" s="133"/>
      <c r="K548" s="133"/>
      <c r="L548" s="133"/>
      <c r="M548" s="133"/>
      <c r="N548" s="133"/>
      <c r="O548" s="133"/>
      <c r="P548" s="133"/>
      <c r="Q548" s="133"/>
      <c r="R548" s="133"/>
      <c r="S548" s="133"/>
      <c r="T548" s="133"/>
      <c r="U548" s="133"/>
      <c r="V548" s="133"/>
      <c r="W548" s="133"/>
      <c r="X548" s="133"/>
      <c r="Y548" s="133"/>
      <c r="Z548" s="133"/>
      <c r="AA548" s="133"/>
    </row>
    <row r="549" spans="1:27" ht="15.75" customHeight="1" x14ac:dyDescent="0.25">
      <c r="A549" s="133"/>
      <c r="B549" s="133"/>
      <c r="C549" s="133"/>
      <c r="D549" s="133"/>
      <c r="E549" s="133"/>
      <c r="F549" s="133"/>
      <c r="G549" s="133"/>
      <c r="H549" s="133"/>
      <c r="I549" s="133"/>
      <c r="K549" s="133"/>
      <c r="L549" s="133"/>
      <c r="M549" s="133"/>
      <c r="N549" s="133"/>
      <c r="O549" s="133"/>
      <c r="P549" s="133"/>
      <c r="Q549" s="133"/>
      <c r="R549" s="133"/>
      <c r="S549" s="133"/>
      <c r="T549" s="133"/>
      <c r="U549" s="133"/>
      <c r="V549" s="133"/>
      <c r="W549" s="133"/>
      <c r="X549" s="133"/>
      <c r="Y549" s="133"/>
      <c r="Z549" s="133"/>
      <c r="AA549" s="133"/>
    </row>
    <row r="550" spans="1:27" ht="15.75" customHeight="1" x14ac:dyDescent="0.25">
      <c r="A550" s="133"/>
      <c r="B550" s="133"/>
      <c r="C550" s="133"/>
      <c r="D550" s="133"/>
      <c r="E550" s="133"/>
      <c r="F550" s="133"/>
      <c r="G550" s="133"/>
      <c r="H550" s="133"/>
      <c r="I550" s="133"/>
      <c r="K550" s="133"/>
      <c r="L550" s="133"/>
      <c r="M550" s="133"/>
      <c r="N550" s="133"/>
      <c r="O550" s="133"/>
      <c r="P550" s="133"/>
      <c r="Q550" s="133"/>
      <c r="R550" s="133"/>
      <c r="S550" s="133"/>
      <c r="T550" s="133"/>
      <c r="U550" s="133"/>
      <c r="V550" s="133"/>
      <c r="W550" s="133"/>
      <c r="X550" s="133"/>
      <c r="Y550" s="133"/>
      <c r="Z550" s="133"/>
      <c r="AA550" s="133"/>
    </row>
    <row r="551" spans="1:27" ht="15.75" customHeight="1" x14ac:dyDescent="0.25">
      <c r="A551" s="133"/>
      <c r="B551" s="133"/>
      <c r="C551" s="133"/>
      <c r="D551" s="133"/>
      <c r="E551" s="133"/>
      <c r="F551" s="133"/>
      <c r="G551" s="133"/>
      <c r="H551" s="133"/>
      <c r="I551" s="133"/>
      <c r="K551" s="133"/>
      <c r="L551" s="133"/>
      <c r="M551" s="133"/>
      <c r="N551" s="133"/>
      <c r="O551" s="133"/>
      <c r="P551" s="133"/>
      <c r="Q551" s="133"/>
      <c r="R551" s="133"/>
      <c r="S551" s="133"/>
      <c r="T551" s="133"/>
      <c r="U551" s="133"/>
      <c r="V551" s="133"/>
      <c r="W551" s="133"/>
      <c r="X551" s="133"/>
      <c r="Y551" s="133"/>
      <c r="Z551" s="133"/>
      <c r="AA551" s="133"/>
    </row>
    <row r="552" spans="1:27" ht="15.75" customHeight="1" x14ac:dyDescent="0.25">
      <c r="A552" s="133"/>
      <c r="B552" s="133"/>
      <c r="C552" s="133"/>
      <c r="D552" s="133"/>
      <c r="E552" s="133"/>
      <c r="F552" s="133"/>
      <c r="G552" s="133"/>
      <c r="H552" s="133"/>
      <c r="I552" s="133"/>
      <c r="K552" s="133"/>
      <c r="L552" s="133"/>
      <c r="M552" s="133"/>
      <c r="N552" s="133"/>
      <c r="O552" s="133"/>
      <c r="P552" s="133"/>
      <c r="Q552" s="133"/>
      <c r="R552" s="133"/>
      <c r="S552" s="133"/>
      <c r="T552" s="133"/>
      <c r="U552" s="133"/>
      <c r="V552" s="133"/>
      <c r="W552" s="133"/>
      <c r="X552" s="133"/>
      <c r="Y552" s="133"/>
      <c r="Z552" s="133"/>
      <c r="AA552" s="133"/>
    </row>
    <row r="553" spans="1:27" ht="15.75" customHeight="1" x14ac:dyDescent="0.25">
      <c r="A553" s="133"/>
      <c r="B553" s="133"/>
      <c r="C553" s="133"/>
      <c r="D553" s="133"/>
      <c r="E553" s="133"/>
      <c r="F553" s="133"/>
      <c r="G553" s="133"/>
      <c r="H553" s="133"/>
      <c r="I553" s="133"/>
      <c r="K553" s="133"/>
      <c r="L553" s="133"/>
      <c r="M553" s="133"/>
      <c r="N553" s="133"/>
      <c r="O553" s="133"/>
      <c r="P553" s="133"/>
      <c r="Q553" s="133"/>
      <c r="R553" s="133"/>
      <c r="S553" s="133"/>
      <c r="T553" s="133"/>
      <c r="U553" s="133"/>
      <c r="V553" s="133"/>
      <c r="W553" s="133"/>
      <c r="X553" s="133"/>
      <c r="Y553" s="133"/>
      <c r="Z553" s="133"/>
      <c r="AA553" s="133"/>
    </row>
    <row r="554" spans="1:27" ht="15.75" customHeight="1" x14ac:dyDescent="0.25">
      <c r="A554" s="133"/>
      <c r="B554" s="133"/>
      <c r="C554" s="133"/>
      <c r="D554" s="133"/>
      <c r="E554" s="133"/>
      <c r="F554" s="133"/>
      <c r="G554" s="133"/>
      <c r="H554" s="133"/>
      <c r="I554" s="133"/>
      <c r="K554" s="133"/>
      <c r="L554" s="133"/>
      <c r="M554" s="133"/>
      <c r="N554" s="133"/>
      <c r="O554" s="133"/>
      <c r="P554" s="133"/>
      <c r="Q554" s="133"/>
      <c r="R554" s="133"/>
      <c r="S554" s="133"/>
      <c r="T554" s="133"/>
      <c r="U554" s="133"/>
      <c r="V554" s="133"/>
      <c r="W554" s="133"/>
      <c r="X554" s="133"/>
      <c r="Y554" s="133"/>
      <c r="Z554" s="133"/>
      <c r="AA554" s="133"/>
    </row>
    <row r="555" spans="1:27" ht="15.75" customHeight="1" x14ac:dyDescent="0.25">
      <c r="A555" s="133"/>
      <c r="B555" s="133"/>
      <c r="C555" s="133"/>
      <c r="D555" s="133"/>
      <c r="E555" s="133"/>
      <c r="F555" s="133"/>
      <c r="G555" s="133"/>
      <c r="H555" s="133"/>
      <c r="I555" s="133"/>
      <c r="K555" s="133"/>
      <c r="L555" s="133"/>
      <c r="M555" s="133"/>
      <c r="N555" s="133"/>
      <c r="O555" s="133"/>
      <c r="P555" s="133"/>
      <c r="Q555" s="133"/>
      <c r="R555" s="133"/>
      <c r="S555" s="133"/>
      <c r="T555" s="133"/>
      <c r="U555" s="133"/>
      <c r="V555" s="133"/>
      <c r="W555" s="133"/>
      <c r="X555" s="133"/>
      <c r="Y555" s="133"/>
      <c r="Z555" s="133"/>
      <c r="AA555" s="133"/>
    </row>
    <row r="556" spans="1:27" ht="15.75" customHeight="1" x14ac:dyDescent="0.25">
      <c r="A556" s="133"/>
      <c r="B556" s="133"/>
      <c r="C556" s="133"/>
      <c r="D556" s="133"/>
      <c r="E556" s="133"/>
      <c r="F556" s="133"/>
      <c r="G556" s="133"/>
      <c r="H556" s="133"/>
      <c r="I556" s="133"/>
      <c r="K556" s="133"/>
      <c r="L556" s="133"/>
      <c r="M556" s="133"/>
      <c r="N556" s="133"/>
      <c r="O556" s="133"/>
      <c r="P556" s="133"/>
      <c r="Q556" s="133"/>
      <c r="R556" s="133"/>
      <c r="S556" s="133"/>
      <c r="T556" s="133"/>
      <c r="U556" s="133"/>
      <c r="V556" s="133"/>
      <c r="W556" s="133"/>
      <c r="X556" s="133"/>
      <c r="Y556" s="133"/>
      <c r="Z556" s="133"/>
      <c r="AA556" s="133"/>
    </row>
    <row r="557" spans="1:27" ht="15.75" customHeight="1" x14ac:dyDescent="0.25">
      <c r="A557" s="133"/>
      <c r="B557" s="133"/>
      <c r="C557" s="133"/>
      <c r="D557" s="133"/>
      <c r="E557" s="133"/>
      <c r="F557" s="133"/>
      <c r="G557" s="133"/>
      <c r="H557" s="133"/>
      <c r="I557" s="133"/>
      <c r="K557" s="133"/>
      <c r="L557" s="133"/>
      <c r="M557" s="133"/>
      <c r="N557" s="133"/>
      <c r="O557" s="133"/>
      <c r="P557" s="133"/>
      <c r="Q557" s="133"/>
      <c r="R557" s="133"/>
      <c r="S557" s="133"/>
      <c r="T557" s="133"/>
      <c r="U557" s="133"/>
      <c r="V557" s="133"/>
      <c r="W557" s="133"/>
      <c r="X557" s="133"/>
      <c r="Y557" s="133"/>
      <c r="Z557" s="133"/>
      <c r="AA557" s="133"/>
    </row>
    <row r="558" spans="1:27" ht="15.75" customHeight="1" x14ac:dyDescent="0.25">
      <c r="A558" s="133"/>
      <c r="B558" s="133"/>
      <c r="C558" s="133"/>
      <c r="D558" s="133"/>
      <c r="E558" s="133"/>
      <c r="F558" s="133"/>
      <c r="G558" s="133"/>
      <c r="H558" s="133"/>
      <c r="I558" s="133"/>
      <c r="K558" s="133"/>
      <c r="L558" s="133"/>
      <c r="M558" s="133"/>
      <c r="N558" s="133"/>
      <c r="O558" s="133"/>
      <c r="P558" s="133"/>
      <c r="Q558" s="133"/>
      <c r="R558" s="133"/>
      <c r="S558" s="133"/>
      <c r="T558" s="133"/>
      <c r="U558" s="133"/>
      <c r="V558" s="133"/>
      <c r="W558" s="133"/>
      <c r="X558" s="133"/>
      <c r="Y558" s="133"/>
      <c r="Z558" s="133"/>
      <c r="AA558" s="133"/>
    </row>
    <row r="559" spans="1:27" ht="15.75" customHeight="1" x14ac:dyDescent="0.25">
      <c r="A559" s="133"/>
      <c r="B559" s="133"/>
      <c r="C559" s="133"/>
      <c r="D559" s="133"/>
      <c r="E559" s="133"/>
      <c r="F559" s="133"/>
      <c r="G559" s="133"/>
      <c r="H559" s="133"/>
      <c r="I559" s="133"/>
      <c r="K559" s="133"/>
      <c r="L559" s="133"/>
      <c r="M559" s="133"/>
      <c r="N559" s="133"/>
      <c r="O559" s="133"/>
      <c r="P559" s="133"/>
      <c r="Q559" s="133"/>
      <c r="R559" s="133"/>
      <c r="S559" s="133"/>
      <c r="T559" s="133"/>
      <c r="U559" s="133"/>
      <c r="V559" s="133"/>
      <c r="W559" s="133"/>
      <c r="X559" s="133"/>
      <c r="Y559" s="133"/>
      <c r="Z559" s="133"/>
      <c r="AA559" s="133"/>
    </row>
    <row r="560" spans="1:27" ht="15.75" customHeight="1" x14ac:dyDescent="0.25">
      <c r="A560" s="133"/>
      <c r="B560" s="133"/>
      <c r="C560" s="133"/>
      <c r="D560" s="133"/>
      <c r="E560" s="133"/>
      <c r="F560" s="133"/>
      <c r="G560" s="133"/>
      <c r="H560" s="133"/>
      <c r="I560" s="133"/>
      <c r="K560" s="133"/>
      <c r="L560" s="133"/>
      <c r="M560" s="133"/>
      <c r="N560" s="133"/>
      <c r="O560" s="133"/>
      <c r="P560" s="133"/>
      <c r="Q560" s="133"/>
      <c r="R560" s="133"/>
      <c r="S560" s="133"/>
      <c r="T560" s="133"/>
      <c r="U560" s="133"/>
      <c r="V560" s="133"/>
      <c r="W560" s="133"/>
      <c r="X560" s="133"/>
      <c r="Y560" s="133"/>
      <c r="Z560" s="133"/>
      <c r="AA560" s="133"/>
    </row>
    <row r="561" spans="1:27" ht="15.75" customHeight="1" x14ac:dyDescent="0.25">
      <c r="A561" s="133"/>
      <c r="B561" s="133"/>
      <c r="C561" s="133"/>
      <c r="D561" s="133"/>
      <c r="E561" s="133"/>
      <c r="F561" s="133"/>
      <c r="G561" s="133"/>
      <c r="H561" s="133"/>
      <c r="I561" s="133"/>
      <c r="K561" s="133"/>
      <c r="L561" s="133"/>
      <c r="M561" s="133"/>
      <c r="N561" s="133"/>
      <c r="O561" s="133"/>
      <c r="P561" s="133"/>
      <c r="Q561" s="133"/>
      <c r="R561" s="133"/>
      <c r="S561" s="133"/>
      <c r="T561" s="133"/>
      <c r="U561" s="133"/>
      <c r="V561" s="133"/>
      <c r="W561" s="133"/>
      <c r="X561" s="133"/>
      <c r="Y561" s="133"/>
      <c r="Z561" s="133"/>
      <c r="AA561" s="133"/>
    </row>
    <row r="562" spans="1:27" ht="15.75" customHeight="1" x14ac:dyDescent="0.25">
      <c r="A562" s="133"/>
      <c r="B562" s="133"/>
      <c r="C562" s="133"/>
      <c r="D562" s="133"/>
      <c r="E562" s="133"/>
      <c r="F562" s="133"/>
      <c r="G562" s="133"/>
      <c r="H562" s="133"/>
      <c r="I562" s="133"/>
      <c r="K562" s="133"/>
      <c r="L562" s="133"/>
      <c r="M562" s="133"/>
      <c r="N562" s="133"/>
      <c r="O562" s="133"/>
      <c r="P562" s="133"/>
      <c r="Q562" s="133"/>
      <c r="R562" s="133"/>
      <c r="S562" s="133"/>
      <c r="T562" s="133"/>
      <c r="U562" s="133"/>
      <c r="V562" s="133"/>
      <c r="W562" s="133"/>
      <c r="X562" s="133"/>
      <c r="Y562" s="133"/>
      <c r="Z562" s="133"/>
      <c r="AA562" s="133"/>
    </row>
    <row r="563" spans="1:27" ht="15.75" customHeight="1" x14ac:dyDescent="0.25">
      <c r="A563" s="133"/>
      <c r="B563" s="133"/>
      <c r="C563" s="133"/>
      <c r="D563" s="133"/>
      <c r="E563" s="133"/>
      <c r="F563" s="133"/>
      <c r="G563" s="133"/>
      <c r="H563" s="133"/>
      <c r="I563" s="133"/>
      <c r="K563" s="133"/>
      <c r="L563" s="133"/>
      <c r="M563" s="133"/>
      <c r="N563" s="133"/>
      <c r="O563" s="133"/>
      <c r="P563" s="133"/>
      <c r="Q563" s="133"/>
      <c r="R563" s="133"/>
      <c r="S563" s="133"/>
      <c r="T563" s="133"/>
      <c r="U563" s="133"/>
      <c r="V563" s="133"/>
      <c r="W563" s="133"/>
      <c r="X563" s="133"/>
      <c r="Y563" s="133"/>
      <c r="Z563" s="133"/>
      <c r="AA563" s="133"/>
    </row>
    <row r="564" spans="1:27" ht="15.75" customHeight="1" x14ac:dyDescent="0.25">
      <c r="A564" s="133"/>
      <c r="B564" s="133"/>
      <c r="C564" s="133"/>
      <c r="D564" s="133"/>
      <c r="E564" s="133"/>
      <c r="F564" s="133"/>
      <c r="G564" s="133"/>
      <c r="H564" s="133"/>
      <c r="I564" s="133"/>
      <c r="K564" s="133"/>
      <c r="L564" s="133"/>
      <c r="M564" s="133"/>
      <c r="N564" s="133"/>
      <c r="O564" s="133"/>
      <c r="P564" s="133"/>
      <c r="Q564" s="133"/>
      <c r="R564" s="133"/>
      <c r="S564" s="133"/>
      <c r="T564" s="133"/>
      <c r="U564" s="133"/>
      <c r="V564" s="133"/>
      <c r="W564" s="133"/>
      <c r="X564" s="133"/>
      <c r="Y564" s="133"/>
      <c r="Z564" s="133"/>
      <c r="AA564" s="133"/>
    </row>
    <row r="565" spans="1:27" ht="15.75" customHeight="1" x14ac:dyDescent="0.25">
      <c r="A565" s="133"/>
      <c r="B565" s="133"/>
      <c r="C565" s="133"/>
      <c r="D565" s="133"/>
      <c r="E565" s="133"/>
      <c r="F565" s="133"/>
      <c r="G565" s="133"/>
      <c r="H565" s="133"/>
      <c r="I565" s="133"/>
      <c r="K565" s="133"/>
      <c r="L565" s="133"/>
      <c r="M565" s="133"/>
      <c r="N565" s="133"/>
      <c r="O565" s="133"/>
      <c r="P565" s="133"/>
      <c r="Q565" s="133"/>
      <c r="R565" s="133"/>
      <c r="S565" s="133"/>
      <c r="T565" s="133"/>
      <c r="U565" s="133"/>
      <c r="V565" s="133"/>
      <c r="W565" s="133"/>
      <c r="X565" s="133"/>
      <c r="Y565" s="133"/>
      <c r="Z565" s="133"/>
      <c r="AA565" s="133"/>
    </row>
    <row r="566" spans="1:27" ht="15.75" customHeight="1" x14ac:dyDescent="0.25">
      <c r="A566" s="133"/>
      <c r="B566" s="133"/>
      <c r="C566" s="133"/>
      <c r="D566" s="133"/>
      <c r="E566" s="133"/>
      <c r="F566" s="133"/>
      <c r="G566" s="133"/>
      <c r="H566" s="133"/>
      <c r="I566" s="133"/>
      <c r="K566" s="133"/>
      <c r="L566" s="133"/>
      <c r="M566" s="133"/>
      <c r="N566" s="133"/>
      <c r="O566" s="133"/>
      <c r="P566" s="133"/>
      <c r="Q566" s="133"/>
      <c r="R566" s="133"/>
      <c r="S566" s="133"/>
      <c r="T566" s="133"/>
      <c r="U566" s="133"/>
      <c r="V566" s="133"/>
      <c r="W566" s="133"/>
      <c r="X566" s="133"/>
      <c r="Y566" s="133"/>
      <c r="Z566" s="133"/>
      <c r="AA566" s="133"/>
    </row>
    <row r="567" spans="1:27" ht="15.75" customHeight="1" x14ac:dyDescent="0.25">
      <c r="A567" s="133"/>
      <c r="B567" s="133"/>
      <c r="C567" s="133"/>
      <c r="D567" s="133"/>
      <c r="E567" s="133"/>
      <c r="F567" s="133"/>
      <c r="G567" s="133"/>
      <c r="H567" s="133"/>
      <c r="I567" s="133"/>
      <c r="K567" s="133"/>
      <c r="L567" s="133"/>
      <c r="M567" s="133"/>
      <c r="N567" s="133"/>
      <c r="O567" s="133"/>
      <c r="P567" s="133"/>
      <c r="Q567" s="133"/>
      <c r="R567" s="133"/>
      <c r="S567" s="133"/>
      <c r="T567" s="133"/>
      <c r="U567" s="133"/>
      <c r="V567" s="133"/>
      <c r="W567" s="133"/>
      <c r="X567" s="133"/>
      <c r="Y567" s="133"/>
      <c r="Z567" s="133"/>
      <c r="AA567" s="133"/>
    </row>
    <row r="568" spans="1:27" ht="15.75" customHeight="1" x14ac:dyDescent="0.25">
      <c r="A568" s="133"/>
      <c r="B568" s="133"/>
      <c r="C568" s="133"/>
      <c r="D568" s="133"/>
      <c r="E568" s="133"/>
      <c r="F568" s="133"/>
      <c r="G568" s="133"/>
      <c r="H568" s="133"/>
      <c r="I568" s="133"/>
      <c r="K568" s="133"/>
      <c r="L568" s="133"/>
      <c r="M568" s="133"/>
      <c r="N568" s="133"/>
      <c r="O568" s="133"/>
      <c r="P568" s="133"/>
      <c r="Q568" s="133"/>
      <c r="R568" s="133"/>
      <c r="S568" s="133"/>
      <c r="T568" s="133"/>
      <c r="U568" s="133"/>
      <c r="V568" s="133"/>
      <c r="W568" s="133"/>
      <c r="X568" s="133"/>
      <c r="Y568" s="133"/>
      <c r="Z568" s="133"/>
      <c r="AA568" s="133"/>
    </row>
    <row r="569" spans="1:27" ht="15.75" customHeight="1" x14ac:dyDescent="0.25">
      <c r="A569" s="133"/>
      <c r="B569" s="133"/>
      <c r="C569" s="133"/>
      <c r="D569" s="133"/>
      <c r="E569" s="133"/>
      <c r="F569" s="133"/>
      <c r="G569" s="133"/>
      <c r="H569" s="133"/>
      <c r="I569" s="133"/>
      <c r="K569" s="133"/>
      <c r="L569" s="133"/>
      <c r="M569" s="133"/>
      <c r="N569" s="133"/>
      <c r="O569" s="133"/>
      <c r="P569" s="133"/>
      <c r="Q569" s="133"/>
      <c r="R569" s="133"/>
      <c r="S569" s="133"/>
      <c r="T569" s="133"/>
      <c r="U569" s="133"/>
      <c r="V569" s="133"/>
      <c r="W569" s="133"/>
      <c r="X569" s="133"/>
      <c r="Y569" s="133"/>
      <c r="Z569" s="133"/>
      <c r="AA569" s="133"/>
    </row>
    <row r="570" spans="1:27" ht="15.75" customHeight="1" x14ac:dyDescent="0.25">
      <c r="A570" s="133"/>
      <c r="B570" s="133"/>
      <c r="C570" s="133"/>
      <c r="D570" s="133"/>
      <c r="E570" s="133"/>
      <c r="F570" s="133"/>
      <c r="G570" s="133"/>
      <c r="H570" s="133"/>
      <c r="I570" s="133"/>
      <c r="K570" s="133"/>
      <c r="L570" s="133"/>
      <c r="M570" s="133"/>
      <c r="N570" s="133"/>
      <c r="O570" s="133"/>
      <c r="P570" s="133"/>
      <c r="Q570" s="133"/>
      <c r="R570" s="133"/>
      <c r="S570" s="133"/>
      <c r="T570" s="133"/>
      <c r="U570" s="133"/>
      <c r="V570" s="133"/>
      <c r="W570" s="133"/>
      <c r="X570" s="133"/>
      <c r="Y570" s="133"/>
      <c r="Z570" s="133"/>
      <c r="AA570" s="133"/>
    </row>
    <row r="571" spans="1:27" ht="15.75" customHeight="1" x14ac:dyDescent="0.25">
      <c r="A571" s="133"/>
      <c r="B571" s="133"/>
      <c r="C571" s="133"/>
      <c r="D571" s="133"/>
      <c r="E571" s="133"/>
      <c r="F571" s="133"/>
      <c r="G571" s="133"/>
      <c r="H571" s="133"/>
      <c r="I571" s="133"/>
      <c r="K571" s="133"/>
      <c r="L571" s="133"/>
      <c r="M571" s="133"/>
      <c r="N571" s="133"/>
      <c r="O571" s="133"/>
      <c r="P571" s="133"/>
      <c r="Q571" s="133"/>
      <c r="R571" s="133"/>
      <c r="S571" s="133"/>
      <c r="T571" s="133"/>
      <c r="U571" s="133"/>
      <c r="V571" s="133"/>
      <c r="W571" s="133"/>
      <c r="X571" s="133"/>
      <c r="Y571" s="133"/>
      <c r="Z571" s="133"/>
      <c r="AA571" s="133"/>
    </row>
    <row r="572" spans="1:27" ht="15.75" customHeight="1" x14ac:dyDescent="0.25">
      <c r="A572" s="133"/>
      <c r="B572" s="133"/>
      <c r="C572" s="133"/>
      <c r="D572" s="133"/>
      <c r="E572" s="133"/>
      <c r="F572" s="133"/>
      <c r="G572" s="133"/>
      <c r="H572" s="133"/>
      <c r="I572" s="133"/>
      <c r="K572" s="133"/>
      <c r="L572" s="133"/>
      <c r="M572" s="133"/>
      <c r="N572" s="133"/>
      <c r="O572" s="133"/>
      <c r="P572" s="133"/>
      <c r="Q572" s="133"/>
      <c r="R572" s="133"/>
      <c r="S572" s="133"/>
      <c r="T572" s="133"/>
      <c r="U572" s="133"/>
      <c r="V572" s="133"/>
      <c r="W572" s="133"/>
      <c r="X572" s="133"/>
      <c r="Y572" s="133"/>
      <c r="Z572" s="133"/>
      <c r="AA572" s="133"/>
    </row>
    <row r="573" spans="1:27" ht="15.75" customHeight="1" x14ac:dyDescent="0.25">
      <c r="A573" s="133"/>
      <c r="B573" s="133"/>
      <c r="C573" s="133"/>
      <c r="D573" s="133"/>
      <c r="E573" s="133"/>
      <c r="F573" s="133"/>
      <c r="G573" s="133"/>
      <c r="H573" s="133"/>
      <c r="I573" s="133"/>
      <c r="K573" s="133"/>
      <c r="L573" s="133"/>
      <c r="M573" s="133"/>
      <c r="N573" s="133"/>
      <c r="O573" s="133"/>
      <c r="P573" s="133"/>
      <c r="Q573" s="133"/>
      <c r="R573" s="133"/>
      <c r="S573" s="133"/>
      <c r="T573" s="133"/>
      <c r="U573" s="133"/>
      <c r="V573" s="133"/>
      <c r="W573" s="133"/>
      <c r="X573" s="133"/>
      <c r="Y573" s="133"/>
      <c r="Z573" s="133"/>
      <c r="AA573" s="133"/>
    </row>
    <row r="574" spans="1:27" ht="15.75" customHeight="1" x14ac:dyDescent="0.25">
      <c r="A574" s="133"/>
      <c r="B574" s="133"/>
      <c r="C574" s="133"/>
      <c r="D574" s="133"/>
      <c r="E574" s="133"/>
      <c r="F574" s="133"/>
      <c r="G574" s="133"/>
      <c r="H574" s="133"/>
      <c r="I574" s="133"/>
      <c r="K574" s="133"/>
      <c r="L574" s="133"/>
      <c r="M574" s="133"/>
      <c r="N574" s="133"/>
      <c r="O574" s="133"/>
      <c r="P574" s="133"/>
      <c r="Q574" s="133"/>
      <c r="R574" s="133"/>
      <c r="S574" s="133"/>
      <c r="T574" s="133"/>
      <c r="U574" s="133"/>
      <c r="V574" s="133"/>
      <c r="W574" s="133"/>
      <c r="X574" s="133"/>
      <c r="Y574" s="133"/>
      <c r="Z574" s="133"/>
      <c r="AA574" s="133"/>
    </row>
    <row r="575" spans="1:27" ht="15.75" customHeight="1" x14ac:dyDescent="0.25">
      <c r="A575" s="133"/>
      <c r="B575" s="133"/>
      <c r="C575" s="133"/>
      <c r="D575" s="133"/>
      <c r="E575" s="133"/>
      <c r="F575" s="133"/>
      <c r="G575" s="133"/>
      <c r="H575" s="133"/>
      <c r="I575" s="133"/>
      <c r="K575" s="133"/>
      <c r="L575" s="133"/>
      <c r="M575" s="133"/>
      <c r="N575" s="133"/>
      <c r="O575" s="133"/>
      <c r="P575" s="133"/>
      <c r="Q575" s="133"/>
      <c r="R575" s="133"/>
      <c r="S575" s="133"/>
      <c r="T575" s="133"/>
      <c r="U575" s="133"/>
      <c r="V575" s="133"/>
      <c r="W575" s="133"/>
      <c r="X575" s="133"/>
      <c r="Y575" s="133"/>
      <c r="Z575" s="133"/>
      <c r="AA575" s="133"/>
    </row>
    <row r="576" spans="1:27" ht="15.75" customHeight="1" x14ac:dyDescent="0.25">
      <c r="A576" s="133"/>
      <c r="B576" s="133"/>
      <c r="C576" s="133"/>
      <c r="D576" s="133"/>
      <c r="E576" s="133"/>
      <c r="F576" s="133"/>
      <c r="G576" s="133"/>
      <c r="H576" s="133"/>
      <c r="I576" s="133"/>
      <c r="K576" s="133"/>
      <c r="L576" s="133"/>
      <c r="M576" s="133"/>
      <c r="N576" s="133"/>
      <c r="O576" s="133"/>
      <c r="P576" s="133"/>
      <c r="Q576" s="133"/>
      <c r="R576" s="133"/>
      <c r="S576" s="133"/>
      <c r="T576" s="133"/>
      <c r="U576" s="133"/>
      <c r="V576" s="133"/>
      <c r="W576" s="133"/>
      <c r="X576" s="133"/>
      <c r="Y576" s="133"/>
      <c r="Z576" s="133"/>
      <c r="AA576" s="133"/>
    </row>
    <row r="577" spans="1:27" ht="15.75" customHeight="1" x14ac:dyDescent="0.25">
      <c r="A577" s="133"/>
      <c r="B577" s="133"/>
      <c r="C577" s="133"/>
      <c r="D577" s="133"/>
      <c r="E577" s="133"/>
      <c r="F577" s="133"/>
      <c r="G577" s="133"/>
      <c r="H577" s="133"/>
      <c r="I577" s="133"/>
      <c r="K577" s="133"/>
      <c r="L577" s="133"/>
      <c r="M577" s="133"/>
      <c r="N577" s="133"/>
      <c r="O577" s="133"/>
      <c r="P577" s="133"/>
      <c r="Q577" s="133"/>
      <c r="R577" s="133"/>
      <c r="S577" s="133"/>
      <c r="T577" s="133"/>
      <c r="U577" s="133"/>
      <c r="V577" s="133"/>
      <c r="W577" s="133"/>
      <c r="X577" s="133"/>
      <c r="Y577" s="133"/>
      <c r="Z577" s="133"/>
      <c r="AA577" s="133"/>
    </row>
    <row r="578" spans="1:27" ht="15.75" customHeight="1" x14ac:dyDescent="0.25">
      <c r="A578" s="133"/>
      <c r="B578" s="133"/>
      <c r="C578" s="133"/>
      <c r="D578" s="133"/>
      <c r="E578" s="133"/>
      <c r="F578" s="133"/>
      <c r="G578" s="133"/>
      <c r="H578" s="133"/>
      <c r="I578" s="133"/>
      <c r="K578" s="133"/>
      <c r="L578" s="133"/>
      <c r="M578" s="133"/>
      <c r="N578" s="133"/>
      <c r="O578" s="133"/>
      <c r="P578" s="133"/>
      <c r="Q578" s="133"/>
      <c r="R578" s="133"/>
      <c r="S578" s="133"/>
      <c r="T578" s="133"/>
      <c r="U578" s="133"/>
      <c r="V578" s="133"/>
      <c r="W578" s="133"/>
      <c r="X578" s="133"/>
      <c r="Y578" s="133"/>
      <c r="Z578" s="133"/>
      <c r="AA578" s="133"/>
    </row>
    <row r="579" spans="1:27" ht="15.75" customHeight="1" x14ac:dyDescent="0.25">
      <c r="A579" s="133"/>
      <c r="B579" s="133"/>
      <c r="C579" s="133"/>
      <c r="D579" s="133"/>
      <c r="E579" s="133"/>
      <c r="F579" s="133"/>
      <c r="G579" s="133"/>
      <c r="H579" s="133"/>
      <c r="I579" s="133"/>
      <c r="K579" s="133"/>
      <c r="L579" s="133"/>
      <c r="M579" s="133"/>
      <c r="N579" s="133"/>
      <c r="O579" s="133"/>
      <c r="P579" s="133"/>
      <c r="Q579" s="133"/>
      <c r="R579" s="133"/>
      <c r="S579" s="133"/>
      <c r="T579" s="133"/>
      <c r="U579" s="133"/>
      <c r="V579" s="133"/>
      <c r="W579" s="133"/>
      <c r="X579" s="133"/>
      <c r="Y579" s="133"/>
      <c r="Z579" s="133"/>
      <c r="AA579" s="133"/>
    </row>
    <row r="580" spans="1:27" ht="15.75" customHeight="1" x14ac:dyDescent="0.25">
      <c r="A580" s="133"/>
      <c r="B580" s="133"/>
      <c r="C580" s="133"/>
      <c r="D580" s="133"/>
      <c r="E580" s="133"/>
      <c r="F580" s="133"/>
      <c r="G580" s="133"/>
      <c r="H580" s="133"/>
      <c r="I580" s="133"/>
      <c r="K580" s="133"/>
      <c r="L580" s="133"/>
      <c r="M580" s="133"/>
      <c r="N580" s="133"/>
      <c r="O580" s="133"/>
      <c r="P580" s="133"/>
      <c r="Q580" s="133"/>
      <c r="R580" s="133"/>
      <c r="S580" s="133"/>
      <c r="T580" s="133"/>
      <c r="U580" s="133"/>
      <c r="V580" s="133"/>
      <c r="W580" s="133"/>
      <c r="X580" s="133"/>
      <c r="Y580" s="133"/>
      <c r="Z580" s="133"/>
      <c r="AA580" s="133"/>
    </row>
    <row r="581" spans="1:27" ht="15.75" customHeight="1" x14ac:dyDescent="0.25">
      <c r="A581" s="133"/>
      <c r="B581" s="133"/>
      <c r="C581" s="133"/>
      <c r="D581" s="133"/>
      <c r="E581" s="133"/>
      <c r="F581" s="133"/>
      <c r="G581" s="133"/>
      <c r="H581" s="133"/>
      <c r="I581" s="133"/>
      <c r="K581" s="133"/>
      <c r="L581" s="133"/>
      <c r="M581" s="133"/>
      <c r="N581" s="133"/>
      <c r="O581" s="133"/>
      <c r="P581" s="133"/>
      <c r="Q581" s="133"/>
      <c r="R581" s="133"/>
      <c r="S581" s="133"/>
      <c r="T581" s="133"/>
      <c r="U581" s="133"/>
      <c r="V581" s="133"/>
      <c r="W581" s="133"/>
      <c r="X581" s="133"/>
      <c r="Y581" s="133"/>
      <c r="Z581" s="133"/>
      <c r="AA581" s="133"/>
    </row>
    <row r="582" spans="1:27" ht="15.75" customHeight="1" x14ac:dyDescent="0.25">
      <c r="A582" s="133"/>
      <c r="B582" s="133"/>
      <c r="C582" s="133"/>
      <c r="D582" s="133"/>
      <c r="E582" s="133"/>
      <c r="F582" s="133"/>
      <c r="G582" s="133"/>
      <c r="H582" s="133"/>
      <c r="I582" s="133"/>
      <c r="K582" s="133"/>
      <c r="L582" s="133"/>
      <c r="M582" s="133"/>
      <c r="N582" s="133"/>
      <c r="O582" s="133"/>
      <c r="P582" s="133"/>
      <c r="Q582" s="133"/>
      <c r="R582" s="133"/>
      <c r="S582" s="133"/>
      <c r="T582" s="133"/>
      <c r="U582" s="133"/>
      <c r="V582" s="133"/>
      <c r="W582" s="133"/>
      <c r="X582" s="133"/>
      <c r="Y582" s="133"/>
      <c r="Z582" s="133"/>
      <c r="AA582" s="133"/>
    </row>
    <row r="583" spans="1:27" ht="15.75" customHeight="1" x14ac:dyDescent="0.25">
      <c r="A583" s="133"/>
      <c r="B583" s="133"/>
      <c r="C583" s="133"/>
      <c r="D583" s="133"/>
      <c r="E583" s="133"/>
      <c r="F583" s="133"/>
      <c r="G583" s="133"/>
      <c r="H583" s="133"/>
      <c r="I583" s="133"/>
      <c r="K583" s="133"/>
      <c r="L583" s="133"/>
      <c r="M583" s="133"/>
      <c r="N583" s="133"/>
      <c r="O583" s="133"/>
      <c r="P583" s="133"/>
      <c r="Q583" s="133"/>
      <c r="R583" s="133"/>
      <c r="S583" s="133"/>
      <c r="T583" s="133"/>
      <c r="U583" s="133"/>
      <c r="V583" s="133"/>
      <c r="W583" s="133"/>
      <c r="X583" s="133"/>
      <c r="Y583" s="133"/>
      <c r="Z583" s="133"/>
      <c r="AA583" s="133"/>
    </row>
    <row r="584" spans="1:27" ht="15.75" customHeight="1" x14ac:dyDescent="0.25">
      <c r="A584" s="133"/>
      <c r="B584" s="133"/>
      <c r="C584" s="133"/>
      <c r="D584" s="133"/>
      <c r="E584" s="133"/>
      <c r="F584" s="133"/>
      <c r="G584" s="133"/>
      <c r="H584" s="133"/>
      <c r="I584" s="133"/>
      <c r="K584" s="133"/>
      <c r="L584" s="133"/>
      <c r="M584" s="133"/>
      <c r="N584" s="133"/>
      <c r="O584" s="133"/>
      <c r="P584" s="133"/>
      <c r="Q584" s="133"/>
      <c r="R584" s="133"/>
      <c r="S584" s="133"/>
      <c r="T584" s="133"/>
      <c r="U584" s="133"/>
      <c r="V584" s="133"/>
      <c r="W584" s="133"/>
      <c r="X584" s="133"/>
      <c r="Y584" s="133"/>
      <c r="Z584" s="133"/>
      <c r="AA584" s="133"/>
    </row>
    <row r="585" spans="1:27" ht="15.75" customHeight="1" x14ac:dyDescent="0.25">
      <c r="A585" s="133"/>
      <c r="B585" s="133"/>
      <c r="C585" s="133"/>
      <c r="D585" s="133"/>
      <c r="E585" s="133"/>
      <c r="F585" s="133"/>
      <c r="G585" s="133"/>
      <c r="H585" s="133"/>
      <c r="I585" s="133"/>
      <c r="K585" s="133"/>
      <c r="L585" s="133"/>
      <c r="M585" s="133"/>
      <c r="N585" s="133"/>
      <c r="O585" s="133"/>
      <c r="P585" s="133"/>
      <c r="Q585" s="133"/>
      <c r="R585" s="133"/>
      <c r="S585" s="133"/>
      <c r="T585" s="133"/>
      <c r="U585" s="133"/>
      <c r="V585" s="133"/>
      <c r="W585" s="133"/>
      <c r="X585" s="133"/>
      <c r="Y585" s="133"/>
      <c r="Z585" s="133"/>
      <c r="AA585" s="133"/>
    </row>
    <row r="586" spans="1:27" ht="15.75" customHeight="1" x14ac:dyDescent="0.25">
      <c r="A586" s="133"/>
      <c r="B586" s="133"/>
      <c r="C586" s="133"/>
      <c r="D586" s="133"/>
      <c r="E586" s="133"/>
      <c r="F586" s="133"/>
      <c r="G586" s="133"/>
      <c r="H586" s="133"/>
      <c r="I586" s="133"/>
      <c r="K586" s="133"/>
      <c r="L586" s="133"/>
      <c r="M586" s="133"/>
      <c r="N586" s="133"/>
      <c r="O586" s="133"/>
      <c r="P586" s="133"/>
      <c r="Q586" s="133"/>
      <c r="R586" s="133"/>
      <c r="S586" s="133"/>
      <c r="T586" s="133"/>
      <c r="U586" s="133"/>
      <c r="V586" s="133"/>
      <c r="W586" s="133"/>
      <c r="X586" s="133"/>
      <c r="Y586" s="133"/>
      <c r="Z586" s="133"/>
      <c r="AA586" s="133"/>
    </row>
    <row r="587" spans="1:27" ht="15.75" customHeight="1" x14ac:dyDescent="0.25">
      <c r="A587" s="133"/>
      <c r="B587" s="133"/>
      <c r="C587" s="133"/>
      <c r="D587" s="133"/>
      <c r="E587" s="133"/>
      <c r="F587" s="133"/>
      <c r="G587" s="133"/>
      <c r="H587" s="133"/>
      <c r="I587" s="133"/>
      <c r="K587" s="133"/>
      <c r="L587" s="133"/>
      <c r="M587" s="133"/>
      <c r="N587" s="133"/>
      <c r="O587" s="133"/>
      <c r="P587" s="133"/>
      <c r="Q587" s="133"/>
      <c r="R587" s="133"/>
      <c r="S587" s="133"/>
      <c r="T587" s="133"/>
      <c r="U587" s="133"/>
      <c r="V587" s="133"/>
      <c r="W587" s="133"/>
      <c r="X587" s="133"/>
      <c r="Y587" s="133"/>
      <c r="Z587" s="133"/>
      <c r="AA587" s="133"/>
    </row>
    <row r="588" spans="1:27" ht="15.75" customHeight="1" x14ac:dyDescent="0.25">
      <c r="A588" s="133"/>
      <c r="B588" s="133"/>
      <c r="C588" s="133"/>
      <c r="D588" s="133"/>
      <c r="E588" s="133"/>
      <c r="F588" s="133"/>
      <c r="G588" s="133"/>
      <c r="H588" s="133"/>
      <c r="I588" s="133"/>
      <c r="K588" s="133"/>
      <c r="L588" s="133"/>
      <c r="M588" s="133"/>
      <c r="N588" s="133"/>
      <c r="O588" s="133"/>
      <c r="P588" s="133"/>
      <c r="Q588" s="133"/>
      <c r="R588" s="133"/>
      <c r="S588" s="133"/>
      <c r="T588" s="133"/>
      <c r="U588" s="133"/>
      <c r="V588" s="133"/>
      <c r="W588" s="133"/>
      <c r="X588" s="133"/>
      <c r="Y588" s="133"/>
      <c r="Z588" s="133"/>
      <c r="AA588" s="133"/>
    </row>
    <row r="589" spans="1:27" ht="15.75" customHeight="1" x14ac:dyDescent="0.25">
      <c r="A589" s="133"/>
      <c r="B589" s="133"/>
      <c r="C589" s="133"/>
      <c r="D589" s="133"/>
      <c r="E589" s="133"/>
      <c r="F589" s="133"/>
      <c r="G589" s="133"/>
      <c r="H589" s="133"/>
      <c r="I589" s="133"/>
      <c r="K589" s="133"/>
      <c r="L589" s="133"/>
      <c r="M589" s="133"/>
      <c r="N589" s="133"/>
      <c r="O589" s="133"/>
      <c r="P589" s="133"/>
      <c r="Q589" s="133"/>
      <c r="R589" s="133"/>
      <c r="S589" s="133"/>
      <c r="T589" s="133"/>
      <c r="U589" s="133"/>
      <c r="V589" s="133"/>
      <c r="W589" s="133"/>
      <c r="X589" s="133"/>
      <c r="Y589" s="133"/>
      <c r="Z589" s="133"/>
      <c r="AA589" s="133"/>
    </row>
    <row r="590" spans="1:27" ht="15.75" customHeight="1" x14ac:dyDescent="0.25">
      <c r="A590" s="133"/>
      <c r="B590" s="133"/>
      <c r="C590" s="133"/>
      <c r="D590" s="133"/>
      <c r="E590" s="133"/>
      <c r="F590" s="133"/>
      <c r="G590" s="133"/>
      <c r="H590" s="133"/>
      <c r="I590" s="133"/>
      <c r="K590" s="133"/>
      <c r="L590" s="133"/>
      <c r="M590" s="133"/>
      <c r="N590" s="133"/>
      <c r="O590" s="133"/>
      <c r="P590" s="133"/>
      <c r="Q590" s="133"/>
      <c r="R590" s="133"/>
      <c r="S590" s="133"/>
      <c r="T590" s="133"/>
      <c r="U590" s="133"/>
      <c r="V590" s="133"/>
      <c r="W590" s="133"/>
      <c r="X590" s="133"/>
      <c r="Y590" s="133"/>
      <c r="Z590" s="133"/>
      <c r="AA590" s="133"/>
    </row>
    <row r="591" spans="1:27" ht="15.75" customHeight="1" x14ac:dyDescent="0.25">
      <c r="A591" s="133"/>
      <c r="B591" s="133"/>
      <c r="C591" s="133"/>
      <c r="D591" s="133"/>
      <c r="E591" s="133"/>
      <c r="F591" s="133"/>
      <c r="G591" s="133"/>
      <c r="H591" s="133"/>
      <c r="I591" s="133"/>
      <c r="K591" s="133"/>
      <c r="L591" s="133"/>
      <c r="M591" s="133"/>
      <c r="N591" s="133"/>
      <c r="O591" s="133"/>
      <c r="P591" s="133"/>
      <c r="Q591" s="133"/>
      <c r="R591" s="133"/>
      <c r="S591" s="133"/>
      <c r="T591" s="133"/>
      <c r="U591" s="133"/>
      <c r="V591" s="133"/>
      <c r="W591" s="133"/>
      <c r="X591" s="133"/>
      <c r="Y591" s="133"/>
      <c r="Z591" s="133"/>
      <c r="AA591" s="133"/>
    </row>
    <row r="592" spans="1:27" ht="15.75" customHeight="1" x14ac:dyDescent="0.25">
      <c r="A592" s="133"/>
      <c r="B592" s="133"/>
      <c r="C592" s="133"/>
      <c r="D592" s="133"/>
      <c r="E592" s="133"/>
      <c r="F592" s="133"/>
      <c r="G592" s="133"/>
      <c r="H592" s="133"/>
      <c r="I592" s="133"/>
      <c r="K592" s="133"/>
      <c r="L592" s="133"/>
      <c r="M592" s="133"/>
      <c r="N592" s="133"/>
      <c r="O592" s="133"/>
      <c r="P592" s="133"/>
      <c r="Q592" s="133"/>
      <c r="R592" s="133"/>
      <c r="S592" s="133"/>
      <c r="T592" s="133"/>
      <c r="U592" s="133"/>
      <c r="V592" s="133"/>
      <c r="W592" s="133"/>
      <c r="X592" s="133"/>
      <c r="Y592" s="133"/>
      <c r="Z592" s="133"/>
      <c r="AA592" s="133"/>
    </row>
    <row r="593" spans="1:27" ht="15.75" customHeight="1" x14ac:dyDescent="0.25">
      <c r="A593" s="133"/>
      <c r="B593" s="133"/>
      <c r="C593" s="133"/>
      <c r="D593" s="133"/>
      <c r="E593" s="133"/>
      <c r="F593" s="133"/>
      <c r="G593" s="133"/>
      <c r="H593" s="133"/>
      <c r="I593" s="133"/>
      <c r="K593" s="133"/>
      <c r="L593" s="133"/>
      <c r="M593" s="133"/>
      <c r="N593" s="133"/>
      <c r="O593" s="133"/>
      <c r="P593" s="133"/>
      <c r="Q593" s="133"/>
      <c r="R593" s="133"/>
      <c r="S593" s="133"/>
      <c r="T593" s="133"/>
      <c r="U593" s="133"/>
      <c r="V593" s="133"/>
      <c r="W593" s="133"/>
      <c r="X593" s="133"/>
      <c r="Y593" s="133"/>
      <c r="Z593" s="133"/>
      <c r="AA593" s="133"/>
    </row>
    <row r="594" spans="1:27" ht="15.75" customHeight="1" x14ac:dyDescent="0.25">
      <c r="A594" s="133"/>
      <c r="B594" s="133"/>
      <c r="C594" s="133"/>
      <c r="D594" s="133"/>
      <c r="E594" s="133"/>
      <c r="F594" s="133"/>
      <c r="G594" s="133"/>
      <c r="H594" s="133"/>
      <c r="I594" s="133"/>
      <c r="K594" s="133"/>
      <c r="L594" s="133"/>
      <c r="M594" s="133"/>
      <c r="N594" s="133"/>
      <c r="O594" s="133"/>
      <c r="P594" s="133"/>
      <c r="Q594" s="133"/>
      <c r="R594" s="133"/>
      <c r="S594" s="133"/>
      <c r="T594" s="133"/>
      <c r="U594" s="133"/>
      <c r="V594" s="133"/>
      <c r="W594" s="133"/>
      <c r="X594" s="133"/>
      <c r="Y594" s="133"/>
      <c r="Z594" s="133"/>
      <c r="AA594" s="133"/>
    </row>
    <row r="595" spans="1:27" ht="15.75" customHeight="1" x14ac:dyDescent="0.25">
      <c r="A595" s="133"/>
      <c r="B595" s="133"/>
      <c r="C595" s="133"/>
      <c r="D595" s="133"/>
      <c r="E595" s="133"/>
      <c r="F595" s="133"/>
      <c r="G595" s="133"/>
      <c r="H595" s="133"/>
      <c r="I595" s="133"/>
      <c r="K595" s="133"/>
      <c r="L595" s="133"/>
      <c r="M595" s="133"/>
      <c r="N595" s="133"/>
      <c r="O595" s="133"/>
      <c r="P595" s="133"/>
      <c r="Q595" s="133"/>
      <c r="R595" s="133"/>
      <c r="S595" s="133"/>
      <c r="T595" s="133"/>
      <c r="U595" s="133"/>
      <c r="V595" s="133"/>
      <c r="W595" s="133"/>
      <c r="X595" s="133"/>
      <c r="Y595" s="133"/>
      <c r="Z595" s="133"/>
      <c r="AA595" s="133"/>
    </row>
    <row r="596" spans="1:27" ht="15.75" customHeight="1" x14ac:dyDescent="0.25">
      <c r="A596" s="133"/>
      <c r="B596" s="133"/>
      <c r="C596" s="133"/>
      <c r="D596" s="133"/>
      <c r="E596" s="133"/>
      <c r="F596" s="133"/>
      <c r="G596" s="133"/>
      <c r="H596" s="133"/>
      <c r="I596" s="133"/>
      <c r="K596" s="133"/>
      <c r="L596" s="133"/>
      <c r="M596" s="133"/>
      <c r="N596" s="133"/>
      <c r="O596" s="133"/>
      <c r="P596" s="133"/>
      <c r="Q596" s="133"/>
      <c r="R596" s="133"/>
      <c r="S596" s="133"/>
      <c r="T596" s="133"/>
      <c r="U596" s="133"/>
      <c r="V596" s="133"/>
      <c r="W596" s="133"/>
      <c r="X596" s="133"/>
      <c r="Y596" s="133"/>
      <c r="Z596" s="133"/>
      <c r="AA596" s="133"/>
    </row>
    <row r="597" spans="1:27" ht="15.75" customHeight="1" x14ac:dyDescent="0.25">
      <c r="A597" s="133"/>
      <c r="B597" s="133"/>
      <c r="C597" s="133"/>
      <c r="D597" s="133"/>
      <c r="E597" s="133"/>
      <c r="F597" s="133"/>
      <c r="G597" s="133"/>
      <c r="H597" s="133"/>
      <c r="I597" s="133"/>
      <c r="K597" s="133"/>
      <c r="L597" s="133"/>
      <c r="M597" s="133"/>
      <c r="N597" s="133"/>
      <c r="O597" s="133"/>
      <c r="P597" s="133"/>
      <c r="Q597" s="133"/>
      <c r="R597" s="133"/>
      <c r="S597" s="133"/>
      <c r="T597" s="133"/>
      <c r="U597" s="133"/>
      <c r="V597" s="133"/>
      <c r="W597" s="133"/>
      <c r="X597" s="133"/>
      <c r="Y597" s="133"/>
      <c r="Z597" s="133"/>
      <c r="AA597" s="133"/>
    </row>
    <row r="598" spans="1:27" ht="15.75" customHeight="1" x14ac:dyDescent="0.25">
      <c r="A598" s="133"/>
      <c r="B598" s="133"/>
      <c r="C598" s="133"/>
      <c r="D598" s="133"/>
      <c r="E598" s="133"/>
      <c r="F598" s="133"/>
      <c r="G598" s="133"/>
      <c r="H598" s="133"/>
      <c r="I598" s="133"/>
      <c r="K598" s="133"/>
      <c r="L598" s="133"/>
      <c r="M598" s="133"/>
      <c r="N598" s="133"/>
      <c r="O598" s="133"/>
      <c r="P598" s="133"/>
      <c r="Q598" s="133"/>
      <c r="R598" s="133"/>
      <c r="S598" s="133"/>
      <c r="T598" s="133"/>
      <c r="U598" s="133"/>
      <c r="V598" s="133"/>
      <c r="W598" s="133"/>
      <c r="X598" s="133"/>
      <c r="Y598" s="133"/>
      <c r="Z598" s="133"/>
      <c r="AA598" s="133"/>
    </row>
    <row r="599" spans="1:27" ht="15.75" customHeight="1" x14ac:dyDescent="0.25">
      <c r="A599" s="133"/>
      <c r="B599" s="133"/>
      <c r="C599" s="133"/>
      <c r="D599" s="133"/>
      <c r="E599" s="133"/>
      <c r="F599" s="133"/>
      <c r="G599" s="133"/>
      <c r="H599" s="133"/>
      <c r="I599" s="133"/>
      <c r="K599" s="133"/>
      <c r="L599" s="133"/>
      <c r="M599" s="133"/>
      <c r="N599" s="133"/>
      <c r="O599" s="133"/>
      <c r="P599" s="133"/>
      <c r="Q599" s="133"/>
      <c r="R599" s="133"/>
      <c r="S599" s="133"/>
      <c r="T599" s="133"/>
      <c r="U599" s="133"/>
      <c r="V599" s="133"/>
      <c r="W599" s="133"/>
      <c r="X599" s="133"/>
      <c r="Y599" s="133"/>
      <c r="Z599" s="133"/>
      <c r="AA599" s="133"/>
    </row>
    <row r="600" spans="1:27" ht="15.75" customHeight="1" x14ac:dyDescent="0.25">
      <c r="A600" s="133"/>
      <c r="B600" s="133"/>
      <c r="C600" s="133"/>
      <c r="D600" s="133"/>
      <c r="E600" s="133"/>
      <c r="F600" s="133"/>
      <c r="G600" s="133"/>
      <c r="H600" s="133"/>
      <c r="I600" s="133"/>
      <c r="K600" s="133"/>
      <c r="L600" s="133"/>
      <c r="M600" s="133"/>
      <c r="N600" s="133"/>
      <c r="O600" s="133"/>
      <c r="P600" s="133"/>
      <c r="Q600" s="133"/>
      <c r="R600" s="133"/>
      <c r="S600" s="133"/>
      <c r="T600" s="133"/>
      <c r="U600" s="133"/>
      <c r="V600" s="133"/>
      <c r="W600" s="133"/>
      <c r="X600" s="133"/>
      <c r="Y600" s="133"/>
      <c r="Z600" s="133"/>
      <c r="AA600" s="133"/>
    </row>
    <row r="601" spans="1:27" ht="15.75" customHeight="1" x14ac:dyDescent="0.25">
      <c r="A601" s="133"/>
      <c r="B601" s="133"/>
      <c r="C601" s="133"/>
      <c r="D601" s="133"/>
      <c r="E601" s="133"/>
      <c r="F601" s="133"/>
      <c r="G601" s="133"/>
      <c r="H601" s="133"/>
      <c r="I601" s="133"/>
      <c r="K601" s="133"/>
      <c r="L601" s="133"/>
      <c r="M601" s="133"/>
      <c r="N601" s="133"/>
      <c r="O601" s="133"/>
      <c r="P601" s="133"/>
      <c r="Q601" s="133"/>
      <c r="R601" s="133"/>
      <c r="S601" s="133"/>
      <c r="T601" s="133"/>
      <c r="U601" s="133"/>
      <c r="V601" s="133"/>
      <c r="W601" s="133"/>
      <c r="X601" s="133"/>
      <c r="Y601" s="133"/>
      <c r="Z601" s="133"/>
      <c r="AA601" s="133"/>
    </row>
    <row r="602" spans="1:27" ht="15.75" customHeight="1" x14ac:dyDescent="0.25">
      <c r="A602" s="133"/>
      <c r="B602" s="133"/>
      <c r="C602" s="133"/>
      <c r="D602" s="133"/>
      <c r="E602" s="133"/>
      <c r="F602" s="133"/>
      <c r="G602" s="133"/>
      <c r="H602" s="133"/>
      <c r="I602" s="133"/>
      <c r="K602" s="133"/>
      <c r="L602" s="133"/>
      <c r="M602" s="133"/>
      <c r="N602" s="133"/>
      <c r="O602" s="133"/>
      <c r="P602" s="133"/>
      <c r="Q602" s="133"/>
      <c r="R602" s="133"/>
      <c r="S602" s="133"/>
      <c r="T602" s="133"/>
      <c r="U602" s="133"/>
      <c r="V602" s="133"/>
      <c r="W602" s="133"/>
      <c r="X602" s="133"/>
      <c r="Y602" s="133"/>
      <c r="Z602" s="133"/>
      <c r="AA602" s="133"/>
    </row>
    <row r="603" spans="1:27" ht="15.75" customHeight="1" x14ac:dyDescent="0.25">
      <c r="A603" s="133"/>
      <c r="B603" s="133"/>
      <c r="C603" s="133"/>
      <c r="D603" s="133"/>
      <c r="E603" s="133"/>
      <c r="F603" s="133"/>
      <c r="G603" s="133"/>
      <c r="H603" s="133"/>
      <c r="I603" s="133"/>
      <c r="K603" s="133"/>
      <c r="L603" s="133"/>
      <c r="M603" s="133"/>
      <c r="N603" s="133"/>
      <c r="O603" s="133"/>
      <c r="P603" s="133"/>
      <c r="Q603" s="133"/>
      <c r="R603" s="133"/>
      <c r="S603" s="133"/>
      <c r="T603" s="133"/>
      <c r="U603" s="133"/>
      <c r="V603" s="133"/>
      <c r="W603" s="133"/>
      <c r="X603" s="133"/>
      <c r="Y603" s="133"/>
      <c r="Z603" s="133"/>
      <c r="AA603" s="133"/>
    </row>
    <row r="604" spans="1:27" ht="15.75" customHeight="1" x14ac:dyDescent="0.25">
      <c r="A604" s="133"/>
      <c r="B604" s="133"/>
      <c r="C604" s="133"/>
      <c r="D604" s="133"/>
      <c r="E604" s="133"/>
      <c r="F604" s="133"/>
      <c r="G604" s="133"/>
      <c r="H604" s="133"/>
      <c r="I604" s="133"/>
      <c r="K604" s="133"/>
      <c r="L604" s="133"/>
      <c r="M604" s="133"/>
      <c r="N604" s="133"/>
      <c r="O604" s="133"/>
      <c r="P604" s="133"/>
      <c r="Q604" s="133"/>
      <c r="R604" s="133"/>
      <c r="S604" s="133"/>
      <c r="T604" s="133"/>
      <c r="U604" s="133"/>
      <c r="V604" s="133"/>
      <c r="W604" s="133"/>
      <c r="X604" s="133"/>
      <c r="Y604" s="133"/>
      <c r="Z604" s="133"/>
      <c r="AA604" s="133"/>
    </row>
    <row r="605" spans="1:27" ht="15.75" customHeight="1" x14ac:dyDescent="0.25">
      <c r="A605" s="133"/>
      <c r="B605" s="133"/>
      <c r="C605" s="133"/>
      <c r="D605" s="133"/>
      <c r="E605" s="133"/>
      <c r="F605" s="133"/>
      <c r="G605" s="133"/>
      <c r="H605" s="133"/>
      <c r="I605" s="133"/>
      <c r="K605" s="133"/>
      <c r="L605" s="133"/>
      <c r="M605" s="133"/>
      <c r="N605" s="133"/>
      <c r="O605" s="133"/>
      <c r="P605" s="133"/>
      <c r="Q605" s="133"/>
      <c r="R605" s="133"/>
      <c r="S605" s="133"/>
      <c r="T605" s="133"/>
      <c r="U605" s="133"/>
      <c r="V605" s="133"/>
      <c r="W605" s="133"/>
      <c r="X605" s="133"/>
      <c r="Y605" s="133"/>
      <c r="Z605" s="133"/>
      <c r="AA605" s="133"/>
    </row>
    <row r="606" spans="1:27" ht="15.75" customHeight="1" x14ac:dyDescent="0.25">
      <c r="A606" s="133"/>
      <c r="B606" s="133"/>
      <c r="C606" s="133"/>
      <c r="D606" s="133"/>
      <c r="E606" s="133"/>
      <c r="F606" s="133"/>
      <c r="G606" s="133"/>
      <c r="H606" s="133"/>
      <c r="I606" s="133"/>
      <c r="K606" s="133"/>
      <c r="L606" s="133"/>
      <c r="M606" s="133"/>
      <c r="N606" s="133"/>
      <c r="O606" s="133"/>
      <c r="P606" s="133"/>
      <c r="Q606" s="133"/>
      <c r="R606" s="133"/>
      <c r="S606" s="133"/>
      <c r="T606" s="133"/>
      <c r="U606" s="133"/>
      <c r="V606" s="133"/>
      <c r="W606" s="133"/>
      <c r="X606" s="133"/>
      <c r="Y606" s="133"/>
      <c r="Z606" s="133"/>
      <c r="AA606" s="133"/>
    </row>
    <row r="607" spans="1:27" ht="15.75" customHeight="1" x14ac:dyDescent="0.25">
      <c r="A607" s="133"/>
      <c r="B607" s="133"/>
      <c r="C607" s="133"/>
      <c r="D607" s="133"/>
      <c r="E607" s="133"/>
      <c r="F607" s="133"/>
      <c r="G607" s="133"/>
      <c r="H607" s="133"/>
      <c r="I607" s="133"/>
      <c r="K607" s="133"/>
      <c r="L607" s="133"/>
      <c r="M607" s="133"/>
      <c r="N607" s="133"/>
      <c r="O607" s="133"/>
      <c r="P607" s="133"/>
      <c r="Q607" s="133"/>
      <c r="R607" s="133"/>
      <c r="S607" s="133"/>
      <c r="T607" s="133"/>
      <c r="U607" s="133"/>
      <c r="V607" s="133"/>
      <c r="W607" s="133"/>
      <c r="X607" s="133"/>
      <c r="Y607" s="133"/>
      <c r="Z607" s="133"/>
      <c r="AA607" s="133"/>
    </row>
    <row r="608" spans="1:27" ht="15.75" customHeight="1" x14ac:dyDescent="0.25">
      <c r="A608" s="133"/>
      <c r="B608" s="133"/>
      <c r="C608" s="133"/>
      <c r="D608" s="133"/>
      <c r="E608" s="133"/>
      <c r="F608" s="133"/>
      <c r="G608" s="133"/>
      <c r="H608" s="133"/>
      <c r="I608" s="133"/>
      <c r="K608" s="133"/>
      <c r="L608" s="133"/>
      <c r="M608" s="133"/>
      <c r="N608" s="133"/>
      <c r="O608" s="133"/>
      <c r="P608" s="133"/>
      <c r="Q608" s="133"/>
      <c r="R608" s="133"/>
      <c r="S608" s="133"/>
      <c r="T608" s="133"/>
      <c r="U608" s="133"/>
      <c r="V608" s="133"/>
      <c r="W608" s="133"/>
      <c r="X608" s="133"/>
      <c r="Y608" s="133"/>
      <c r="Z608" s="133"/>
      <c r="AA608" s="133"/>
    </row>
    <row r="609" spans="1:27" ht="15.75" customHeight="1" x14ac:dyDescent="0.25">
      <c r="A609" s="133"/>
      <c r="B609" s="133"/>
      <c r="C609" s="133"/>
      <c r="D609" s="133"/>
      <c r="E609" s="133"/>
      <c r="F609" s="133"/>
      <c r="G609" s="133"/>
      <c r="H609" s="133"/>
      <c r="I609" s="133"/>
      <c r="K609" s="133"/>
      <c r="L609" s="133"/>
      <c r="M609" s="133"/>
      <c r="N609" s="133"/>
      <c r="O609" s="133"/>
      <c r="P609" s="133"/>
      <c r="Q609" s="133"/>
      <c r="R609" s="133"/>
      <c r="S609" s="133"/>
      <c r="T609" s="133"/>
      <c r="U609" s="133"/>
      <c r="V609" s="133"/>
      <c r="W609" s="133"/>
      <c r="X609" s="133"/>
      <c r="Y609" s="133"/>
      <c r="Z609" s="133"/>
      <c r="AA609" s="133"/>
    </row>
    <row r="610" spans="1:27" ht="15.75" customHeight="1" x14ac:dyDescent="0.25">
      <c r="A610" s="133"/>
      <c r="B610" s="133"/>
      <c r="C610" s="133"/>
      <c r="D610" s="133"/>
      <c r="E610" s="133"/>
      <c r="F610" s="133"/>
      <c r="G610" s="133"/>
      <c r="H610" s="133"/>
      <c r="I610" s="133"/>
      <c r="K610" s="133"/>
      <c r="L610" s="133"/>
      <c r="M610" s="133"/>
      <c r="N610" s="133"/>
      <c r="O610" s="133"/>
      <c r="P610" s="133"/>
      <c r="Q610" s="133"/>
      <c r="R610" s="133"/>
      <c r="S610" s="133"/>
      <c r="T610" s="133"/>
      <c r="U610" s="133"/>
      <c r="V610" s="133"/>
      <c r="W610" s="133"/>
      <c r="X610" s="133"/>
      <c r="Y610" s="133"/>
      <c r="Z610" s="133"/>
      <c r="AA610" s="133"/>
    </row>
    <row r="611" spans="1:27" ht="15.75" customHeight="1" x14ac:dyDescent="0.25">
      <c r="A611" s="133"/>
      <c r="B611" s="133"/>
      <c r="C611" s="133"/>
      <c r="D611" s="133"/>
      <c r="E611" s="133"/>
      <c r="F611" s="133"/>
      <c r="G611" s="133"/>
      <c r="H611" s="133"/>
      <c r="I611" s="133"/>
      <c r="K611" s="133"/>
      <c r="L611" s="133"/>
      <c r="M611" s="133"/>
      <c r="N611" s="133"/>
      <c r="O611" s="133"/>
      <c r="P611" s="133"/>
      <c r="Q611" s="133"/>
      <c r="R611" s="133"/>
      <c r="S611" s="133"/>
      <c r="T611" s="133"/>
      <c r="U611" s="133"/>
      <c r="V611" s="133"/>
      <c r="W611" s="133"/>
      <c r="X611" s="133"/>
      <c r="Y611" s="133"/>
      <c r="Z611" s="133"/>
      <c r="AA611" s="133"/>
    </row>
    <row r="612" spans="1:27" ht="15.75" customHeight="1" x14ac:dyDescent="0.25">
      <c r="A612" s="133"/>
      <c r="B612" s="133"/>
      <c r="C612" s="133"/>
      <c r="D612" s="133"/>
      <c r="E612" s="133"/>
      <c r="F612" s="133"/>
      <c r="G612" s="133"/>
      <c r="H612" s="133"/>
      <c r="I612" s="133"/>
      <c r="K612" s="133"/>
      <c r="L612" s="133"/>
      <c r="M612" s="133"/>
      <c r="N612" s="133"/>
      <c r="O612" s="133"/>
      <c r="P612" s="133"/>
      <c r="Q612" s="133"/>
      <c r="R612" s="133"/>
      <c r="S612" s="133"/>
      <c r="T612" s="133"/>
      <c r="U612" s="133"/>
      <c r="V612" s="133"/>
      <c r="W612" s="133"/>
      <c r="X612" s="133"/>
      <c r="Y612" s="133"/>
      <c r="Z612" s="133"/>
      <c r="AA612" s="133"/>
    </row>
    <row r="613" spans="1:27" ht="15.75" customHeight="1" x14ac:dyDescent="0.25">
      <c r="A613" s="133"/>
      <c r="B613" s="133"/>
      <c r="C613" s="133"/>
      <c r="D613" s="133"/>
      <c r="E613" s="133"/>
      <c r="F613" s="133"/>
      <c r="G613" s="133"/>
      <c r="H613" s="133"/>
      <c r="I613" s="133"/>
      <c r="K613" s="133"/>
      <c r="L613" s="133"/>
      <c r="M613" s="133"/>
      <c r="N613" s="133"/>
      <c r="O613" s="133"/>
      <c r="P613" s="133"/>
      <c r="Q613" s="133"/>
      <c r="R613" s="133"/>
      <c r="S613" s="133"/>
      <c r="T613" s="133"/>
      <c r="U613" s="133"/>
      <c r="V613" s="133"/>
      <c r="W613" s="133"/>
      <c r="X613" s="133"/>
      <c r="Y613" s="133"/>
      <c r="Z613" s="133"/>
      <c r="AA613" s="133"/>
    </row>
    <row r="614" spans="1:27" ht="15.75" customHeight="1" x14ac:dyDescent="0.25">
      <c r="A614" s="133"/>
      <c r="B614" s="133"/>
      <c r="C614" s="133"/>
      <c r="D614" s="133"/>
      <c r="E614" s="133"/>
      <c r="F614" s="133"/>
      <c r="G614" s="133"/>
      <c r="H614" s="133"/>
      <c r="I614" s="133"/>
      <c r="K614" s="133"/>
      <c r="L614" s="133"/>
      <c r="M614" s="133"/>
      <c r="N614" s="133"/>
      <c r="O614" s="133"/>
      <c r="P614" s="133"/>
      <c r="Q614" s="133"/>
      <c r="R614" s="133"/>
      <c r="S614" s="133"/>
      <c r="T614" s="133"/>
      <c r="U614" s="133"/>
      <c r="V614" s="133"/>
      <c r="W614" s="133"/>
      <c r="X614" s="133"/>
      <c r="Y614" s="133"/>
      <c r="Z614" s="133"/>
      <c r="AA614" s="133"/>
    </row>
    <row r="615" spans="1:27" ht="15.75" customHeight="1" x14ac:dyDescent="0.25">
      <c r="A615" s="133"/>
      <c r="B615" s="133"/>
      <c r="C615" s="133"/>
      <c r="D615" s="133"/>
      <c r="E615" s="133"/>
      <c r="F615" s="133"/>
      <c r="G615" s="133"/>
      <c r="H615" s="133"/>
      <c r="I615" s="133"/>
      <c r="K615" s="133"/>
      <c r="L615" s="133"/>
      <c r="M615" s="133"/>
      <c r="N615" s="133"/>
      <c r="O615" s="133"/>
      <c r="P615" s="133"/>
      <c r="Q615" s="133"/>
      <c r="R615" s="133"/>
      <c r="S615" s="133"/>
      <c r="T615" s="133"/>
      <c r="U615" s="133"/>
      <c r="V615" s="133"/>
      <c r="W615" s="133"/>
      <c r="X615" s="133"/>
      <c r="Y615" s="133"/>
      <c r="Z615" s="133"/>
      <c r="AA615" s="133"/>
    </row>
    <row r="616" spans="1:27" ht="15.75" customHeight="1" x14ac:dyDescent="0.25">
      <c r="A616" s="133"/>
      <c r="B616" s="133"/>
      <c r="C616" s="133"/>
      <c r="D616" s="133"/>
      <c r="E616" s="133"/>
      <c r="F616" s="133"/>
      <c r="G616" s="133"/>
      <c r="H616" s="133"/>
      <c r="I616" s="133"/>
      <c r="K616" s="133"/>
      <c r="L616" s="133"/>
      <c r="M616" s="133"/>
      <c r="N616" s="133"/>
      <c r="O616" s="133"/>
      <c r="P616" s="133"/>
      <c r="Q616" s="133"/>
      <c r="R616" s="133"/>
      <c r="S616" s="133"/>
      <c r="T616" s="133"/>
      <c r="U616" s="133"/>
      <c r="V616" s="133"/>
      <c r="W616" s="133"/>
      <c r="X616" s="133"/>
      <c r="Y616" s="133"/>
      <c r="Z616" s="133"/>
      <c r="AA616" s="133"/>
    </row>
    <row r="617" spans="1:27" ht="15.75" customHeight="1" x14ac:dyDescent="0.25">
      <c r="A617" s="133"/>
      <c r="B617" s="133"/>
      <c r="C617" s="133"/>
      <c r="D617" s="133"/>
      <c r="E617" s="133"/>
      <c r="F617" s="133"/>
      <c r="G617" s="133"/>
      <c r="H617" s="133"/>
      <c r="I617" s="133"/>
      <c r="K617" s="133"/>
      <c r="L617" s="133"/>
      <c r="M617" s="133"/>
      <c r="N617" s="133"/>
      <c r="O617" s="133"/>
      <c r="P617" s="133"/>
      <c r="Q617" s="133"/>
      <c r="R617" s="133"/>
      <c r="S617" s="133"/>
      <c r="T617" s="133"/>
      <c r="U617" s="133"/>
      <c r="V617" s="133"/>
      <c r="W617" s="133"/>
      <c r="X617" s="133"/>
      <c r="Y617" s="133"/>
      <c r="Z617" s="133"/>
      <c r="AA617" s="133"/>
    </row>
    <row r="618" spans="1:27" ht="15.75" customHeight="1" x14ac:dyDescent="0.25">
      <c r="A618" s="133"/>
      <c r="B618" s="133"/>
      <c r="C618" s="133"/>
      <c r="D618" s="133"/>
      <c r="E618" s="133"/>
      <c r="F618" s="133"/>
      <c r="G618" s="133"/>
      <c r="H618" s="133"/>
      <c r="I618" s="133"/>
      <c r="K618" s="133"/>
      <c r="L618" s="133"/>
      <c r="M618" s="133"/>
      <c r="N618" s="133"/>
      <c r="O618" s="133"/>
      <c r="P618" s="133"/>
      <c r="Q618" s="133"/>
      <c r="R618" s="133"/>
      <c r="S618" s="133"/>
      <c r="T618" s="133"/>
      <c r="U618" s="133"/>
      <c r="V618" s="133"/>
      <c r="W618" s="133"/>
      <c r="X618" s="133"/>
      <c r="Y618" s="133"/>
      <c r="Z618" s="133"/>
      <c r="AA618" s="133"/>
    </row>
    <row r="619" spans="1:27" ht="15.75" customHeight="1" x14ac:dyDescent="0.25">
      <c r="A619" s="133"/>
      <c r="B619" s="133"/>
      <c r="C619" s="133"/>
      <c r="D619" s="133"/>
      <c r="E619" s="133"/>
      <c r="F619" s="133"/>
      <c r="G619" s="133"/>
      <c r="H619" s="133"/>
      <c r="I619" s="133"/>
      <c r="K619" s="133"/>
      <c r="L619" s="133"/>
      <c r="M619" s="133"/>
      <c r="N619" s="133"/>
      <c r="O619" s="133"/>
      <c r="P619" s="133"/>
      <c r="Q619" s="133"/>
      <c r="R619" s="133"/>
      <c r="S619" s="133"/>
      <c r="T619" s="133"/>
      <c r="U619" s="133"/>
      <c r="V619" s="133"/>
      <c r="W619" s="133"/>
      <c r="X619" s="133"/>
      <c r="Y619" s="133"/>
      <c r="Z619" s="133"/>
      <c r="AA619" s="133"/>
    </row>
    <row r="620" spans="1:27" ht="15.75" customHeight="1" x14ac:dyDescent="0.25">
      <c r="A620" s="133"/>
      <c r="B620" s="133"/>
      <c r="C620" s="133"/>
      <c r="D620" s="133"/>
      <c r="E620" s="133"/>
      <c r="F620" s="133"/>
      <c r="G620" s="133"/>
      <c r="H620" s="133"/>
      <c r="I620" s="133"/>
      <c r="K620" s="133"/>
      <c r="L620" s="133"/>
      <c r="M620" s="133"/>
      <c r="N620" s="133"/>
      <c r="O620" s="133"/>
      <c r="P620" s="133"/>
      <c r="Q620" s="133"/>
      <c r="R620" s="133"/>
      <c r="S620" s="133"/>
      <c r="T620" s="133"/>
      <c r="U620" s="133"/>
      <c r="V620" s="133"/>
      <c r="W620" s="133"/>
      <c r="X620" s="133"/>
      <c r="Y620" s="133"/>
      <c r="Z620" s="133"/>
      <c r="AA620" s="133"/>
    </row>
    <row r="621" spans="1:27" ht="15.75" customHeight="1" x14ac:dyDescent="0.25">
      <c r="A621" s="133"/>
      <c r="B621" s="133"/>
      <c r="C621" s="133"/>
      <c r="D621" s="133"/>
      <c r="E621" s="133"/>
      <c r="F621" s="133"/>
      <c r="G621" s="133"/>
      <c r="H621" s="133"/>
      <c r="I621" s="133"/>
      <c r="K621" s="133"/>
      <c r="L621" s="133"/>
      <c r="M621" s="133"/>
      <c r="N621" s="133"/>
      <c r="O621" s="133"/>
      <c r="P621" s="133"/>
      <c r="Q621" s="133"/>
      <c r="R621" s="133"/>
      <c r="S621" s="133"/>
      <c r="T621" s="133"/>
      <c r="U621" s="133"/>
      <c r="V621" s="133"/>
      <c r="W621" s="133"/>
      <c r="X621" s="133"/>
      <c r="Y621" s="133"/>
      <c r="Z621" s="133"/>
      <c r="AA621" s="133"/>
    </row>
    <row r="622" spans="1:27" ht="15.75" customHeight="1" x14ac:dyDescent="0.25">
      <c r="A622" s="133"/>
      <c r="B622" s="133"/>
      <c r="C622" s="133"/>
      <c r="D622" s="133"/>
      <c r="E622" s="133"/>
      <c r="F622" s="133"/>
      <c r="G622" s="133"/>
      <c r="H622" s="133"/>
      <c r="I622" s="133"/>
      <c r="K622" s="133"/>
      <c r="L622" s="133"/>
      <c r="M622" s="133"/>
      <c r="N622" s="133"/>
      <c r="O622" s="133"/>
      <c r="P622" s="133"/>
      <c r="Q622" s="133"/>
      <c r="R622" s="133"/>
      <c r="S622" s="133"/>
      <c r="T622" s="133"/>
      <c r="U622" s="133"/>
      <c r="V622" s="133"/>
      <c r="W622" s="133"/>
      <c r="X622" s="133"/>
      <c r="Y622" s="133"/>
      <c r="Z622" s="133"/>
      <c r="AA622" s="133"/>
    </row>
    <row r="623" spans="1:27" ht="15.75" customHeight="1" x14ac:dyDescent="0.25">
      <c r="A623" s="133"/>
      <c r="B623" s="133"/>
      <c r="C623" s="133"/>
      <c r="D623" s="133"/>
      <c r="E623" s="133"/>
      <c r="F623" s="133"/>
      <c r="G623" s="133"/>
      <c r="H623" s="133"/>
      <c r="I623" s="133"/>
      <c r="K623" s="133"/>
      <c r="L623" s="133"/>
      <c r="M623" s="133"/>
      <c r="N623" s="133"/>
      <c r="O623" s="133"/>
      <c r="P623" s="133"/>
      <c r="Q623" s="133"/>
      <c r="R623" s="133"/>
      <c r="S623" s="133"/>
      <c r="T623" s="133"/>
      <c r="U623" s="133"/>
      <c r="V623" s="133"/>
      <c r="W623" s="133"/>
      <c r="X623" s="133"/>
      <c r="Y623" s="133"/>
      <c r="Z623" s="133"/>
      <c r="AA623" s="133"/>
    </row>
    <row r="624" spans="1:27" ht="15.75" customHeight="1" x14ac:dyDescent="0.25">
      <c r="A624" s="133"/>
      <c r="B624" s="133"/>
      <c r="C624" s="133"/>
      <c r="D624" s="133"/>
      <c r="E624" s="133"/>
      <c r="F624" s="133"/>
      <c r="G624" s="133"/>
      <c r="H624" s="133"/>
      <c r="I624" s="133"/>
      <c r="K624" s="133"/>
      <c r="L624" s="133"/>
      <c r="M624" s="133"/>
      <c r="N624" s="133"/>
      <c r="O624" s="133"/>
      <c r="P624" s="133"/>
      <c r="Q624" s="133"/>
      <c r="R624" s="133"/>
      <c r="S624" s="133"/>
      <c r="T624" s="133"/>
      <c r="U624" s="133"/>
      <c r="V624" s="133"/>
      <c r="W624" s="133"/>
      <c r="X624" s="133"/>
      <c r="Y624" s="133"/>
      <c r="Z624" s="133"/>
      <c r="AA624" s="133"/>
    </row>
    <row r="625" spans="1:27" ht="15.75" customHeight="1" x14ac:dyDescent="0.25">
      <c r="A625" s="133"/>
      <c r="B625" s="133"/>
      <c r="C625" s="133"/>
      <c r="D625" s="133"/>
      <c r="E625" s="133"/>
      <c r="F625" s="133"/>
      <c r="G625" s="133"/>
      <c r="H625" s="133"/>
      <c r="I625" s="133"/>
      <c r="K625" s="133"/>
      <c r="L625" s="133"/>
      <c r="M625" s="133"/>
      <c r="N625" s="133"/>
      <c r="O625" s="133"/>
      <c r="P625" s="133"/>
      <c r="Q625" s="133"/>
      <c r="R625" s="133"/>
      <c r="S625" s="133"/>
      <c r="T625" s="133"/>
      <c r="U625" s="133"/>
      <c r="V625" s="133"/>
      <c r="W625" s="133"/>
      <c r="X625" s="133"/>
      <c r="Y625" s="133"/>
      <c r="Z625" s="133"/>
      <c r="AA625" s="133"/>
    </row>
    <row r="626" spans="1:27" ht="15.75" customHeight="1" x14ac:dyDescent="0.25">
      <c r="A626" s="133"/>
      <c r="B626" s="133"/>
      <c r="C626" s="133"/>
      <c r="D626" s="133"/>
      <c r="E626" s="133"/>
      <c r="F626" s="133"/>
      <c r="G626" s="133"/>
      <c r="H626" s="133"/>
      <c r="I626" s="133"/>
      <c r="K626" s="133"/>
      <c r="L626" s="133"/>
      <c r="M626" s="133"/>
      <c r="N626" s="133"/>
      <c r="O626" s="133"/>
      <c r="P626" s="133"/>
      <c r="Q626" s="133"/>
      <c r="R626" s="133"/>
      <c r="S626" s="133"/>
      <c r="T626" s="133"/>
      <c r="U626" s="133"/>
      <c r="V626" s="133"/>
      <c r="W626" s="133"/>
      <c r="X626" s="133"/>
      <c r="Y626" s="133"/>
      <c r="Z626" s="133"/>
      <c r="AA626" s="133"/>
    </row>
    <row r="627" spans="1:27" ht="15.75" customHeight="1" x14ac:dyDescent="0.25">
      <c r="A627" s="133"/>
      <c r="B627" s="133"/>
      <c r="C627" s="133"/>
      <c r="D627" s="133"/>
      <c r="E627" s="133"/>
      <c r="F627" s="133"/>
      <c r="G627" s="133"/>
      <c r="H627" s="133"/>
      <c r="I627" s="133"/>
      <c r="K627" s="133"/>
      <c r="L627" s="133"/>
      <c r="M627" s="133"/>
      <c r="N627" s="133"/>
      <c r="O627" s="133"/>
      <c r="P627" s="133"/>
      <c r="Q627" s="133"/>
      <c r="R627" s="133"/>
      <c r="S627" s="133"/>
      <c r="T627" s="133"/>
      <c r="U627" s="133"/>
      <c r="V627" s="133"/>
      <c r="W627" s="133"/>
      <c r="X627" s="133"/>
      <c r="Y627" s="133"/>
      <c r="Z627" s="133"/>
      <c r="AA627" s="133"/>
    </row>
    <row r="628" spans="1:27" ht="15.75" customHeight="1" x14ac:dyDescent="0.25">
      <c r="A628" s="133"/>
      <c r="B628" s="133"/>
      <c r="C628" s="133"/>
      <c r="D628" s="133"/>
      <c r="E628" s="133"/>
      <c r="F628" s="133"/>
      <c r="G628" s="133"/>
      <c r="H628" s="133"/>
      <c r="I628" s="133"/>
      <c r="K628" s="133"/>
      <c r="L628" s="133"/>
      <c r="M628" s="133"/>
      <c r="N628" s="133"/>
      <c r="O628" s="133"/>
      <c r="P628" s="133"/>
      <c r="Q628" s="133"/>
      <c r="R628" s="133"/>
      <c r="S628" s="133"/>
      <c r="T628" s="133"/>
      <c r="U628" s="133"/>
      <c r="V628" s="133"/>
      <c r="W628" s="133"/>
      <c r="X628" s="133"/>
      <c r="Y628" s="133"/>
      <c r="Z628" s="133"/>
      <c r="AA628" s="133"/>
    </row>
    <row r="629" spans="1:27" ht="15.75" customHeight="1" x14ac:dyDescent="0.25">
      <c r="A629" s="133"/>
      <c r="B629" s="133"/>
      <c r="C629" s="133"/>
      <c r="D629" s="133"/>
      <c r="E629" s="133"/>
      <c r="F629" s="133"/>
      <c r="G629" s="133"/>
      <c r="H629" s="133"/>
      <c r="I629" s="133"/>
      <c r="K629" s="133"/>
      <c r="L629" s="133"/>
      <c r="M629" s="133"/>
      <c r="N629" s="133"/>
      <c r="O629" s="133"/>
      <c r="P629" s="133"/>
      <c r="Q629" s="133"/>
      <c r="R629" s="133"/>
      <c r="S629" s="133"/>
      <c r="T629" s="133"/>
      <c r="U629" s="133"/>
      <c r="V629" s="133"/>
      <c r="W629" s="133"/>
      <c r="X629" s="133"/>
      <c r="Y629" s="133"/>
      <c r="Z629" s="133"/>
      <c r="AA629" s="133"/>
    </row>
    <row r="630" spans="1:27" ht="15.75" customHeight="1" x14ac:dyDescent="0.25">
      <c r="A630" s="133"/>
      <c r="B630" s="133"/>
      <c r="C630" s="133"/>
      <c r="D630" s="133"/>
      <c r="E630" s="133"/>
      <c r="F630" s="133"/>
      <c r="G630" s="133"/>
      <c r="H630" s="133"/>
      <c r="I630" s="133"/>
      <c r="K630" s="133"/>
      <c r="L630" s="133"/>
      <c r="M630" s="133"/>
      <c r="N630" s="133"/>
      <c r="O630" s="133"/>
      <c r="P630" s="133"/>
      <c r="Q630" s="133"/>
      <c r="R630" s="133"/>
      <c r="S630" s="133"/>
      <c r="T630" s="133"/>
      <c r="U630" s="133"/>
      <c r="V630" s="133"/>
      <c r="W630" s="133"/>
      <c r="X630" s="133"/>
      <c r="Y630" s="133"/>
      <c r="Z630" s="133"/>
      <c r="AA630" s="133"/>
    </row>
    <row r="631" spans="1:27" ht="15.75" customHeight="1" x14ac:dyDescent="0.25">
      <c r="A631" s="133"/>
      <c r="B631" s="133"/>
      <c r="C631" s="133"/>
      <c r="D631" s="133"/>
      <c r="E631" s="133"/>
      <c r="F631" s="133"/>
      <c r="G631" s="133"/>
      <c r="H631" s="133"/>
      <c r="I631" s="133"/>
      <c r="K631" s="133"/>
      <c r="L631" s="133"/>
      <c r="M631" s="133"/>
      <c r="N631" s="133"/>
      <c r="O631" s="133"/>
      <c r="P631" s="133"/>
      <c r="Q631" s="133"/>
      <c r="R631" s="133"/>
      <c r="S631" s="133"/>
      <c r="T631" s="133"/>
      <c r="U631" s="133"/>
      <c r="V631" s="133"/>
      <c r="W631" s="133"/>
      <c r="X631" s="133"/>
      <c r="Y631" s="133"/>
      <c r="Z631" s="133"/>
      <c r="AA631" s="133"/>
    </row>
    <row r="632" spans="1:27" ht="15.75" customHeight="1" x14ac:dyDescent="0.25">
      <c r="A632" s="133"/>
      <c r="B632" s="133"/>
      <c r="C632" s="133"/>
      <c r="D632" s="133"/>
      <c r="E632" s="133"/>
      <c r="F632" s="133"/>
      <c r="G632" s="133"/>
      <c r="H632" s="133"/>
      <c r="I632" s="133"/>
      <c r="K632" s="133"/>
      <c r="L632" s="133"/>
      <c r="M632" s="133"/>
      <c r="N632" s="133"/>
      <c r="O632" s="133"/>
      <c r="P632" s="133"/>
      <c r="Q632" s="133"/>
      <c r="R632" s="133"/>
      <c r="S632" s="133"/>
      <c r="T632" s="133"/>
      <c r="U632" s="133"/>
      <c r="V632" s="133"/>
      <c r="W632" s="133"/>
      <c r="X632" s="133"/>
      <c r="Y632" s="133"/>
      <c r="Z632" s="133"/>
      <c r="AA632" s="133"/>
    </row>
    <row r="633" spans="1:27" ht="15.75" customHeight="1" x14ac:dyDescent="0.25">
      <c r="A633" s="133"/>
      <c r="B633" s="133"/>
      <c r="C633" s="133"/>
      <c r="D633" s="133"/>
      <c r="E633" s="133"/>
      <c r="F633" s="133"/>
      <c r="G633" s="133"/>
      <c r="H633" s="133"/>
      <c r="I633" s="133"/>
      <c r="K633" s="133"/>
      <c r="L633" s="133"/>
      <c r="M633" s="133"/>
      <c r="N633" s="133"/>
      <c r="O633" s="133"/>
      <c r="P633" s="133"/>
      <c r="Q633" s="133"/>
      <c r="R633" s="133"/>
      <c r="S633" s="133"/>
      <c r="T633" s="133"/>
      <c r="U633" s="133"/>
      <c r="V633" s="133"/>
      <c r="W633" s="133"/>
      <c r="X633" s="133"/>
      <c r="Y633" s="133"/>
      <c r="Z633" s="133"/>
      <c r="AA633" s="133"/>
    </row>
    <row r="634" spans="1:27" ht="15.75" customHeight="1" x14ac:dyDescent="0.25">
      <c r="A634" s="133"/>
      <c r="B634" s="133"/>
      <c r="C634" s="133"/>
      <c r="D634" s="133"/>
      <c r="E634" s="133"/>
      <c r="F634" s="133"/>
      <c r="G634" s="133"/>
      <c r="H634" s="133"/>
      <c r="I634" s="133"/>
      <c r="K634" s="133"/>
      <c r="L634" s="133"/>
      <c r="M634" s="133"/>
      <c r="N634" s="133"/>
      <c r="O634" s="133"/>
      <c r="P634" s="133"/>
      <c r="Q634" s="133"/>
      <c r="R634" s="133"/>
      <c r="S634" s="133"/>
      <c r="T634" s="133"/>
      <c r="U634" s="133"/>
      <c r="V634" s="133"/>
      <c r="W634" s="133"/>
      <c r="X634" s="133"/>
      <c r="Y634" s="133"/>
      <c r="Z634" s="133"/>
      <c r="AA634" s="133"/>
    </row>
    <row r="635" spans="1:27" ht="15.75" customHeight="1" x14ac:dyDescent="0.25">
      <c r="A635" s="133"/>
      <c r="B635" s="133"/>
      <c r="C635" s="133"/>
      <c r="D635" s="133"/>
      <c r="E635" s="133"/>
      <c r="F635" s="133"/>
      <c r="G635" s="133"/>
      <c r="H635" s="133"/>
      <c r="I635" s="133"/>
      <c r="K635" s="133"/>
      <c r="L635" s="133"/>
      <c r="M635" s="133"/>
      <c r="N635" s="133"/>
      <c r="O635" s="133"/>
      <c r="P635" s="133"/>
      <c r="Q635" s="133"/>
      <c r="R635" s="133"/>
      <c r="S635" s="133"/>
      <c r="T635" s="133"/>
      <c r="U635" s="133"/>
      <c r="V635" s="133"/>
      <c r="W635" s="133"/>
      <c r="X635" s="133"/>
      <c r="Y635" s="133"/>
      <c r="Z635" s="133"/>
      <c r="AA635" s="133"/>
    </row>
    <row r="636" spans="1:27" ht="15.75" customHeight="1" x14ac:dyDescent="0.25">
      <c r="A636" s="133"/>
      <c r="B636" s="133"/>
      <c r="C636" s="133"/>
      <c r="D636" s="133"/>
      <c r="E636" s="133"/>
      <c r="F636" s="133"/>
      <c r="G636" s="133"/>
      <c r="H636" s="133"/>
      <c r="I636" s="133"/>
      <c r="K636" s="133"/>
      <c r="L636" s="133"/>
      <c r="M636" s="133"/>
      <c r="N636" s="133"/>
      <c r="O636" s="133"/>
      <c r="P636" s="133"/>
      <c r="Q636" s="133"/>
      <c r="R636" s="133"/>
      <c r="S636" s="133"/>
      <c r="T636" s="133"/>
      <c r="U636" s="133"/>
      <c r="V636" s="133"/>
      <c r="W636" s="133"/>
      <c r="X636" s="133"/>
      <c r="Y636" s="133"/>
      <c r="Z636" s="133"/>
      <c r="AA636" s="133"/>
    </row>
    <row r="637" spans="1:27" ht="15.75" customHeight="1" x14ac:dyDescent="0.25">
      <c r="A637" s="133"/>
      <c r="B637" s="133"/>
      <c r="C637" s="133"/>
      <c r="D637" s="133"/>
      <c r="E637" s="133"/>
      <c r="F637" s="133"/>
      <c r="G637" s="133"/>
      <c r="H637" s="133"/>
      <c r="I637" s="133"/>
      <c r="K637" s="133"/>
      <c r="L637" s="133"/>
      <c r="M637" s="133"/>
      <c r="N637" s="133"/>
      <c r="O637" s="133"/>
      <c r="P637" s="133"/>
      <c r="Q637" s="133"/>
      <c r="R637" s="133"/>
      <c r="S637" s="133"/>
      <c r="T637" s="133"/>
      <c r="U637" s="133"/>
      <c r="V637" s="133"/>
      <c r="W637" s="133"/>
      <c r="X637" s="133"/>
      <c r="Y637" s="133"/>
      <c r="Z637" s="133"/>
      <c r="AA637" s="133"/>
    </row>
    <row r="638" spans="1:27" ht="15.75" customHeight="1" x14ac:dyDescent="0.25">
      <c r="A638" s="133"/>
      <c r="B638" s="133"/>
      <c r="C638" s="133"/>
      <c r="D638" s="133"/>
      <c r="E638" s="133"/>
      <c r="F638" s="133"/>
      <c r="G638" s="133"/>
      <c r="H638" s="133"/>
      <c r="I638" s="133"/>
      <c r="K638" s="133"/>
      <c r="L638" s="133"/>
      <c r="M638" s="133"/>
      <c r="N638" s="133"/>
      <c r="O638" s="133"/>
      <c r="P638" s="133"/>
      <c r="Q638" s="133"/>
      <c r="R638" s="133"/>
      <c r="S638" s="133"/>
      <c r="T638" s="133"/>
      <c r="U638" s="133"/>
      <c r="V638" s="133"/>
      <c r="W638" s="133"/>
      <c r="X638" s="133"/>
      <c r="Y638" s="133"/>
      <c r="Z638" s="133"/>
      <c r="AA638" s="133"/>
    </row>
    <row r="639" spans="1:27" ht="15.75" customHeight="1" x14ac:dyDescent="0.25">
      <c r="A639" s="133"/>
      <c r="B639" s="133"/>
      <c r="C639" s="133"/>
      <c r="D639" s="133"/>
      <c r="E639" s="133"/>
      <c r="F639" s="133"/>
      <c r="G639" s="133"/>
      <c r="H639" s="133"/>
      <c r="I639" s="133"/>
      <c r="K639" s="133"/>
      <c r="L639" s="133"/>
      <c r="M639" s="133"/>
      <c r="N639" s="133"/>
      <c r="O639" s="133"/>
      <c r="P639" s="133"/>
      <c r="Q639" s="133"/>
      <c r="R639" s="133"/>
      <c r="S639" s="133"/>
      <c r="T639" s="133"/>
      <c r="U639" s="133"/>
      <c r="V639" s="133"/>
      <c r="W639" s="133"/>
      <c r="X639" s="133"/>
      <c r="Y639" s="133"/>
      <c r="Z639" s="133"/>
      <c r="AA639" s="133"/>
    </row>
    <row r="640" spans="1:27" ht="15.75" customHeight="1" x14ac:dyDescent="0.25">
      <c r="A640" s="133"/>
      <c r="B640" s="133"/>
      <c r="C640" s="133"/>
      <c r="D640" s="133"/>
      <c r="E640" s="133"/>
      <c r="F640" s="133"/>
      <c r="G640" s="133"/>
      <c r="H640" s="133"/>
      <c r="I640" s="133"/>
      <c r="K640" s="133"/>
      <c r="L640" s="133"/>
      <c r="M640" s="133"/>
      <c r="N640" s="133"/>
      <c r="O640" s="133"/>
      <c r="P640" s="133"/>
      <c r="Q640" s="133"/>
      <c r="R640" s="133"/>
      <c r="S640" s="133"/>
      <c r="T640" s="133"/>
      <c r="U640" s="133"/>
      <c r="V640" s="133"/>
      <c r="W640" s="133"/>
      <c r="X640" s="133"/>
      <c r="Y640" s="133"/>
      <c r="Z640" s="133"/>
      <c r="AA640" s="133"/>
    </row>
    <row r="641" spans="1:27" ht="15.75" customHeight="1" x14ac:dyDescent="0.25">
      <c r="A641" s="133"/>
      <c r="B641" s="133"/>
      <c r="C641" s="133"/>
      <c r="D641" s="133"/>
      <c r="E641" s="133"/>
      <c r="F641" s="133"/>
      <c r="G641" s="133"/>
      <c r="H641" s="133"/>
      <c r="I641" s="133"/>
      <c r="K641" s="133"/>
      <c r="L641" s="133"/>
      <c r="M641" s="133"/>
      <c r="N641" s="133"/>
      <c r="O641" s="133"/>
      <c r="P641" s="133"/>
      <c r="Q641" s="133"/>
      <c r="R641" s="133"/>
      <c r="S641" s="133"/>
      <c r="T641" s="133"/>
      <c r="U641" s="133"/>
      <c r="V641" s="133"/>
      <c r="W641" s="133"/>
      <c r="X641" s="133"/>
      <c r="Y641" s="133"/>
      <c r="Z641" s="133"/>
      <c r="AA641" s="133"/>
    </row>
    <row r="642" spans="1:27" ht="15.75" customHeight="1" x14ac:dyDescent="0.25">
      <c r="A642" s="133"/>
      <c r="B642" s="133"/>
      <c r="C642" s="133"/>
      <c r="D642" s="133"/>
      <c r="E642" s="133"/>
      <c r="F642" s="133"/>
      <c r="G642" s="133"/>
      <c r="H642" s="133"/>
      <c r="I642" s="133"/>
      <c r="K642" s="133"/>
      <c r="L642" s="133"/>
      <c r="M642" s="133"/>
      <c r="N642" s="133"/>
      <c r="O642" s="133"/>
      <c r="P642" s="133"/>
      <c r="Q642" s="133"/>
      <c r="R642" s="133"/>
      <c r="S642" s="133"/>
      <c r="T642" s="133"/>
      <c r="U642" s="133"/>
      <c r="V642" s="133"/>
      <c r="W642" s="133"/>
      <c r="X642" s="133"/>
      <c r="Y642" s="133"/>
      <c r="Z642" s="133"/>
      <c r="AA642" s="133"/>
    </row>
    <row r="643" spans="1:27" ht="15.75" customHeight="1" x14ac:dyDescent="0.25">
      <c r="A643" s="133"/>
      <c r="B643" s="133"/>
      <c r="C643" s="133"/>
      <c r="D643" s="133"/>
      <c r="E643" s="133"/>
      <c r="F643" s="133"/>
      <c r="G643" s="133"/>
      <c r="H643" s="133"/>
      <c r="I643" s="133"/>
      <c r="K643" s="133"/>
      <c r="L643" s="133"/>
      <c r="M643" s="133"/>
      <c r="N643" s="133"/>
      <c r="O643" s="133"/>
      <c r="P643" s="133"/>
      <c r="Q643" s="133"/>
      <c r="R643" s="133"/>
      <c r="S643" s="133"/>
      <c r="T643" s="133"/>
      <c r="U643" s="133"/>
      <c r="V643" s="133"/>
      <c r="W643" s="133"/>
      <c r="X643" s="133"/>
      <c r="Y643" s="133"/>
      <c r="Z643" s="133"/>
      <c r="AA643" s="133"/>
    </row>
    <row r="644" spans="1:27" ht="15.75" customHeight="1" x14ac:dyDescent="0.25">
      <c r="A644" s="133"/>
      <c r="B644" s="133"/>
      <c r="C644" s="133"/>
      <c r="D644" s="133"/>
      <c r="E644" s="133"/>
      <c r="F644" s="133"/>
      <c r="G644" s="133"/>
      <c r="H644" s="133"/>
      <c r="I644" s="133"/>
      <c r="K644" s="133"/>
      <c r="L644" s="133"/>
      <c r="M644" s="133"/>
      <c r="N644" s="133"/>
      <c r="O644" s="133"/>
      <c r="P644" s="133"/>
      <c r="Q644" s="133"/>
      <c r="R644" s="133"/>
      <c r="S644" s="133"/>
      <c r="T644" s="133"/>
      <c r="U644" s="133"/>
      <c r="V644" s="133"/>
      <c r="W644" s="133"/>
      <c r="X644" s="133"/>
      <c r="Y644" s="133"/>
      <c r="Z644" s="133"/>
      <c r="AA644" s="133"/>
    </row>
    <row r="645" spans="1:27" ht="15.75" customHeight="1" x14ac:dyDescent="0.25">
      <c r="A645" s="133"/>
      <c r="B645" s="133"/>
      <c r="C645" s="133"/>
      <c r="D645" s="133"/>
      <c r="E645" s="133"/>
      <c r="F645" s="133"/>
      <c r="G645" s="133"/>
      <c r="H645" s="133"/>
      <c r="I645" s="133"/>
      <c r="K645" s="133"/>
      <c r="L645" s="133"/>
      <c r="M645" s="133"/>
      <c r="N645" s="133"/>
      <c r="O645" s="133"/>
      <c r="P645" s="133"/>
      <c r="Q645" s="133"/>
      <c r="R645" s="133"/>
      <c r="S645" s="133"/>
      <c r="T645" s="133"/>
      <c r="U645" s="133"/>
      <c r="V645" s="133"/>
      <c r="W645" s="133"/>
      <c r="X645" s="133"/>
      <c r="Y645" s="133"/>
      <c r="Z645" s="133"/>
      <c r="AA645" s="133"/>
    </row>
    <row r="646" spans="1:27" ht="15.75" customHeight="1" x14ac:dyDescent="0.25">
      <c r="A646" s="133"/>
      <c r="B646" s="133"/>
      <c r="C646" s="133"/>
      <c r="D646" s="133"/>
      <c r="E646" s="133"/>
      <c r="F646" s="133"/>
      <c r="G646" s="133"/>
      <c r="H646" s="133"/>
      <c r="I646" s="133"/>
      <c r="K646" s="133"/>
      <c r="L646" s="133"/>
      <c r="M646" s="133"/>
      <c r="N646" s="133"/>
      <c r="O646" s="133"/>
      <c r="P646" s="133"/>
      <c r="Q646" s="133"/>
      <c r="R646" s="133"/>
      <c r="S646" s="133"/>
      <c r="T646" s="133"/>
      <c r="U646" s="133"/>
      <c r="V646" s="133"/>
      <c r="W646" s="133"/>
      <c r="X646" s="133"/>
      <c r="Y646" s="133"/>
      <c r="Z646" s="133"/>
      <c r="AA646" s="133"/>
    </row>
    <row r="647" spans="1:27" ht="15.75" customHeight="1" x14ac:dyDescent="0.25">
      <c r="A647" s="133"/>
      <c r="B647" s="133"/>
      <c r="C647" s="133"/>
      <c r="D647" s="133"/>
      <c r="E647" s="133"/>
      <c r="F647" s="133"/>
      <c r="G647" s="133"/>
      <c r="H647" s="133"/>
      <c r="I647" s="133"/>
      <c r="K647" s="133"/>
      <c r="L647" s="133"/>
      <c r="M647" s="133"/>
      <c r="N647" s="133"/>
      <c r="O647" s="133"/>
      <c r="P647" s="133"/>
      <c r="Q647" s="133"/>
      <c r="R647" s="133"/>
      <c r="S647" s="133"/>
      <c r="T647" s="133"/>
      <c r="U647" s="133"/>
      <c r="V647" s="133"/>
      <c r="W647" s="133"/>
      <c r="X647" s="133"/>
      <c r="Y647" s="133"/>
      <c r="Z647" s="133"/>
      <c r="AA647" s="133"/>
    </row>
    <row r="648" spans="1:27" ht="15.75" customHeight="1" x14ac:dyDescent="0.25">
      <c r="A648" s="133"/>
      <c r="B648" s="133"/>
      <c r="C648" s="133"/>
      <c r="D648" s="133"/>
      <c r="E648" s="133"/>
      <c r="F648" s="133"/>
      <c r="G648" s="133"/>
      <c r="H648" s="133"/>
      <c r="I648" s="133"/>
      <c r="K648" s="133"/>
      <c r="L648" s="133"/>
      <c r="M648" s="133"/>
      <c r="N648" s="133"/>
      <c r="O648" s="133"/>
      <c r="P648" s="133"/>
      <c r="Q648" s="133"/>
      <c r="R648" s="133"/>
      <c r="S648" s="133"/>
      <c r="T648" s="133"/>
      <c r="U648" s="133"/>
      <c r="V648" s="133"/>
      <c r="W648" s="133"/>
      <c r="X648" s="133"/>
      <c r="Y648" s="133"/>
      <c r="Z648" s="133"/>
      <c r="AA648" s="133"/>
    </row>
    <row r="649" spans="1:27" ht="15.75" customHeight="1" x14ac:dyDescent="0.25">
      <c r="A649" s="133"/>
      <c r="B649" s="133"/>
      <c r="C649" s="133"/>
      <c r="D649" s="133"/>
      <c r="E649" s="133"/>
      <c r="F649" s="133"/>
      <c r="G649" s="133"/>
      <c r="H649" s="133"/>
      <c r="I649" s="133"/>
      <c r="K649" s="133"/>
      <c r="L649" s="133"/>
      <c r="M649" s="133"/>
      <c r="N649" s="133"/>
      <c r="O649" s="133"/>
      <c r="P649" s="133"/>
      <c r="Q649" s="133"/>
      <c r="R649" s="133"/>
      <c r="S649" s="133"/>
      <c r="T649" s="133"/>
      <c r="U649" s="133"/>
      <c r="V649" s="133"/>
      <c r="W649" s="133"/>
      <c r="X649" s="133"/>
      <c r="Y649" s="133"/>
      <c r="Z649" s="133"/>
      <c r="AA649" s="133"/>
    </row>
    <row r="650" spans="1:27" ht="15.75" customHeight="1" x14ac:dyDescent="0.25">
      <c r="A650" s="133"/>
      <c r="B650" s="133"/>
      <c r="C650" s="133"/>
      <c r="D650" s="133"/>
      <c r="E650" s="133"/>
      <c r="F650" s="133"/>
      <c r="G650" s="133"/>
      <c r="H650" s="133"/>
      <c r="I650" s="133"/>
      <c r="K650" s="133"/>
      <c r="L650" s="133"/>
      <c r="M650" s="133"/>
      <c r="N650" s="133"/>
      <c r="O650" s="133"/>
      <c r="P650" s="133"/>
      <c r="Q650" s="133"/>
      <c r="R650" s="133"/>
      <c r="S650" s="133"/>
      <c r="T650" s="133"/>
      <c r="U650" s="133"/>
      <c r="V650" s="133"/>
      <c r="W650" s="133"/>
      <c r="X650" s="133"/>
      <c r="Y650" s="133"/>
      <c r="Z650" s="133"/>
      <c r="AA650" s="133"/>
    </row>
    <row r="651" spans="1:27" ht="15.75" customHeight="1" x14ac:dyDescent="0.25">
      <c r="A651" s="133"/>
      <c r="B651" s="133"/>
      <c r="C651" s="133"/>
      <c r="D651" s="133"/>
      <c r="E651" s="133"/>
      <c r="F651" s="133"/>
      <c r="G651" s="133"/>
      <c r="H651" s="133"/>
      <c r="I651" s="133"/>
      <c r="K651" s="133"/>
      <c r="L651" s="133"/>
      <c r="M651" s="133"/>
      <c r="N651" s="133"/>
      <c r="O651" s="133"/>
      <c r="P651" s="133"/>
      <c r="Q651" s="133"/>
      <c r="R651" s="133"/>
      <c r="S651" s="133"/>
      <c r="T651" s="133"/>
      <c r="U651" s="133"/>
      <c r="V651" s="133"/>
      <c r="W651" s="133"/>
      <c r="X651" s="133"/>
      <c r="Y651" s="133"/>
      <c r="Z651" s="133"/>
      <c r="AA651" s="133"/>
    </row>
    <row r="652" spans="1:27" ht="15.75" customHeight="1" x14ac:dyDescent="0.25">
      <c r="A652" s="133"/>
      <c r="B652" s="133"/>
      <c r="C652" s="133"/>
      <c r="D652" s="133"/>
      <c r="E652" s="133"/>
      <c r="F652" s="133"/>
      <c r="G652" s="133"/>
      <c r="H652" s="133"/>
      <c r="I652" s="133"/>
      <c r="K652" s="133"/>
      <c r="L652" s="133"/>
      <c r="M652" s="133"/>
      <c r="N652" s="133"/>
      <c r="O652" s="133"/>
      <c r="P652" s="133"/>
      <c r="Q652" s="133"/>
      <c r="R652" s="133"/>
      <c r="S652" s="133"/>
      <c r="T652" s="133"/>
      <c r="U652" s="133"/>
      <c r="V652" s="133"/>
      <c r="W652" s="133"/>
      <c r="X652" s="133"/>
      <c r="Y652" s="133"/>
      <c r="Z652" s="133"/>
      <c r="AA652" s="133"/>
    </row>
    <row r="653" spans="1:27" ht="15.75" customHeight="1" x14ac:dyDescent="0.25">
      <c r="A653" s="133"/>
      <c r="B653" s="133"/>
      <c r="C653" s="133"/>
      <c r="D653" s="133"/>
      <c r="E653" s="133"/>
      <c r="F653" s="133"/>
      <c r="G653" s="133"/>
      <c r="H653" s="133"/>
      <c r="I653" s="133"/>
      <c r="K653" s="133"/>
      <c r="L653" s="133"/>
      <c r="M653" s="133"/>
      <c r="N653" s="133"/>
      <c r="O653" s="133"/>
      <c r="P653" s="133"/>
      <c r="Q653" s="133"/>
      <c r="R653" s="133"/>
      <c r="S653" s="133"/>
      <c r="T653" s="133"/>
      <c r="U653" s="133"/>
      <c r="V653" s="133"/>
      <c r="W653" s="133"/>
      <c r="X653" s="133"/>
      <c r="Y653" s="133"/>
      <c r="Z653" s="133"/>
      <c r="AA653" s="133"/>
    </row>
    <row r="654" spans="1:27" ht="15.75" customHeight="1" x14ac:dyDescent="0.25">
      <c r="A654" s="133"/>
      <c r="B654" s="133"/>
      <c r="C654" s="133"/>
      <c r="D654" s="133"/>
      <c r="E654" s="133"/>
      <c r="F654" s="133"/>
      <c r="G654" s="133"/>
      <c r="H654" s="133"/>
      <c r="I654" s="133"/>
      <c r="K654" s="133"/>
      <c r="L654" s="133"/>
      <c r="M654" s="133"/>
      <c r="N654" s="133"/>
      <c r="O654" s="133"/>
      <c r="P654" s="133"/>
      <c r="Q654" s="133"/>
      <c r="R654" s="133"/>
      <c r="S654" s="133"/>
      <c r="T654" s="133"/>
      <c r="U654" s="133"/>
      <c r="V654" s="133"/>
      <c r="W654" s="133"/>
      <c r="X654" s="133"/>
      <c r="Y654" s="133"/>
      <c r="Z654" s="133"/>
      <c r="AA654" s="133"/>
    </row>
    <row r="655" spans="1:27" ht="15.75" customHeight="1" x14ac:dyDescent="0.25">
      <c r="A655" s="133"/>
      <c r="B655" s="133"/>
      <c r="C655" s="133"/>
      <c r="D655" s="133"/>
      <c r="E655" s="133"/>
      <c r="F655" s="133"/>
      <c r="G655" s="133"/>
      <c r="H655" s="133"/>
      <c r="I655" s="133"/>
      <c r="K655" s="133"/>
      <c r="L655" s="133"/>
      <c r="M655" s="133"/>
      <c r="N655" s="133"/>
      <c r="O655" s="133"/>
      <c r="P655" s="133"/>
      <c r="Q655" s="133"/>
      <c r="R655" s="133"/>
      <c r="S655" s="133"/>
      <c r="T655" s="133"/>
      <c r="U655" s="133"/>
      <c r="V655" s="133"/>
      <c r="W655" s="133"/>
      <c r="X655" s="133"/>
      <c r="Y655" s="133"/>
      <c r="Z655" s="133"/>
      <c r="AA655" s="133"/>
    </row>
    <row r="656" spans="1:27" ht="15.75" customHeight="1" x14ac:dyDescent="0.25">
      <c r="A656" s="133"/>
      <c r="B656" s="133"/>
      <c r="C656" s="133"/>
      <c r="D656" s="133"/>
      <c r="E656" s="133"/>
      <c r="F656" s="133"/>
      <c r="G656" s="133"/>
      <c r="H656" s="133"/>
      <c r="I656" s="133"/>
      <c r="K656" s="133"/>
      <c r="L656" s="133"/>
      <c r="M656" s="133"/>
      <c r="N656" s="133"/>
      <c r="O656" s="133"/>
      <c r="P656" s="133"/>
      <c r="Q656" s="133"/>
      <c r="R656" s="133"/>
      <c r="S656" s="133"/>
      <c r="T656" s="133"/>
      <c r="U656" s="133"/>
      <c r="V656" s="133"/>
      <c r="W656" s="133"/>
      <c r="X656" s="133"/>
      <c r="Y656" s="133"/>
      <c r="Z656" s="133"/>
      <c r="AA656" s="133"/>
    </row>
    <row r="657" spans="1:27" ht="15.75" customHeight="1" x14ac:dyDescent="0.25">
      <c r="A657" s="133"/>
      <c r="B657" s="133"/>
      <c r="C657" s="133"/>
      <c r="D657" s="133"/>
      <c r="E657" s="133"/>
      <c r="F657" s="133"/>
      <c r="G657" s="133"/>
      <c r="H657" s="133"/>
      <c r="I657" s="133"/>
      <c r="K657" s="133"/>
      <c r="L657" s="133"/>
      <c r="M657" s="133"/>
      <c r="N657" s="133"/>
      <c r="O657" s="133"/>
      <c r="P657" s="133"/>
      <c r="Q657" s="133"/>
      <c r="R657" s="133"/>
      <c r="S657" s="133"/>
      <c r="T657" s="133"/>
      <c r="U657" s="133"/>
      <c r="V657" s="133"/>
      <c r="W657" s="133"/>
      <c r="X657" s="133"/>
      <c r="Y657" s="133"/>
      <c r="Z657" s="133"/>
      <c r="AA657" s="133"/>
    </row>
    <row r="658" spans="1:27" ht="15.75" customHeight="1" x14ac:dyDescent="0.25">
      <c r="A658" s="133"/>
      <c r="B658" s="133"/>
      <c r="C658" s="133"/>
      <c r="D658" s="133"/>
      <c r="E658" s="133"/>
      <c r="F658" s="133"/>
      <c r="G658" s="133"/>
      <c r="H658" s="133"/>
      <c r="I658" s="133"/>
      <c r="K658" s="133"/>
      <c r="L658" s="133"/>
      <c r="M658" s="133"/>
      <c r="N658" s="133"/>
      <c r="O658" s="133"/>
      <c r="P658" s="133"/>
      <c r="Q658" s="133"/>
      <c r="R658" s="133"/>
      <c r="S658" s="133"/>
      <c r="T658" s="133"/>
      <c r="U658" s="133"/>
      <c r="V658" s="133"/>
      <c r="W658" s="133"/>
      <c r="X658" s="133"/>
      <c r="Y658" s="133"/>
      <c r="Z658" s="133"/>
      <c r="AA658" s="133"/>
    </row>
    <row r="659" spans="1:27" ht="15.75" customHeight="1" x14ac:dyDescent="0.25">
      <c r="A659" s="133"/>
      <c r="B659" s="133"/>
      <c r="C659" s="133"/>
      <c r="D659" s="133"/>
      <c r="E659" s="133"/>
      <c r="F659" s="133"/>
      <c r="G659" s="133"/>
      <c r="H659" s="133"/>
      <c r="I659" s="133"/>
      <c r="K659" s="133"/>
      <c r="L659" s="133"/>
      <c r="M659" s="133"/>
      <c r="N659" s="133"/>
      <c r="O659" s="133"/>
      <c r="P659" s="133"/>
      <c r="Q659" s="133"/>
      <c r="R659" s="133"/>
      <c r="S659" s="133"/>
      <c r="T659" s="133"/>
      <c r="U659" s="133"/>
      <c r="V659" s="133"/>
      <c r="W659" s="133"/>
      <c r="X659" s="133"/>
      <c r="Y659" s="133"/>
      <c r="Z659" s="133"/>
      <c r="AA659" s="133"/>
    </row>
    <row r="660" spans="1:27" ht="15.75" customHeight="1" x14ac:dyDescent="0.25">
      <c r="A660" s="133"/>
      <c r="B660" s="133"/>
      <c r="C660" s="133"/>
      <c r="D660" s="133"/>
      <c r="E660" s="133"/>
      <c r="F660" s="133"/>
      <c r="G660" s="133"/>
      <c r="H660" s="133"/>
      <c r="I660" s="133"/>
      <c r="K660" s="133"/>
      <c r="L660" s="133"/>
      <c r="M660" s="133"/>
      <c r="N660" s="133"/>
      <c r="O660" s="133"/>
      <c r="P660" s="133"/>
      <c r="Q660" s="133"/>
      <c r="R660" s="133"/>
      <c r="S660" s="133"/>
      <c r="T660" s="133"/>
      <c r="U660" s="133"/>
      <c r="V660" s="133"/>
      <c r="W660" s="133"/>
      <c r="X660" s="133"/>
      <c r="Y660" s="133"/>
      <c r="Z660" s="133"/>
      <c r="AA660" s="133"/>
    </row>
    <row r="661" spans="1:27" ht="15.75" customHeight="1" x14ac:dyDescent="0.25">
      <c r="A661" s="133"/>
      <c r="B661" s="133"/>
      <c r="C661" s="133"/>
      <c r="D661" s="133"/>
      <c r="E661" s="133"/>
      <c r="F661" s="133"/>
      <c r="G661" s="133"/>
      <c r="H661" s="133"/>
      <c r="I661" s="133"/>
      <c r="K661" s="133"/>
      <c r="L661" s="133"/>
      <c r="M661" s="133"/>
      <c r="N661" s="133"/>
      <c r="O661" s="133"/>
      <c r="P661" s="133"/>
      <c r="Q661" s="133"/>
      <c r="R661" s="133"/>
      <c r="S661" s="133"/>
      <c r="T661" s="133"/>
      <c r="U661" s="133"/>
      <c r="V661" s="133"/>
      <c r="W661" s="133"/>
      <c r="X661" s="133"/>
      <c r="Y661" s="133"/>
      <c r="Z661" s="133"/>
      <c r="AA661" s="133"/>
    </row>
    <row r="662" spans="1:27" ht="15.75" customHeight="1" x14ac:dyDescent="0.25">
      <c r="A662" s="133"/>
      <c r="B662" s="133"/>
      <c r="C662" s="133"/>
      <c r="D662" s="133"/>
      <c r="E662" s="133"/>
      <c r="F662" s="133"/>
      <c r="G662" s="133"/>
      <c r="H662" s="133"/>
      <c r="I662" s="133"/>
      <c r="K662" s="133"/>
      <c r="L662" s="133"/>
      <c r="M662" s="133"/>
      <c r="N662" s="133"/>
      <c r="O662" s="133"/>
      <c r="P662" s="133"/>
      <c r="Q662" s="133"/>
      <c r="R662" s="133"/>
      <c r="S662" s="133"/>
      <c r="T662" s="133"/>
      <c r="U662" s="133"/>
      <c r="V662" s="133"/>
      <c r="W662" s="133"/>
      <c r="X662" s="133"/>
      <c r="Y662" s="133"/>
      <c r="Z662" s="133"/>
      <c r="AA662" s="133"/>
    </row>
    <row r="663" spans="1:27" ht="15.75" customHeight="1" x14ac:dyDescent="0.25">
      <c r="A663" s="133"/>
      <c r="B663" s="133"/>
      <c r="C663" s="133"/>
      <c r="D663" s="133"/>
      <c r="E663" s="133"/>
      <c r="F663" s="133"/>
      <c r="G663" s="133"/>
      <c r="H663" s="133"/>
      <c r="I663" s="133"/>
      <c r="K663" s="133"/>
      <c r="L663" s="133"/>
      <c r="M663" s="133"/>
      <c r="N663" s="133"/>
      <c r="O663" s="133"/>
      <c r="P663" s="133"/>
      <c r="Q663" s="133"/>
      <c r="R663" s="133"/>
      <c r="S663" s="133"/>
      <c r="T663" s="133"/>
      <c r="U663" s="133"/>
      <c r="V663" s="133"/>
      <c r="W663" s="133"/>
      <c r="X663" s="133"/>
      <c r="Y663" s="133"/>
      <c r="Z663" s="133"/>
      <c r="AA663" s="133"/>
    </row>
    <row r="664" spans="1:27" ht="15.75" customHeight="1" x14ac:dyDescent="0.25">
      <c r="A664" s="133"/>
      <c r="B664" s="133"/>
      <c r="C664" s="133"/>
      <c r="D664" s="133"/>
      <c r="E664" s="133"/>
      <c r="F664" s="133"/>
      <c r="G664" s="133"/>
      <c r="H664" s="133"/>
      <c r="I664" s="133"/>
      <c r="K664" s="133"/>
      <c r="L664" s="133"/>
      <c r="M664" s="133"/>
      <c r="N664" s="133"/>
      <c r="O664" s="133"/>
      <c r="P664" s="133"/>
      <c r="Q664" s="133"/>
      <c r="R664" s="133"/>
      <c r="S664" s="133"/>
      <c r="T664" s="133"/>
      <c r="U664" s="133"/>
      <c r="V664" s="133"/>
      <c r="W664" s="133"/>
      <c r="X664" s="133"/>
      <c r="Y664" s="133"/>
      <c r="Z664" s="133"/>
      <c r="AA664" s="133"/>
    </row>
    <row r="665" spans="1:27" ht="15.75" customHeight="1" x14ac:dyDescent="0.25">
      <c r="A665" s="133"/>
      <c r="B665" s="133"/>
      <c r="C665" s="133"/>
      <c r="D665" s="133"/>
      <c r="E665" s="133"/>
      <c r="F665" s="133"/>
      <c r="G665" s="133"/>
      <c r="H665" s="133"/>
      <c r="I665" s="133"/>
      <c r="K665" s="133"/>
      <c r="L665" s="133"/>
      <c r="M665" s="133"/>
      <c r="N665" s="133"/>
      <c r="O665" s="133"/>
      <c r="P665" s="133"/>
      <c r="Q665" s="133"/>
      <c r="R665" s="133"/>
      <c r="S665" s="133"/>
      <c r="T665" s="133"/>
      <c r="U665" s="133"/>
      <c r="V665" s="133"/>
      <c r="W665" s="133"/>
      <c r="X665" s="133"/>
      <c r="Y665" s="133"/>
      <c r="Z665" s="133"/>
      <c r="AA665" s="133"/>
    </row>
    <row r="666" spans="1:27" ht="15.75" customHeight="1" x14ac:dyDescent="0.25">
      <c r="A666" s="133"/>
      <c r="B666" s="133"/>
      <c r="C666" s="133"/>
      <c r="D666" s="133"/>
      <c r="E666" s="133"/>
      <c r="F666" s="133"/>
      <c r="G666" s="133"/>
      <c r="H666" s="133"/>
      <c r="I666" s="133"/>
      <c r="K666" s="133"/>
      <c r="L666" s="133"/>
      <c r="M666" s="133"/>
      <c r="N666" s="133"/>
      <c r="O666" s="133"/>
      <c r="P666" s="133"/>
      <c r="Q666" s="133"/>
      <c r="R666" s="133"/>
      <c r="S666" s="133"/>
      <c r="T666" s="133"/>
      <c r="U666" s="133"/>
      <c r="V666" s="133"/>
      <c r="W666" s="133"/>
      <c r="X666" s="133"/>
      <c r="Y666" s="133"/>
      <c r="Z666" s="133"/>
      <c r="AA666" s="133"/>
    </row>
    <row r="667" spans="1:27" ht="15.75" customHeight="1" x14ac:dyDescent="0.25">
      <c r="A667" s="133"/>
      <c r="B667" s="133"/>
      <c r="C667" s="133"/>
      <c r="D667" s="133"/>
      <c r="E667" s="133"/>
      <c r="F667" s="133"/>
      <c r="G667" s="133"/>
      <c r="H667" s="133"/>
      <c r="I667" s="133"/>
      <c r="K667" s="133"/>
      <c r="L667" s="133"/>
      <c r="M667" s="133"/>
      <c r="N667" s="133"/>
      <c r="O667" s="133"/>
      <c r="P667" s="133"/>
      <c r="Q667" s="133"/>
      <c r="R667" s="133"/>
      <c r="S667" s="133"/>
      <c r="T667" s="133"/>
      <c r="U667" s="133"/>
      <c r="V667" s="133"/>
      <c r="W667" s="133"/>
      <c r="X667" s="133"/>
      <c r="Y667" s="133"/>
      <c r="Z667" s="133"/>
      <c r="AA667" s="133"/>
    </row>
    <row r="668" spans="1:27" ht="15.75" customHeight="1" x14ac:dyDescent="0.25">
      <c r="A668" s="133"/>
      <c r="B668" s="133"/>
      <c r="C668" s="133"/>
      <c r="D668" s="133"/>
      <c r="E668" s="133"/>
      <c r="F668" s="133"/>
      <c r="G668" s="133"/>
      <c r="H668" s="133"/>
      <c r="I668" s="133"/>
      <c r="K668" s="133"/>
      <c r="L668" s="133"/>
      <c r="M668" s="133"/>
      <c r="N668" s="133"/>
      <c r="O668" s="133"/>
      <c r="P668" s="133"/>
      <c r="Q668" s="133"/>
      <c r="R668" s="133"/>
      <c r="S668" s="133"/>
      <c r="T668" s="133"/>
      <c r="U668" s="133"/>
      <c r="V668" s="133"/>
      <c r="W668" s="133"/>
      <c r="X668" s="133"/>
      <c r="Y668" s="133"/>
      <c r="Z668" s="133"/>
      <c r="AA668" s="133"/>
    </row>
    <row r="669" spans="1:27" ht="15.75" customHeight="1" x14ac:dyDescent="0.25">
      <c r="A669" s="133"/>
      <c r="B669" s="133"/>
      <c r="C669" s="133"/>
      <c r="D669" s="133"/>
      <c r="E669" s="133"/>
      <c r="F669" s="133"/>
      <c r="G669" s="133"/>
      <c r="H669" s="133"/>
      <c r="I669" s="133"/>
      <c r="K669" s="133"/>
      <c r="L669" s="133"/>
      <c r="M669" s="133"/>
      <c r="N669" s="133"/>
      <c r="O669" s="133"/>
      <c r="P669" s="133"/>
      <c r="Q669" s="133"/>
      <c r="R669" s="133"/>
      <c r="S669" s="133"/>
      <c r="T669" s="133"/>
      <c r="U669" s="133"/>
      <c r="V669" s="133"/>
      <c r="W669" s="133"/>
      <c r="X669" s="133"/>
      <c r="Y669" s="133"/>
      <c r="Z669" s="133"/>
      <c r="AA669" s="133"/>
    </row>
    <row r="670" spans="1:27" ht="15.75" customHeight="1" x14ac:dyDescent="0.25">
      <c r="A670" s="133"/>
      <c r="B670" s="133"/>
      <c r="C670" s="133"/>
      <c r="D670" s="133"/>
      <c r="E670" s="133"/>
      <c r="F670" s="133"/>
      <c r="G670" s="133"/>
      <c r="H670" s="133"/>
      <c r="I670" s="133"/>
      <c r="K670" s="133"/>
      <c r="L670" s="133"/>
      <c r="M670" s="133"/>
      <c r="N670" s="133"/>
      <c r="O670" s="133"/>
      <c r="P670" s="133"/>
      <c r="Q670" s="133"/>
      <c r="R670" s="133"/>
      <c r="S670" s="133"/>
      <c r="T670" s="133"/>
      <c r="U670" s="133"/>
      <c r="V670" s="133"/>
      <c r="W670" s="133"/>
      <c r="X670" s="133"/>
      <c r="Y670" s="133"/>
      <c r="Z670" s="133"/>
      <c r="AA670" s="133"/>
    </row>
    <row r="671" spans="1:27" ht="15.75" customHeight="1" x14ac:dyDescent="0.25">
      <c r="A671" s="133"/>
      <c r="B671" s="133"/>
      <c r="C671" s="133"/>
      <c r="D671" s="133"/>
      <c r="E671" s="133"/>
      <c r="F671" s="133"/>
      <c r="G671" s="133"/>
      <c r="H671" s="133"/>
      <c r="I671" s="133"/>
      <c r="K671" s="133"/>
      <c r="L671" s="133"/>
      <c r="M671" s="133"/>
      <c r="N671" s="133"/>
      <c r="O671" s="133"/>
      <c r="P671" s="133"/>
      <c r="Q671" s="133"/>
      <c r="R671" s="133"/>
      <c r="S671" s="133"/>
      <c r="T671" s="133"/>
      <c r="U671" s="133"/>
      <c r="V671" s="133"/>
      <c r="W671" s="133"/>
      <c r="X671" s="133"/>
      <c r="Y671" s="133"/>
      <c r="Z671" s="133"/>
      <c r="AA671" s="133"/>
    </row>
    <row r="672" spans="1:27" ht="15.75" customHeight="1" x14ac:dyDescent="0.25">
      <c r="A672" s="133"/>
      <c r="B672" s="133"/>
      <c r="C672" s="133"/>
      <c r="D672" s="133"/>
      <c r="E672" s="133"/>
      <c r="F672" s="133"/>
      <c r="G672" s="133"/>
      <c r="H672" s="133"/>
      <c r="I672" s="133"/>
      <c r="K672" s="133"/>
      <c r="L672" s="133"/>
      <c r="M672" s="133"/>
      <c r="N672" s="133"/>
      <c r="O672" s="133"/>
      <c r="P672" s="133"/>
      <c r="Q672" s="133"/>
      <c r="R672" s="133"/>
      <c r="S672" s="133"/>
      <c r="T672" s="133"/>
      <c r="U672" s="133"/>
      <c r="V672" s="133"/>
      <c r="W672" s="133"/>
      <c r="X672" s="133"/>
      <c r="Y672" s="133"/>
      <c r="Z672" s="133"/>
      <c r="AA672" s="133"/>
    </row>
    <row r="673" spans="1:27" ht="15.75" customHeight="1" x14ac:dyDescent="0.25">
      <c r="A673" s="133"/>
      <c r="B673" s="133"/>
      <c r="C673" s="133"/>
      <c r="D673" s="133"/>
      <c r="E673" s="133"/>
      <c r="F673" s="133"/>
      <c r="G673" s="133"/>
      <c r="H673" s="133"/>
      <c r="I673" s="133"/>
      <c r="K673" s="133"/>
      <c r="L673" s="133"/>
      <c r="M673" s="133"/>
      <c r="N673" s="133"/>
      <c r="O673" s="133"/>
      <c r="P673" s="133"/>
      <c r="Q673" s="133"/>
      <c r="R673" s="133"/>
      <c r="S673" s="133"/>
      <c r="T673" s="133"/>
      <c r="U673" s="133"/>
      <c r="V673" s="133"/>
      <c r="W673" s="133"/>
      <c r="X673" s="133"/>
      <c r="Y673" s="133"/>
      <c r="Z673" s="133"/>
      <c r="AA673" s="133"/>
    </row>
    <row r="674" spans="1:27" ht="15.75" customHeight="1" x14ac:dyDescent="0.25">
      <c r="A674" s="133"/>
      <c r="B674" s="133"/>
      <c r="C674" s="133"/>
      <c r="D674" s="133"/>
      <c r="E674" s="133"/>
      <c r="F674" s="133"/>
      <c r="G674" s="133"/>
      <c r="H674" s="133"/>
      <c r="I674" s="133"/>
      <c r="K674" s="133"/>
      <c r="L674" s="133"/>
      <c r="M674" s="133"/>
      <c r="N674" s="133"/>
      <c r="O674" s="133"/>
      <c r="P674" s="133"/>
      <c r="Q674" s="133"/>
      <c r="R674" s="133"/>
      <c r="S674" s="133"/>
      <c r="T674" s="133"/>
      <c r="U674" s="133"/>
      <c r="V674" s="133"/>
      <c r="W674" s="133"/>
      <c r="X674" s="133"/>
      <c r="Y674" s="133"/>
      <c r="Z674" s="133"/>
      <c r="AA674" s="133"/>
    </row>
    <row r="675" spans="1:27" ht="15.75" customHeight="1" x14ac:dyDescent="0.25">
      <c r="A675" s="133"/>
      <c r="B675" s="133"/>
      <c r="C675" s="133"/>
      <c r="D675" s="133"/>
      <c r="E675" s="133"/>
      <c r="F675" s="133"/>
      <c r="G675" s="133"/>
      <c r="H675" s="133"/>
      <c r="I675" s="133"/>
      <c r="K675" s="133"/>
      <c r="L675" s="133"/>
      <c r="M675" s="133"/>
      <c r="N675" s="133"/>
      <c r="O675" s="133"/>
      <c r="P675" s="133"/>
      <c r="Q675" s="133"/>
      <c r="R675" s="133"/>
      <c r="S675" s="133"/>
      <c r="T675" s="133"/>
      <c r="U675" s="133"/>
      <c r="V675" s="133"/>
      <c r="W675" s="133"/>
      <c r="X675" s="133"/>
      <c r="Y675" s="133"/>
      <c r="Z675" s="133"/>
      <c r="AA675" s="133"/>
    </row>
    <row r="676" spans="1:27" ht="15.75" customHeight="1" x14ac:dyDescent="0.25">
      <c r="A676" s="133"/>
      <c r="B676" s="133"/>
      <c r="C676" s="133"/>
      <c r="D676" s="133"/>
      <c r="E676" s="133"/>
      <c r="F676" s="133"/>
      <c r="G676" s="133"/>
      <c r="H676" s="133"/>
      <c r="I676" s="133"/>
      <c r="K676" s="133"/>
      <c r="L676" s="133"/>
      <c r="M676" s="133"/>
      <c r="N676" s="133"/>
      <c r="O676" s="133"/>
      <c r="P676" s="133"/>
      <c r="Q676" s="133"/>
      <c r="R676" s="133"/>
      <c r="S676" s="133"/>
      <c r="T676" s="133"/>
      <c r="U676" s="133"/>
      <c r="V676" s="133"/>
      <c r="W676" s="133"/>
      <c r="X676" s="133"/>
      <c r="Y676" s="133"/>
      <c r="Z676" s="133"/>
      <c r="AA676" s="133"/>
    </row>
    <row r="677" spans="1:27" ht="15.75" customHeight="1" x14ac:dyDescent="0.25">
      <c r="A677" s="133"/>
      <c r="B677" s="133"/>
      <c r="C677" s="133"/>
      <c r="D677" s="133"/>
      <c r="E677" s="133"/>
      <c r="F677" s="133"/>
      <c r="G677" s="133"/>
      <c r="H677" s="133"/>
      <c r="I677" s="133"/>
      <c r="K677" s="133"/>
      <c r="L677" s="133"/>
      <c r="M677" s="133"/>
      <c r="N677" s="133"/>
      <c r="O677" s="133"/>
      <c r="P677" s="133"/>
      <c r="Q677" s="133"/>
      <c r="R677" s="133"/>
      <c r="S677" s="133"/>
      <c r="T677" s="133"/>
      <c r="U677" s="133"/>
      <c r="V677" s="133"/>
      <c r="W677" s="133"/>
      <c r="X677" s="133"/>
      <c r="Y677" s="133"/>
      <c r="Z677" s="133"/>
      <c r="AA677" s="133"/>
    </row>
    <row r="678" spans="1:27" ht="15.75" customHeight="1" x14ac:dyDescent="0.25">
      <c r="A678" s="133"/>
      <c r="B678" s="133"/>
      <c r="C678" s="133"/>
      <c r="D678" s="133"/>
      <c r="E678" s="133"/>
      <c r="F678" s="133"/>
      <c r="G678" s="133"/>
      <c r="H678" s="133"/>
      <c r="I678" s="133"/>
      <c r="K678" s="133"/>
      <c r="L678" s="133"/>
      <c r="M678" s="133"/>
      <c r="N678" s="133"/>
      <c r="O678" s="133"/>
      <c r="P678" s="133"/>
      <c r="Q678" s="133"/>
      <c r="R678" s="133"/>
      <c r="S678" s="133"/>
      <c r="T678" s="133"/>
      <c r="U678" s="133"/>
      <c r="V678" s="133"/>
      <c r="W678" s="133"/>
      <c r="X678" s="133"/>
      <c r="Y678" s="133"/>
      <c r="Z678" s="133"/>
      <c r="AA678" s="133"/>
    </row>
    <row r="679" spans="1:27" ht="15.75" customHeight="1" x14ac:dyDescent="0.25">
      <c r="A679" s="133"/>
      <c r="B679" s="133"/>
      <c r="C679" s="133"/>
      <c r="D679" s="133"/>
      <c r="E679" s="133"/>
      <c r="F679" s="133"/>
      <c r="G679" s="133"/>
      <c r="H679" s="133"/>
      <c r="I679" s="133"/>
      <c r="K679" s="133"/>
      <c r="L679" s="133"/>
      <c r="M679" s="133"/>
      <c r="N679" s="133"/>
      <c r="O679" s="133"/>
      <c r="P679" s="133"/>
      <c r="Q679" s="133"/>
      <c r="R679" s="133"/>
      <c r="S679" s="133"/>
      <c r="T679" s="133"/>
      <c r="U679" s="133"/>
      <c r="V679" s="133"/>
      <c r="W679" s="133"/>
      <c r="X679" s="133"/>
      <c r="Y679" s="133"/>
      <c r="Z679" s="133"/>
      <c r="AA679" s="133"/>
    </row>
    <row r="680" spans="1:27" ht="15.75" customHeight="1" x14ac:dyDescent="0.25">
      <c r="A680" s="133"/>
      <c r="B680" s="133"/>
      <c r="C680" s="133"/>
      <c r="D680" s="133"/>
      <c r="E680" s="133"/>
      <c r="F680" s="133"/>
      <c r="G680" s="133"/>
      <c r="H680" s="133"/>
      <c r="I680" s="133"/>
      <c r="K680" s="133"/>
      <c r="L680" s="133"/>
      <c r="M680" s="133"/>
      <c r="N680" s="133"/>
      <c r="O680" s="133"/>
      <c r="P680" s="133"/>
      <c r="Q680" s="133"/>
      <c r="R680" s="133"/>
      <c r="S680" s="133"/>
      <c r="T680" s="133"/>
      <c r="U680" s="133"/>
      <c r="V680" s="133"/>
      <c r="W680" s="133"/>
      <c r="X680" s="133"/>
      <c r="Y680" s="133"/>
      <c r="Z680" s="133"/>
      <c r="AA680" s="133"/>
    </row>
    <row r="681" spans="1:27" ht="15.75" customHeight="1" x14ac:dyDescent="0.25">
      <c r="A681" s="133"/>
      <c r="B681" s="133"/>
      <c r="C681" s="133"/>
      <c r="D681" s="133"/>
      <c r="E681" s="133"/>
      <c r="F681" s="133"/>
      <c r="G681" s="133"/>
      <c r="H681" s="133"/>
      <c r="I681" s="133"/>
      <c r="K681" s="133"/>
      <c r="L681" s="133"/>
      <c r="M681" s="133"/>
      <c r="N681" s="133"/>
      <c r="O681" s="133"/>
      <c r="P681" s="133"/>
      <c r="Q681" s="133"/>
      <c r="R681" s="133"/>
      <c r="S681" s="133"/>
      <c r="T681" s="133"/>
      <c r="U681" s="133"/>
      <c r="V681" s="133"/>
      <c r="W681" s="133"/>
      <c r="X681" s="133"/>
      <c r="Y681" s="133"/>
      <c r="Z681" s="133"/>
      <c r="AA681" s="133"/>
    </row>
    <row r="682" spans="1:27" ht="15.75" customHeight="1" x14ac:dyDescent="0.25">
      <c r="A682" s="133"/>
      <c r="B682" s="133"/>
      <c r="C682" s="133"/>
      <c r="D682" s="133"/>
      <c r="E682" s="133"/>
      <c r="F682" s="133"/>
      <c r="G682" s="133"/>
      <c r="H682" s="133"/>
      <c r="I682" s="133"/>
      <c r="K682" s="133"/>
      <c r="L682" s="133"/>
      <c r="M682" s="133"/>
      <c r="N682" s="133"/>
      <c r="O682" s="133"/>
      <c r="P682" s="133"/>
      <c r="Q682" s="133"/>
      <c r="R682" s="133"/>
      <c r="S682" s="133"/>
      <c r="T682" s="133"/>
      <c r="U682" s="133"/>
      <c r="V682" s="133"/>
      <c r="W682" s="133"/>
      <c r="X682" s="133"/>
      <c r="Y682" s="133"/>
      <c r="Z682" s="133"/>
      <c r="AA682" s="133"/>
    </row>
    <row r="683" spans="1:27" ht="15.75" customHeight="1" x14ac:dyDescent="0.25">
      <c r="A683" s="133"/>
      <c r="B683" s="133"/>
      <c r="C683" s="133"/>
      <c r="D683" s="133"/>
      <c r="E683" s="133"/>
      <c r="F683" s="133"/>
      <c r="G683" s="133"/>
      <c r="H683" s="133"/>
      <c r="I683" s="133"/>
      <c r="K683" s="133"/>
      <c r="L683" s="133"/>
      <c r="M683" s="133"/>
      <c r="N683" s="133"/>
      <c r="O683" s="133"/>
      <c r="P683" s="133"/>
      <c r="Q683" s="133"/>
      <c r="R683" s="133"/>
      <c r="S683" s="133"/>
      <c r="T683" s="133"/>
      <c r="U683" s="133"/>
      <c r="V683" s="133"/>
      <c r="W683" s="133"/>
      <c r="X683" s="133"/>
      <c r="Y683" s="133"/>
      <c r="Z683" s="133"/>
      <c r="AA683" s="133"/>
    </row>
    <row r="684" spans="1:27" ht="15.75" customHeight="1" x14ac:dyDescent="0.25">
      <c r="A684" s="133"/>
      <c r="B684" s="133"/>
      <c r="C684" s="133"/>
      <c r="D684" s="133"/>
      <c r="E684" s="133"/>
      <c r="F684" s="133"/>
      <c r="G684" s="133"/>
      <c r="H684" s="133"/>
      <c r="I684" s="133"/>
      <c r="K684" s="133"/>
      <c r="L684" s="133"/>
      <c r="M684" s="133"/>
      <c r="N684" s="133"/>
      <c r="O684" s="133"/>
      <c r="P684" s="133"/>
      <c r="Q684" s="133"/>
      <c r="R684" s="133"/>
      <c r="S684" s="133"/>
      <c r="T684" s="133"/>
      <c r="U684" s="133"/>
      <c r="V684" s="133"/>
      <c r="W684" s="133"/>
      <c r="X684" s="133"/>
      <c r="Y684" s="133"/>
      <c r="Z684" s="133"/>
      <c r="AA684" s="133"/>
    </row>
    <row r="685" spans="1:27" ht="15.75" customHeight="1" x14ac:dyDescent="0.25">
      <c r="A685" s="133"/>
      <c r="B685" s="133"/>
      <c r="C685" s="133"/>
      <c r="D685" s="133"/>
      <c r="E685" s="133"/>
      <c r="F685" s="133"/>
      <c r="G685" s="133"/>
      <c r="H685" s="133"/>
      <c r="I685" s="133"/>
      <c r="K685" s="133"/>
      <c r="L685" s="133"/>
      <c r="M685" s="133"/>
      <c r="N685" s="133"/>
      <c r="O685" s="133"/>
      <c r="P685" s="133"/>
      <c r="Q685" s="133"/>
      <c r="R685" s="133"/>
      <c r="S685" s="133"/>
      <c r="T685" s="133"/>
      <c r="U685" s="133"/>
      <c r="V685" s="133"/>
      <c r="W685" s="133"/>
      <c r="X685" s="133"/>
      <c r="Y685" s="133"/>
      <c r="Z685" s="133"/>
      <c r="AA685" s="133"/>
    </row>
    <row r="686" spans="1:27" ht="15.75" customHeight="1" x14ac:dyDescent="0.25">
      <c r="A686" s="133"/>
      <c r="B686" s="133"/>
      <c r="C686" s="133"/>
      <c r="D686" s="133"/>
      <c r="E686" s="133"/>
      <c r="F686" s="133"/>
      <c r="G686" s="133"/>
      <c r="H686" s="133"/>
      <c r="I686" s="133"/>
      <c r="K686" s="133"/>
      <c r="L686" s="133"/>
      <c r="M686" s="133"/>
      <c r="N686" s="133"/>
      <c r="O686" s="133"/>
      <c r="P686" s="133"/>
      <c r="Q686" s="133"/>
      <c r="R686" s="133"/>
      <c r="S686" s="133"/>
      <c r="T686" s="133"/>
      <c r="U686" s="133"/>
      <c r="V686" s="133"/>
      <c r="W686" s="133"/>
      <c r="X686" s="133"/>
      <c r="Y686" s="133"/>
      <c r="Z686" s="133"/>
      <c r="AA686" s="133"/>
    </row>
    <row r="687" spans="1:27" ht="15.75" customHeight="1" x14ac:dyDescent="0.25">
      <c r="A687" s="133"/>
      <c r="B687" s="133"/>
      <c r="C687" s="133"/>
      <c r="D687" s="133"/>
      <c r="E687" s="133"/>
      <c r="F687" s="133"/>
      <c r="G687" s="133"/>
      <c r="H687" s="133"/>
      <c r="I687" s="133"/>
      <c r="K687" s="133"/>
      <c r="L687" s="133"/>
      <c r="M687" s="133"/>
      <c r="N687" s="133"/>
      <c r="O687" s="133"/>
      <c r="P687" s="133"/>
      <c r="Q687" s="133"/>
      <c r="R687" s="133"/>
      <c r="S687" s="133"/>
      <c r="T687" s="133"/>
      <c r="U687" s="133"/>
      <c r="V687" s="133"/>
      <c r="W687" s="133"/>
      <c r="X687" s="133"/>
      <c r="Y687" s="133"/>
      <c r="Z687" s="133"/>
      <c r="AA687" s="133"/>
    </row>
    <row r="688" spans="1:27" ht="15.75" customHeight="1" x14ac:dyDescent="0.25">
      <c r="A688" s="133"/>
      <c r="B688" s="133"/>
      <c r="C688" s="133"/>
      <c r="D688" s="133"/>
      <c r="E688" s="133"/>
      <c r="F688" s="133"/>
      <c r="G688" s="133"/>
      <c r="H688" s="133"/>
      <c r="I688" s="133"/>
      <c r="K688" s="133"/>
      <c r="L688" s="133"/>
      <c r="M688" s="133"/>
      <c r="N688" s="133"/>
      <c r="O688" s="133"/>
      <c r="P688" s="133"/>
      <c r="Q688" s="133"/>
      <c r="R688" s="133"/>
      <c r="S688" s="133"/>
      <c r="T688" s="133"/>
      <c r="U688" s="133"/>
      <c r="V688" s="133"/>
      <c r="W688" s="133"/>
      <c r="X688" s="133"/>
      <c r="Y688" s="133"/>
      <c r="Z688" s="133"/>
      <c r="AA688" s="133"/>
    </row>
    <row r="689" spans="1:27" ht="15.75" customHeight="1" x14ac:dyDescent="0.25">
      <c r="A689" s="133"/>
      <c r="B689" s="133"/>
      <c r="C689" s="133"/>
      <c r="D689" s="133"/>
      <c r="E689" s="133"/>
      <c r="F689" s="133"/>
      <c r="G689" s="133"/>
      <c r="H689" s="133"/>
      <c r="I689" s="133"/>
      <c r="K689" s="133"/>
      <c r="L689" s="133"/>
      <c r="M689" s="133"/>
      <c r="N689" s="133"/>
      <c r="O689" s="133"/>
      <c r="P689" s="133"/>
      <c r="Q689" s="133"/>
      <c r="R689" s="133"/>
      <c r="S689" s="133"/>
      <c r="T689" s="133"/>
      <c r="U689" s="133"/>
      <c r="V689" s="133"/>
      <c r="W689" s="133"/>
      <c r="X689" s="133"/>
      <c r="Y689" s="133"/>
      <c r="Z689" s="133"/>
      <c r="AA689" s="133"/>
    </row>
    <row r="690" spans="1:27" ht="15.75" customHeight="1" x14ac:dyDescent="0.25">
      <c r="A690" s="133"/>
      <c r="B690" s="133"/>
      <c r="C690" s="133"/>
      <c r="D690" s="133"/>
      <c r="E690" s="133"/>
      <c r="F690" s="133"/>
      <c r="G690" s="133"/>
      <c r="H690" s="133"/>
      <c r="I690" s="133"/>
      <c r="K690" s="133"/>
      <c r="L690" s="133"/>
      <c r="M690" s="133"/>
      <c r="N690" s="133"/>
      <c r="O690" s="133"/>
      <c r="P690" s="133"/>
      <c r="Q690" s="133"/>
      <c r="R690" s="133"/>
      <c r="S690" s="133"/>
      <c r="T690" s="133"/>
      <c r="U690" s="133"/>
      <c r="V690" s="133"/>
      <c r="W690" s="133"/>
      <c r="X690" s="133"/>
      <c r="Y690" s="133"/>
      <c r="Z690" s="133"/>
      <c r="AA690" s="133"/>
    </row>
    <row r="691" spans="1:27" ht="15.75" customHeight="1" x14ac:dyDescent="0.25">
      <c r="A691" s="133"/>
      <c r="B691" s="133"/>
      <c r="C691" s="133"/>
      <c r="D691" s="133"/>
      <c r="E691" s="133"/>
      <c r="F691" s="133"/>
      <c r="G691" s="133"/>
      <c r="H691" s="133"/>
      <c r="I691" s="133"/>
      <c r="K691" s="133"/>
      <c r="L691" s="133"/>
      <c r="M691" s="133"/>
      <c r="N691" s="133"/>
      <c r="O691" s="133"/>
      <c r="P691" s="133"/>
      <c r="Q691" s="133"/>
      <c r="R691" s="133"/>
      <c r="S691" s="133"/>
      <c r="T691" s="133"/>
      <c r="U691" s="133"/>
      <c r="V691" s="133"/>
      <c r="W691" s="133"/>
      <c r="X691" s="133"/>
      <c r="Y691" s="133"/>
      <c r="Z691" s="133"/>
      <c r="AA691" s="133"/>
    </row>
    <row r="692" spans="1:27" ht="15.75" customHeight="1" x14ac:dyDescent="0.25">
      <c r="A692" s="133"/>
      <c r="B692" s="133"/>
      <c r="C692" s="133"/>
      <c r="D692" s="133"/>
      <c r="E692" s="133"/>
      <c r="F692" s="133"/>
      <c r="G692" s="133"/>
      <c r="H692" s="133"/>
      <c r="I692" s="133"/>
      <c r="K692" s="133"/>
      <c r="L692" s="133"/>
      <c r="M692" s="133"/>
      <c r="N692" s="133"/>
      <c r="O692" s="133"/>
      <c r="P692" s="133"/>
      <c r="Q692" s="133"/>
      <c r="R692" s="133"/>
      <c r="S692" s="133"/>
      <c r="T692" s="133"/>
      <c r="U692" s="133"/>
      <c r="V692" s="133"/>
      <c r="W692" s="133"/>
      <c r="X692" s="133"/>
      <c r="Y692" s="133"/>
      <c r="Z692" s="133"/>
      <c r="AA692" s="133"/>
    </row>
    <row r="693" spans="1:27" ht="15.75" customHeight="1" x14ac:dyDescent="0.25">
      <c r="A693" s="133"/>
      <c r="B693" s="133"/>
      <c r="C693" s="133"/>
      <c r="D693" s="133"/>
      <c r="E693" s="133"/>
      <c r="F693" s="133"/>
      <c r="G693" s="133"/>
      <c r="H693" s="133"/>
      <c r="I693" s="133"/>
      <c r="K693" s="133"/>
      <c r="L693" s="133"/>
      <c r="M693" s="133"/>
      <c r="N693" s="133"/>
      <c r="O693" s="133"/>
      <c r="P693" s="133"/>
      <c r="Q693" s="133"/>
      <c r="R693" s="133"/>
      <c r="S693" s="133"/>
      <c r="T693" s="133"/>
      <c r="U693" s="133"/>
      <c r="V693" s="133"/>
      <c r="W693" s="133"/>
      <c r="X693" s="133"/>
      <c r="Y693" s="133"/>
      <c r="Z693" s="133"/>
      <c r="AA693" s="133"/>
    </row>
    <row r="694" spans="1:27" ht="15.75" customHeight="1" x14ac:dyDescent="0.25">
      <c r="A694" s="133"/>
      <c r="B694" s="133"/>
      <c r="C694" s="133"/>
      <c r="D694" s="133"/>
      <c r="E694" s="133"/>
      <c r="F694" s="133"/>
      <c r="G694" s="133"/>
      <c r="H694" s="133"/>
      <c r="I694" s="133"/>
      <c r="K694" s="133"/>
      <c r="L694" s="133"/>
      <c r="M694" s="133"/>
      <c r="N694" s="133"/>
      <c r="O694" s="133"/>
      <c r="P694" s="133"/>
      <c r="Q694" s="133"/>
      <c r="R694" s="133"/>
      <c r="S694" s="133"/>
      <c r="T694" s="133"/>
      <c r="U694" s="133"/>
      <c r="V694" s="133"/>
      <c r="W694" s="133"/>
      <c r="X694" s="133"/>
      <c r="Y694" s="133"/>
      <c r="Z694" s="133"/>
      <c r="AA694" s="133"/>
    </row>
    <row r="695" spans="1:27" ht="15.75" customHeight="1" x14ac:dyDescent="0.25">
      <c r="A695" s="133"/>
      <c r="B695" s="133"/>
      <c r="C695" s="133"/>
      <c r="D695" s="133"/>
      <c r="E695" s="133"/>
      <c r="F695" s="133"/>
      <c r="G695" s="133"/>
      <c r="H695" s="133"/>
      <c r="I695" s="133"/>
      <c r="K695" s="133"/>
      <c r="L695" s="133"/>
      <c r="M695" s="133"/>
      <c r="N695" s="133"/>
      <c r="O695" s="133"/>
      <c r="P695" s="133"/>
      <c r="Q695" s="133"/>
      <c r="R695" s="133"/>
      <c r="S695" s="133"/>
      <c r="T695" s="133"/>
      <c r="U695" s="133"/>
      <c r="V695" s="133"/>
      <c r="W695" s="133"/>
      <c r="X695" s="133"/>
      <c r="Y695" s="133"/>
      <c r="Z695" s="133"/>
      <c r="AA695" s="133"/>
    </row>
    <row r="696" spans="1:27" ht="15.75" customHeight="1" x14ac:dyDescent="0.25">
      <c r="A696" s="133"/>
      <c r="B696" s="133"/>
      <c r="C696" s="133"/>
      <c r="D696" s="133"/>
      <c r="E696" s="133"/>
      <c r="F696" s="133"/>
      <c r="G696" s="133"/>
      <c r="H696" s="133"/>
      <c r="I696" s="133"/>
      <c r="K696" s="133"/>
      <c r="L696" s="133"/>
      <c r="M696" s="133"/>
      <c r="N696" s="133"/>
      <c r="O696" s="133"/>
      <c r="P696" s="133"/>
      <c r="Q696" s="133"/>
      <c r="R696" s="133"/>
      <c r="S696" s="133"/>
      <c r="T696" s="133"/>
      <c r="U696" s="133"/>
      <c r="V696" s="133"/>
      <c r="W696" s="133"/>
      <c r="X696" s="133"/>
      <c r="Y696" s="133"/>
      <c r="Z696" s="133"/>
      <c r="AA696" s="133"/>
    </row>
    <row r="697" spans="1:27" ht="15.75" customHeight="1" x14ac:dyDescent="0.25">
      <c r="A697" s="133"/>
      <c r="B697" s="133"/>
      <c r="C697" s="133"/>
      <c r="D697" s="133"/>
      <c r="E697" s="133"/>
      <c r="F697" s="133"/>
      <c r="G697" s="133"/>
      <c r="H697" s="133"/>
      <c r="I697" s="133"/>
      <c r="K697" s="133"/>
      <c r="L697" s="133"/>
      <c r="M697" s="133"/>
      <c r="N697" s="133"/>
      <c r="O697" s="133"/>
      <c r="P697" s="133"/>
      <c r="Q697" s="133"/>
      <c r="R697" s="133"/>
      <c r="S697" s="133"/>
      <c r="T697" s="133"/>
      <c r="U697" s="133"/>
      <c r="V697" s="133"/>
      <c r="W697" s="133"/>
      <c r="X697" s="133"/>
      <c r="Y697" s="133"/>
      <c r="Z697" s="133"/>
      <c r="AA697" s="133"/>
    </row>
    <row r="698" spans="1:27" ht="15.75" customHeight="1" x14ac:dyDescent="0.25">
      <c r="A698" s="133"/>
      <c r="B698" s="133"/>
      <c r="C698" s="133"/>
      <c r="D698" s="133"/>
      <c r="E698" s="133"/>
      <c r="F698" s="133"/>
      <c r="G698" s="133"/>
      <c r="H698" s="133"/>
      <c r="I698" s="133"/>
      <c r="K698" s="133"/>
      <c r="L698" s="133"/>
      <c r="M698" s="133"/>
      <c r="N698" s="133"/>
      <c r="O698" s="133"/>
      <c r="P698" s="133"/>
      <c r="Q698" s="133"/>
      <c r="R698" s="133"/>
      <c r="S698" s="133"/>
      <c r="T698" s="133"/>
      <c r="U698" s="133"/>
      <c r="V698" s="133"/>
      <c r="W698" s="133"/>
      <c r="X698" s="133"/>
      <c r="Y698" s="133"/>
      <c r="Z698" s="133"/>
      <c r="AA698" s="133"/>
    </row>
    <row r="699" spans="1:27" ht="15.75" customHeight="1" x14ac:dyDescent="0.25">
      <c r="A699" s="133"/>
      <c r="B699" s="133"/>
      <c r="C699" s="133"/>
      <c r="D699" s="133"/>
      <c r="E699" s="133"/>
      <c r="F699" s="133"/>
      <c r="G699" s="133"/>
      <c r="H699" s="133"/>
      <c r="I699" s="133"/>
      <c r="K699" s="133"/>
      <c r="L699" s="133"/>
      <c r="M699" s="133"/>
      <c r="N699" s="133"/>
      <c r="O699" s="133"/>
      <c r="P699" s="133"/>
      <c r="Q699" s="133"/>
      <c r="R699" s="133"/>
      <c r="S699" s="133"/>
      <c r="T699" s="133"/>
      <c r="U699" s="133"/>
      <c r="V699" s="133"/>
      <c r="W699" s="133"/>
      <c r="X699" s="133"/>
      <c r="Y699" s="133"/>
      <c r="Z699" s="133"/>
      <c r="AA699" s="133"/>
    </row>
    <row r="700" spans="1:27" ht="15.75" customHeight="1" x14ac:dyDescent="0.25">
      <c r="A700" s="133"/>
      <c r="B700" s="133"/>
      <c r="C700" s="133"/>
      <c r="D700" s="133"/>
      <c r="E700" s="133"/>
      <c r="F700" s="133"/>
      <c r="G700" s="133"/>
      <c r="H700" s="133"/>
      <c r="I700" s="133"/>
      <c r="K700" s="133"/>
      <c r="L700" s="133"/>
      <c r="M700" s="133"/>
      <c r="N700" s="133"/>
      <c r="O700" s="133"/>
      <c r="P700" s="133"/>
      <c r="Q700" s="133"/>
      <c r="R700" s="133"/>
      <c r="S700" s="133"/>
      <c r="T700" s="133"/>
      <c r="U700" s="133"/>
      <c r="V700" s="133"/>
      <c r="W700" s="133"/>
      <c r="X700" s="133"/>
      <c r="Y700" s="133"/>
      <c r="Z700" s="133"/>
      <c r="AA700" s="133"/>
    </row>
    <row r="701" spans="1:27" ht="15.75" customHeight="1" x14ac:dyDescent="0.25">
      <c r="A701" s="133"/>
      <c r="B701" s="133"/>
      <c r="C701" s="133"/>
      <c r="D701" s="133"/>
      <c r="E701" s="133"/>
      <c r="F701" s="133"/>
      <c r="G701" s="133"/>
      <c r="H701" s="133"/>
      <c r="I701" s="133"/>
      <c r="K701" s="133"/>
      <c r="L701" s="133"/>
      <c r="M701" s="133"/>
      <c r="N701" s="133"/>
      <c r="O701" s="133"/>
      <c r="P701" s="133"/>
      <c r="Q701" s="133"/>
      <c r="R701" s="133"/>
      <c r="S701" s="133"/>
      <c r="T701" s="133"/>
      <c r="U701" s="133"/>
      <c r="V701" s="133"/>
      <c r="W701" s="133"/>
      <c r="X701" s="133"/>
      <c r="Y701" s="133"/>
      <c r="Z701" s="133"/>
      <c r="AA701" s="133"/>
    </row>
    <row r="702" spans="1:27" ht="15.75" customHeight="1" x14ac:dyDescent="0.25">
      <c r="A702" s="133"/>
      <c r="B702" s="133"/>
      <c r="C702" s="133"/>
      <c r="D702" s="133"/>
      <c r="E702" s="133"/>
      <c r="F702" s="133"/>
      <c r="G702" s="133"/>
      <c r="H702" s="133"/>
      <c r="I702" s="133"/>
      <c r="K702" s="133"/>
      <c r="L702" s="133"/>
      <c r="M702" s="133"/>
      <c r="N702" s="133"/>
      <c r="O702" s="133"/>
      <c r="P702" s="133"/>
      <c r="Q702" s="133"/>
      <c r="R702" s="133"/>
      <c r="S702" s="133"/>
      <c r="T702" s="133"/>
      <c r="U702" s="133"/>
      <c r="V702" s="133"/>
      <c r="W702" s="133"/>
      <c r="X702" s="133"/>
      <c r="Y702" s="133"/>
      <c r="Z702" s="133"/>
      <c r="AA702" s="133"/>
    </row>
    <row r="703" spans="1:27" ht="15.75" customHeight="1" x14ac:dyDescent="0.25">
      <c r="A703" s="133"/>
      <c r="B703" s="133"/>
      <c r="C703" s="133"/>
      <c r="D703" s="133"/>
      <c r="E703" s="133"/>
      <c r="F703" s="133"/>
      <c r="G703" s="133"/>
      <c r="H703" s="133"/>
      <c r="I703" s="133"/>
      <c r="K703" s="133"/>
      <c r="L703" s="133"/>
      <c r="M703" s="133"/>
      <c r="N703" s="133"/>
      <c r="O703" s="133"/>
      <c r="P703" s="133"/>
      <c r="Q703" s="133"/>
      <c r="R703" s="133"/>
      <c r="S703" s="133"/>
      <c r="T703" s="133"/>
      <c r="U703" s="133"/>
      <c r="V703" s="133"/>
      <c r="W703" s="133"/>
      <c r="X703" s="133"/>
      <c r="Y703" s="133"/>
      <c r="Z703" s="133"/>
      <c r="AA703" s="133"/>
    </row>
    <row r="704" spans="1:27" ht="15.75" customHeight="1" x14ac:dyDescent="0.25">
      <c r="A704" s="133"/>
      <c r="B704" s="133"/>
      <c r="C704" s="133"/>
      <c r="D704" s="133"/>
      <c r="E704" s="133"/>
      <c r="F704" s="133"/>
      <c r="G704" s="133"/>
      <c r="H704" s="133"/>
      <c r="I704" s="133"/>
      <c r="K704" s="133"/>
      <c r="L704" s="133"/>
      <c r="M704" s="133"/>
      <c r="N704" s="133"/>
      <c r="O704" s="133"/>
      <c r="P704" s="133"/>
      <c r="Q704" s="133"/>
      <c r="R704" s="133"/>
      <c r="S704" s="133"/>
      <c r="T704" s="133"/>
      <c r="U704" s="133"/>
      <c r="V704" s="133"/>
      <c r="W704" s="133"/>
      <c r="X704" s="133"/>
      <c r="Y704" s="133"/>
      <c r="Z704" s="133"/>
      <c r="AA704" s="133"/>
    </row>
    <row r="705" spans="1:27" ht="15.75" customHeight="1" x14ac:dyDescent="0.25">
      <c r="A705" s="133"/>
      <c r="B705" s="133"/>
      <c r="C705" s="133"/>
      <c r="D705" s="133"/>
      <c r="E705" s="133"/>
      <c r="F705" s="133"/>
      <c r="G705" s="133"/>
      <c r="H705" s="133"/>
      <c r="I705" s="133"/>
      <c r="K705" s="133"/>
      <c r="L705" s="133"/>
      <c r="M705" s="133"/>
      <c r="N705" s="133"/>
      <c r="O705" s="133"/>
      <c r="P705" s="133"/>
      <c r="Q705" s="133"/>
      <c r="R705" s="133"/>
      <c r="S705" s="133"/>
      <c r="T705" s="133"/>
      <c r="U705" s="133"/>
      <c r="V705" s="133"/>
      <c r="W705" s="133"/>
      <c r="X705" s="133"/>
      <c r="Y705" s="133"/>
      <c r="Z705" s="133"/>
      <c r="AA705" s="133"/>
    </row>
    <row r="706" spans="1:27" ht="15.75" customHeight="1" x14ac:dyDescent="0.25">
      <c r="A706" s="133"/>
      <c r="B706" s="133"/>
      <c r="C706" s="133"/>
      <c r="D706" s="133"/>
      <c r="E706" s="133"/>
      <c r="F706" s="133"/>
      <c r="G706" s="133"/>
      <c r="H706" s="133"/>
      <c r="I706" s="133"/>
      <c r="K706" s="133"/>
      <c r="L706" s="133"/>
      <c r="M706" s="133"/>
      <c r="N706" s="133"/>
      <c r="O706" s="133"/>
      <c r="P706" s="133"/>
      <c r="Q706" s="133"/>
      <c r="R706" s="133"/>
      <c r="S706" s="133"/>
      <c r="T706" s="133"/>
      <c r="U706" s="133"/>
      <c r="V706" s="133"/>
      <c r="W706" s="133"/>
      <c r="X706" s="133"/>
      <c r="Y706" s="133"/>
      <c r="Z706" s="133"/>
      <c r="AA706" s="133"/>
    </row>
    <row r="707" spans="1:27" ht="15.75" customHeight="1" x14ac:dyDescent="0.25">
      <c r="A707" s="133"/>
      <c r="B707" s="133"/>
      <c r="C707" s="133"/>
      <c r="D707" s="133"/>
      <c r="E707" s="133"/>
      <c r="F707" s="133"/>
      <c r="G707" s="133"/>
      <c r="H707" s="133"/>
      <c r="I707" s="133"/>
      <c r="K707" s="133"/>
      <c r="L707" s="133"/>
      <c r="M707" s="133"/>
      <c r="N707" s="133"/>
      <c r="O707" s="133"/>
      <c r="P707" s="133"/>
      <c r="Q707" s="133"/>
      <c r="R707" s="133"/>
      <c r="S707" s="133"/>
      <c r="T707" s="133"/>
      <c r="U707" s="133"/>
      <c r="V707" s="133"/>
      <c r="W707" s="133"/>
      <c r="X707" s="133"/>
      <c r="Y707" s="133"/>
      <c r="Z707" s="133"/>
      <c r="AA707" s="133"/>
    </row>
    <row r="708" spans="1:27" ht="15.75" customHeight="1" x14ac:dyDescent="0.25">
      <c r="A708" s="133"/>
      <c r="B708" s="133"/>
      <c r="C708" s="133"/>
      <c r="D708" s="133"/>
      <c r="E708" s="133"/>
      <c r="F708" s="133"/>
      <c r="G708" s="133"/>
      <c r="H708" s="133"/>
      <c r="I708" s="133"/>
      <c r="K708" s="133"/>
      <c r="L708" s="133"/>
      <c r="M708" s="133"/>
      <c r="N708" s="133"/>
      <c r="O708" s="133"/>
      <c r="P708" s="133"/>
      <c r="Q708" s="133"/>
      <c r="R708" s="133"/>
      <c r="S708" s="133"/>
      <c r="T708" s="133"/>
      <c r="U708" s="133"/>
      <c r="V708" s="133"/>
      <c r="W708" s="133"/>
      <c r="X708" s="133"/>
      <c r="Y708" s="133"/>
      <c r="Z708" s="133"/>
      <c r="AA708" s="133"/>
    </row>
    <row r="709" spans="1:27" ht="15.75" customHeight="1" x14ac:dyDescent="0.25">
      <c r="A709" s="133"/>
      <c r="B709" s="133"/>
      <c r="C709" s="133"/>
      <c r="D709" s="133"/>
      <c r="E709" s="133"/>
      <c r="F709" s="133"/>
      <c r="G709" s="133"/>
      <c r="H709" s="133"/>
      <c r="I709" s="133"/>
      <c r="K709" s="133"/>
      <c r="L709" s="133"/>
      <c r="M709" s="133"/>
      <c r="N709" s="133"/>
      <c r="O709" s="133"/>
      <c r="P709" s="133"/>
      <c r="Q709" s="133"/>
      <c r="R709" s="133"/>
      <c r="S709" s="133"/>
      <c r="T709" s="133"/>
      <c r="U709" s="133"/>
      <c r="V709" s="133"/>
      <c r="W709" s="133"/>
      <c r="X709" s="133"/>
      <c r="Y709" s="133"/>
      <c r="Z709" s="133"/>
      <c r="AA709" s="133"/>
    </row>
    <row r="710" spans="1:27" ht="15.75" customHeight="1" x14ac:dyDescent="0.25">
      <c r="A710" s="133"/>
      <c r="B710" s="133"/>
      <c r="C710" s="133"/>
      <c r="D710" s="133"/>
      <c r="E710" s="133"/>
      <c r="F710" s="133"/>
      <c r="G710" s="133"/>
      <c r="H710" s="133"/>
      <c r="I710" s="133"/>
      <c r="K710" s="133"/>
      <c r="L710" s="133"/>
      <c r="M710" s="133"/>
      <c r="N710" s="133"/>
      <c r="O710" s="133"/>
      <c r="P710" s="133"/>
      <c r="Q710" s="133"/>
      <c r="R710" s="133"/>
      <c r="S710" s="133"/>
      <c r="T710" s="133"/>
      <c r="U710" s="133"/>
      <c r="V710" s="133"/>
      <c r="W710" s="133"/>
      <c r="X710" s="133"/>
      <c r="Y710" s="133"/>
      <c r="Z710" s="133"/>
      <c r="AA710" s="133"/>
    </row>
    <row r="711" spans="1:27" ht="15.75" customHeight="1" x14ac:dyDescent="0.25">
      <c r="A711" s="133"/>
      <c r="B711" s="133"/>
      <c r="C711" s="133"/>
      <c r="D711" s="133"/>
      <c r="E711" s="133"/>
      <c r="F711" s="133"/>
      <c r="G711" s="133"/>
      <c r="H711" s="133"/>
      <c r="I711" s="133"/>
      <c r="K711" s="133"/>
      <c r="L711" s="133"/>
      <c r="M711" s="133"/>
      <c r="N711" s="133"/>
      <c r="O711" s="133"/>
      <c r="P711" s="133"/>
      <c r="Q711" s="133"/>
      <c r="R711" s="133"/>
      <c r="S711" s="133"/>
      <c r="T711" s="133"/>
      <c r="U711" s="133"/>
      <c r="V711" s="133"/>
      <c r="W711" s="133"/>
      <c r="X711" s="133"/>
      <c r="Y711" s="133"/>
      <c r="Z711" s="133"/>
      <c r="AA711" s="133"/>
    </row>
    <row r="712" spans="1:27" ht="15.75" customHeight="1" x14ac:dyDescent="0.25">
      <c r="A712" s="133"/>
      <c r="B712" s="133"/>
      <c r="C712" s="133"/>
      <c r="D712" s="133"/>
      <c r="E712" s="133"/>
      <c r="F712" s="133"/>
      <c r="G712" s="133"/>
      <c r="H712" s="133"/>
      <c r="I712" s="133"/>
      <c r="K712" s="133"/>
      <c r="L712" s="133"/>
      <c r="M712" s="133"/>
      <c r="N712" s="133"/>
      <c r="O712" s="133"/>
      <c r="P712" s="133"/>
      <c r="Q712" s="133"/>
      <c r="R712" s="133"/>
      <c r="S712" s="133"/>
      <c r="T712" s="133"/>
      <c r="U712" s="133"/>
      <c r="V712" s="133"/>
      <c r="W712" s="133"/>
      <c r="X712" s="133"/>
      <c r="Y712" s="133"/>
      <c r="Z712" s="133"/>
      <c r="AA712" s="133"/>
    </row>
    <row r="713" spans="1:27" ht="15.75" customHeight="1" x14ac:dyDescent="0.25">
      <c r="A713" s="133"/>
      <c r="B713" s="133"/>
      <c r="C713" s="133"/>
      <c r="D713" s="133"/>
      <c r="E713" s="133"/>
      <c r="F713" s="133"/>
      <c r="G713" s="133"/>
      <c r="H713" s="133"/>
      <c r="I713" s="133"/>
      <c r="K713" s="133"/>
      <c r="L713" s="133"/>
      <c r="M713" s="133"/>
      <c r="N713" s="133"/>
      <c r="O713" s="133"/>
      <c r="P713" s="133"/>
      <c r="Q713" s="133"/>
      <c r="R713" s="133"/>
      <c r="S713" s="133"/>
      <c r="T713" s="133"/>
      <c r="U713" s="133"/>
      <c r="V713" s="133"/>
      <c r="W713" s="133"/>
      <c r="X713" s="133"/>
      <c r="Y713" s="133"/>
      <c r="Z713" s="133"/>
      <c r="AA713" s="133"/>
    </row>
    <row r="714" spans="1:27" ht="15.75" customHeight="1" x14ac:dyDescent="0.25">
      <c r="A714" s="133"/>
      <c r="B714" s="133"/>
      <c r="C714" s="133"/>
      <c r="D714" s="133"/>
      <c r="E714" s="133"/>
      <c r="F714" s="133"/>
      <c r="G714" s="133"/>
      <c r="H714" s="133"/>
      <c r="I714" s="133"/>
      <c r="K714" s="133"/>
      <c r="L714" s="133"/>
      <c r="M714" s="133"/>
      <c r="N714" s="133"/>
      <c r="O714" s="133"/>
      <c r="P714" s="133"/>
      <c r="Q714" s="133"/>
      <c r="R714" s="133"/>
      <c r="S714" s="133"/>
      <c r="T714" s="133"/>
      <c r="U714" s="133"/>
      <c r="V714" s="133"/>
      <c r="W714" s="133"/>
      <c r="X714" s="133"/>
      <c r="Y714" s="133"/>
      <c r="Z714" s="133"/>
      <c r="AA714" s="133"/>
    </row>
    <row r="715" spans="1:27" ht="15.75" customHeight="1" x14ac:dyDescent="0.25">
      <c r="A715" s="133"/>
      <c r="B715" s="133"/>
      <c r="C715" s="133"/>
      <c r="D715" s="133"/>
      <c r="E715" s="133"/>
      <c r="F715" s="133"/>
      <c r="G715" s="133"/>
      <c r="H715" s="133"/>
      <c r="I715" s="133"/>
      <c r="K715" s="133"/>
      <c r="L715" s="133"/>
      <c r="M715" s="133"/>
      <c r="N715" s="133"/>
      <c r="O715" s="133"/>
      <c r="P715" s="133"/>
      <c r="Q715" s="133"/>
      <c r="R715" s="133"/>
      <c r="S715" s="133"/>
      <c r="T715" s="133"/>
      <c r="U715" s="133"/>
      <c r="V715" s="133"/>
      <c r="W715" s="133"/>
      <c r="X715" s="133"/>
      <c r="Y715" s="133"/>
      <c r="Z715" s="133"/>
      <c r="AA715" s="133"/>
    </row>
    <row r="716" spans="1:27" ht="15.75" customHeight="1" x14ac:dyDescent="0.25">
      <c r="A716" s="133"/>
      <c r="B716" s="133"/>
      <c r="C716" s="133"/>
      <c r="D716" s="133"/>
      <c r="E716" s="133"/>
      <c r="F716" s="133"/>
      <c r="G716" s="133"/>
      <c r="H716" s="133"/>
      <c r="I716" s="133"/>
      <c r="K716" s="133"/>
      <c r="L716" s="133"/>
      <c r="M716" s="133"/>
      <c r="N716" s="133"/>
      <c r="O716" s="133"/>
      <c r="P716" s="133"/>
      <c r="Q716" s="133"/>
      <c r="R716" s="133"/>
      <c r="S716" s="133"/>
      <c r="T716" s="133"/>
      <c r="U716" s="133"/>
      <c r="V716" s="133"/>
      <c r="W716" s="133"/>
      <c r="X716" s="133"/>
      <c r="Y716" s="133"/>
      <c r="Z716" s="133"/>
      <c r="AA716" s="133"/>
    </row>
    <row r="717" spans="1:27" ht="15.75" customHeight="1" x14ac:dyDescent="0.25">
      <c r="A717" s="133"/>
      <c r="B717" s="133"/>
      <c r="C717" s="133"/>
      <c r="D717" s="133"/>
      <c r="E717" s="133"/>
      <c r="F717" s="133"/>
      <c r="G717" s="133"/>
      <c r="H717" s="133"/>
      <c r="I717" s="133"/>
      <c r="K717" s="133"/>
      <c r="L717" s="133"/>
      <c r="M717" s="133"/>
      <c r="N717" s="133"/>
      <c r="O717" s="133"/>
      <c r="P717" s="133"/>
      <c r="Q717" s="133"/>
      <c r="R717" s="133"/>
      <c r="S717" s="133"/>
      <c r="T717" s="133"/>
      <c r="U717" s="133"/>
      <c r="V717" s="133"/>
      <c r="W717" s="133"/>
      <c r="X717" s="133"/>
      <c r="Y717" s="133"/>
      <c r="Z717" s="133"/>
      <c r="AA717" s="133"/>
    </row>
    <row r="718" spans="1:27" ht="15.75" customHeight="1" x14ac:dyDescent="0.25">
      <c r="A718" s="133"/>
      <c r="B718" s="133"/>
      <c r="C718" s="133"/>
      <c r="D718" s="133"/>
      <c r="E718" s="133"/>
      <c r="F718" s="133"/>
      <c r="G718" s="133"/>
      <c r="H718" s="133"/>
      <c r="I718" s="133"/>
      <c r="K718" s="133"/>
      <c r="L718" s="133"/>
      <c r="M718" s="133"/>
      <c r="N718" s="133"/>
      <c r="O718" s="133"/>
      <c r="P718" s="133"/>
      <c r="Q718" s="133"/>
      <c r="R718" s="133"/>
      <c r="S718" s="133"/>
      <c r="T718" s="133"/>
      <c r="U718" s="133"/>
      <c r="V718" s="133"/>
      <c r="W718" s="133"/>
      <c r="X718" s="133"/>
      <c r="Y718" s="133"/>
      <c r="Z718" s="133"/>
      <c r="AA718" s="133"/>
    </row>
    <row r="719" spans="1:27" ht="15.75" customHeight="1" x14ac:dyDescent="0.25">
      <c r="A719" s="133"/>
      <c r="B719" s="133"/>
      <c r="C719" s="133"/>
      <c r="D719" s="133"/>
      <c r="E719" s="133"/>
      <c r="F719" s="133"/>
      <c r="G719" s="133"/>
      <c r="H719" s="133"/>
      <c r="I719" s="133"/>
      <c r="K719" s="133"/>
      <c r="L719" s="133"/>
      <c r="M719" s="133"/>
      <c r="N719" s="133"/>
      <c r="O719" s="133"/>
      <c r="P719" s="133"/>
      <c r="Q719" s="133"/>
      <c r="R719" s="133"/>
      <c r="S719" s="133"/>
      <c r="T719" s="133"/>
      <c r="U719" s="133"/>
      <c r="V719" s="133"/>
      <c r="W719" s="133"/>
      <c r="X719" s="133"/>
      <c r="Y719" s="133"/>
      <c r="Z719" s="133"/>
      <c r="AA719" s="133"/>
    </row>
    <row r="720" spans="1:27" ht="15.75" customHeight="1" x14ac:dyDescent="0.25">
      <c r="A720" s="133"/>
      <c r="B720" s="133"/>
      <c r="C720" s="133"/>
      <c r="D720" s="133"/>
      <c r="E720" s="133"/>
      <c r="F720" s="133"/>
      <c r="G720" s="133"/>
      <c r="H720" s="133"/>
      <c r="I720" s="133"/>
      <c r="K720" s="133"/>
      <c r="L720" s="133"/>
      <c r="M720" s="133"/>
      <c r="N720" s="133"/>
      <c r="O720" s="133"/>
      <c r="P720" s="133"/>
      <c r="Q720" s="133"/>
      <c r="R720" s="133"/>
      <c r="S720" s="133"/>
      <c r="T720" s="133"/>
      <c r="U720" s="133"/>
      <c r="V720" s="133"/>
      <c r="W720" s="133"/>
      <c r="X720" s="133"/>
      <c r="Y720" s="133"/>
      <c r="Z720" s="133"/>
      <c r="AA720" s="133"/>
    </row>
    <row r="721" spans="1:27" ht="15.75" customHeight="1" x14ac:dyDescent="0.25">
      <c r="A721" s="133"/>
      <c r="B721" s="133"/>
      <c r="C721" s="133"/>
      <c r="D721" s="133"/>
      <c r="E721" s="133"/>
      <c r="F721" s="133"/>
      <c r="G721" s="133"/>
      <c r="H721" s="133"/>
      <c r="I721" s="133"/>
      <c r="K721" s="133"/>
      <c r="L721" s="133"/>
      <c r="M721" s="133"/>
      <c r="N721" s="133"/>
      <c r="O721" s="133"/>
      <c r="P721" s="133"/>
      <c r="Q721" s="133"/>
      <c r="R721" s="133"/>
      <c r="S721" s="133"/>
      <c r="T721" s="133"/>
      <c r="U721" s="133"/>
      <c r="V721" s="133"/>
      <c r="W721" s="133"/>
      <c r="X721" s="133"/>
      <c r="Y721" s="133"/>
      <c r="Z721" s="133"/>
      <c r="AA721" s="133"/>
    </row>
    <row r="722" spans="1:27" ht="15.75" customHeight="1" x14ac:dyDescent="0.25">
      <c r="A722" s="133"/>
      <c r="B722" s="133"/>
      <c r="C722" s="133"/>
      <c r="D722" s="133"/>
      <c r="E722" s="133"/>
      <c r="F722" s="133"/>
      <c r="G722" s="133"/>
      <c r="H722" s="133"/>
      <c r="I722" s="133"/>
      <c r="K722" s="133"/>
      <c r="L722" s="133"/>
      <c r="M722" s="133"/>
      <c r="N722" s="133"/>
      <c r="O722" s="133"/>
      <c r="P722" s="133"/>
      <c r="Q722" s="133"/>
      <c r="R722" s="133"/>
      <c r="S722" s="133"/>
      <c r="T722" s="133"/>
      <c r="U722" s="133"/>
      <c r="V722" s="133"/>
      <c r="W722" s="133"/>
      <c r="X722" s="133"/>
      <c r="Y722" s="133"/>
      <c r="Z722" s="133"/>
      <c r="AA722" s="133"/>
    </row>
    <row r="723" spans="1:27" ht="15.75" customHeight="1" x14ac:dyDescent="0.25">
      <c r="A723" s="133"/>
      <c r="B723" s="133"/>
      <c r="C723" s="133"/>
      <c r="D723" s="133"/>
      <c r="E723" s="133"/>
      <c r="F723" s="133"/>
      <c r="G723" s="133"/>
      <c r="H723" s="133"/>
      <c r="I723" s="133"/>
      <c r="K723" s="133"/>
      <c r="L723" s="133"/>
      <c r="M723" s="133"/>
      <c r="N723" s="133"/>
      <c r="O723" s="133"/>
      <c r="P723" s="133"/>
      <c r="Q723" s="133"/>
      <c r="R723" s="133"/>
      <c r="S723" s="133"/>
      <c r="T723" s="133"/>
      <c r="U723" s="133"/>
      <c r="V723" s="133"/>
      <c r="W723" s="133"/>
      <c r="X723" s="133"/>
      <c r="Y723" s="133"/>
      <c r="Z723" s="133"/>
      <c r="AA723" s="133"/>
    </row>
    <row r="724" spans="1:27" ht="15.75" customHeight="1" x14ac:dyDescent="0.25">
      <c r="A724" s="133"/>
      <c r="B724" s="133"/>
      <c r="C724" s="133"/>
      <c r="D724" s="133"/>
      <c r="E724" s="133"/>
      <c r="F724" s="133"/>
      <c r="G724" s="133"/>
      <c r="H724" s="133"/>
      <c r="I724" s="133"/>
      <c r="K724" s="133"/>
      <c r="L724" s="133"/>
      <c r="M724" s="133"/>
      <c r="N724" s="133"/>
      <c r="O724" s="133"/>
      <c r="P724" s="133"/>
      <c r="Q724" s="133"/>
      <c r="R724" s="133"/>
      <c r="S724" s="133"/>
      <c r="T724" s="133"/>
      <c r="U724" s="133"/>
      <c r="V724" s="133"/>
      <c r="W724" s="133"/>
      <c r="X724" s="133"/>
      <c r="Y724" s="133"/>
      <c r="Z724" s="133"/>
      <c r="AA724" s="133"/>
    </row>
    <row r="725" spans="1:27" ht="15.75" customHeight="1" x14ac:dyDescent="0.25">
      <c r="A725" s="133"/>
      <c r="B725" s="133"/>
      <c r="C725" s="133"/>
      <c r="D725" s="133"/>
      <c r="E725" s="133"/>
      <c r="F725" s="133"/>
      <c r="G725" s="133"/>
      <c r="H725" s="133"/>
      <c r="I725" s="133"/>
      <c r="K725" s="133"/>
      <c r="L725" s="133"/>
      <c r="M725" s="133"/>
      <c r="N725" s="133"/>
      <c r="O725" s="133"/>
      <c r="P725" s="133"/>
      <c r="Q725" s="133"/>
      <c r="R725" s="133"/>
      <c r="S725" s="133"/>
      <c r="T725" s="133"/>
      <c r="U725" s="133"/>
      <c r="V725" s="133"/>
      <c r="W725" s="133"/>
      <c r="X725" s="133"/>
      <c r="Y725" s="133"/>
      <c r="Z725" s="133"/>
      <c r="AA725" s="133"/>
    </row>
    <row r="726" spans="1:27" ht="15.75" customHeight="1" x14ac:dyDescent="0.25">
      <c r="A726" s="133"/>
      <c r="B726" s="133"/>
      <c r="C726" s="133"/>
      <c r="D726" s="133"/>
      <c r="E726" s="133"/>
      <c r="F726" s="133"/>
      <c r="G726" s="133"/>
      <c r="H726" s="133"/>
      <c r="I726" s="133"/>
      <c r="K726" s="133"/>
      <c r="L726" s="133"/>
      <c r="M726" s="133"/>
      <c r="N726" s="133"/>
      <c r="O726" s="133"/>
      <c r="P726" s="133"/>
      <c r="Q726" s="133"/>
      <c r="R726" s="133"/>
      <c r="S726" s="133"/>
      <c r="T726" s="133"/>
      <c r="U726" s="133"/>
      <c r="V726" s="133"/>
      <c r="W726" s="133"/>
      <c r="X726" s="133"/>
      <c r="Y726" s="133"/>
      <c r="Z726" s="133"/>
      <c r="AA726" s="133"/>
    </row>
    <row r="727" spans="1:27" ht="15.75" customHeight="1" x14ac:dyDescent="0.25">
      <c r="A727" s="133"/>
      <c r="B727" s="133"/>
      <c r="C727" s="133"/>
      <c r="D727" s="133"/>
      <c r="E727" s="133"/>
      <c r="F727" s="133"/>
      <c r="G727" s="133"/>
      <c r="H727" s="133"/>
      <c r="I727" s="133"/>
      <c r="K727" s="133"/>
      <c r="L727" s="133"/>
      <c r="M727" s="133"/>
      <c r="N727" s="133"/>
      <c r="O727" s="133"/>
      <c r="P727" s="133"/>
      <c r="Q727" s="133"/>
      <c r="R727" s="133"/>
      <c r="S727" s="133"/>
      <c r="T727" s="133"/>
      <c r="U727" s="133"/>
      <c r="V727" s="133"/>
      <c r="W727" s="133"/>
      <c r="X727" s="133"/>
      <c r="Y727" s="133"/>
      <c r="Z727" s="133"/>
      <c r="AA727" s="133"/>
    </row>
    <row r="728" spans="1:27" ht="15.75" customHeight="1" x14ac:dyDescent="0.25">
      <c r="A728" s="133"/>
      <c r="B728" s="133"/>
      <c r="C728" s="133"/>
      <c r="D728" s="133"/>
      <c r="E728" s="133"/>
      <c r="F728" s="133"/>
      <c r="G728" s="133"/>
      <c r="H728" s="133"/>
      <c r="I728" s="133"/>
      <c r="K728" s="133"/>
      <c r="L728" s="133"/>
      <c r="M728" s="133"/>
      <c r="N728" s="133"/>
      <c r="O728" s="133"/>
      <c r="P728" s="133"/>
      <c r="Q728" s="133"/>
      <c r="R728" s="133"/>
      <c r="S728" s="133"/>
      <c r="T728" s="133"/>
      <c r="U728" s="133"/>
      <c r="V728" s="133"/>
      <c r="W728" s="133"/>
      <c r="X728" s="133"/>
      <c r="Y728" s="133"/>
      <c r="Z728" s="133"/>
      <c r="AA728" s="133"/>
    </row>
    <row r="729" spans="1:27" ht="15.75" customHeight="1" x14ac:dyDescent="0.25">
      <c r="A729" s="133"/>
      <c r="B729" s="133"/>
      <c r="C729" s="133"/>
      <c r="D729" s="133"/>
      <c r="E729" s="133"/>
      <c r="F729" s="133"/>
      <c r="G729" s="133"/>
      <c r="H729" s="133"/>
      <c r="I729" s="133"/>
      <c r="K729" s="133"/>
      <c r="L729" s="133"/>
      <c r="M729" s="133"/>
      <c r="N729" s="133"/>
      <c r="O729" s="133"/>
      <c r="P729" s="133"/>
      <c r="Q729" s="133"/>
      <c r="R729" s="133"/>
      <c r="S729" s="133"/>
      <c r="T729" s="133"/>
      <c r="U729" s="133"/>
      <c r="V729" s="133"/>
      <c r="W729" s="133"/>
      <c r="X729" s="133"/>
      <c r="Y729" s="133"/>
      <c r="Z729" s="133"/>
      <c r="AA729" s="133"/>
    </row>
    <row r="730" spans="1:27" ht="15.75" customHeight="1" x14ac:dyDescent="0.25">
      <c r="A730" s="133"/>
      <c r="B730" s="133"/>
      <c r="C730" s="133"/>
      <c r="D730" s="133"/>
      <c r="E730" s="133"/>
      <c r="F730" s="133"/>
      <c r="G730" s="133"/>
      <c r="H730" s="133"/>
      <c r="I730" s="133"/>
      <c r="K730" s="133"/>
      <c r="L730" s="133"/>
      <c r="M730" s="133"/>
      <c r="N730" s="133"/>
      <c r="O730" s="133"/>
      <c r="P730" s="133"/>
      <c r="Q730" s="133"/>
      <c r="R730" s="133"/>
      <c r="S730" s="133"/>
      <c r="T730" s="133"/>
      <c r="U730" s="133"/>
      <c r="V730" s="133"/>
      <c r="W730" s="133"/>
      <c r="X730" s="133"/>
      <c r="Y730" s="133"/>
      <c r="Z730" s="133"/>
      <c r="AA730" s="133"/>
    </row>
    <row r="731" spans="1:27" ht="15.75" customHeight="1" x14ac:dyDescent="0.25">
      <c r="A731" s="133"/>
      <c r="B731" s="133"/>
      <c r="C731" s="133"/>
      <c r="D731" s="133"/>
      <c r="E731" s="133"/>
      <c r="F731" s="133"/>
      <c r="G731" s="133"/>
      <c r="H731" s="133"/>
      <c r="I731" s="133"/>
      <c r="K731" s="133"/>
      <c r="L731" s="133"/>
      <c r="M731" s="133"/>
      <c r="N731" s="133"/>
      <c r="O731" s="133"/>
      <c r="P731" s="133"/>
      <c r="Q731" s="133"/>
      <c r="R731" s="133"/>
      <c r="S731" s="133"/>
      <c r="T731" s="133"/>
      <c r="U731" s="133"/>
      <c r="V731" s="133"/>
      <c r="W731" s="133"/>
      <c r="X731" s="133"/>
      <c r="Y731" s="133"/>
      <c r="Z731" s="133"/>
      <c r="AA731" s="133"/>
    </row>
    <row r="732" spans="1:27" ht="15.75" customHeight="1" x14ac:dyDescent="0.25">
      <c r="A732" s="133"/>
      <c r="B732" s="133"/>
      <c r="C732" s="133"/>
      <c r="D732" s="133"/>
      <c r="E732" s="133"/>
      <c r="F732" s="133"/>
      <c r="G732" s="133"/>
      <c r="H732" s="133"/>
      <c r="I732" s="133"/>
      <c r="K732" s="133"/>
      <c r="L732" s="133"/>
      <c r="M732" s="133"/>
      <c r="N732" s="133"/>
      <c r="O732" s="133"/>
      <c r="P732" s="133"/>
      <c r="Q732" s="133"/>
      <c r="R732" s="133"/>
      <c r="S732" s="133"/>
      <c r="T732" s="133"/>
      <c r="U732" s="133"/>
      <c r="V732" s="133"/>
      <c r="W732" s="133"/>
      <c r="X732" s="133"/>
      <c r="Y732" s="133"/>
      <c r="Z732" s="133"/>
      <c r="AA732" s="133"/>
    </row>
    <row r="733" spans="1:27" ht="15.75" customHeight="1" x14ac:dyDescent="0.25">
      <c r="A733" s="133"/>
      <c r="B733" s="133"/>
      <c r="C733" s="133"/>
      <c r="D733" s="133"/>
      <c r="E733" s="133"/>
      <c r="F733" s="133"/>
      <c r="G733" s="133"/>
      <c r="H733" s="133"/>
      <c r="I733" s="133"/>
      <c r="K733" s="133"/>
      <c r="L733" s="133"/>
      <c r="M733" s="133"/>
      <c r="N733" s="133"/>
      <c r="O733" s="133"/>
      <c r="P733" s="133"/>
      <c r="Q733" s="133"/>
      <c r="R733" s="133"/>
      <c r="S733" s="133"/>
      <c r="T733" s="133"/>
      <c r="U733" s="133"/>
      <c r="V733" s="133"/>
      <c r="W733" s="133"/>
      <c r="X733" s="133"/>
      <c r="Y733" s="133"/>
      <c r="Z733" s="133"/>
      <c r="AA733" s="133"/>
    </row>
    <row r="734" spans="1:27" ht="15.75" customHeight="1" x14ac:dyDescent="0.25">
      <c r="A734" s="133"/>
      <c r="B734" s="133"/>
      <c r="C734" s="133"/>
      <c r="D734" s="133"/>
      <c r="E734" s="133"/>
      <c r="F734" s="133"/>
      <c r="G734" s="133"/>
      <c r="H734" s="133"/>
      <c r="I734" s="133"/>
      <c r="K734" s="133"/>
      <c r="L734" s="133"/>
      <c r="M734" s="133"/>
      <c r="N734" s="133"/>
      <c r="O734" s="133"/>
      <c r="P734" s="133"/>
      <c r="Q734" s="133"/>
      <c r="R734" s="133"/>
      <c r="S734" s="133"/>
      <c r="T734" s="133"/>
      <c r="U734" s="133"/>
      <c r="V734" s="133"/>
      <c r="W734" s="133"/>
      <c r="X734" s="133"/>
      <c r="Y734" s="133"/>
      <c r="Z734" s="133"/>
      <c r="AA734" s="133"/>
    </row>
    <row r="735" spans="1:27" ht="15.75" customHeight="1" x14ac:dyDescent="0.25">
      <c r="A735" s="133"/>
      <c r="B735" s="133"/>
      <c r="C735" s="133"/>
      <c r="D735" s="133"/>
      <c r="E735" s="133"/>
      <c r="F735" s="133"/>
      <c r="G735" s="133"/>
      <c r="H735" s="133"/>
      <c r="I735" s="133"/>
      <c r="K735" s="133"/>
      <c r="L735" s="133"/>
      <c r="M735" s="133"/>
      <c r="N735" s="133"/>
      <c r="O735" s="133"/>
      <c r="P735" s="133"/>
      <c r="Q735" s="133"/>
      <c r="R735" s="133"/>
      <c r="S735" s="133"/>
      <c r="T735" s="133"/>
      <c r="U735" s="133"/>
      <c r="V735" s="133"/>
      <c r="W735" s="133"/>
      <c r="X735" s="133"/>
      <c r="Y735" s="133"/>
      <c r="Z735" s="133"/>
      <c r="AA735" s="133"/>
    </row>
    <row r="736" spans="1:27" ht="15.75" customHeight="1" x14ac:dyDescent="0.25">
      <c r="A736" s="133"/>
      <c r="B736" s="133"/>
      <c r="C736" s="133"/>
      <c r="D736" s="133"/>
      <c r="E736" s="133"/>
      <c r="F736" s="133"/>
      <c r="G736" s="133"/>
      <c r="H736" s="133"/>
      <c r="I736" s="133"/>
      <c r="K736" s="133"/>
      <c r="L736" s="133"/>
      <c r="M736" s="133"/>
      <c r="N736" s="133"/>
      <c r="O736" s="133"/>
      <c r="P736" s="133"/>
      <c r="Q736" s="133"/>
      <c r="R736" s="133"/>
      <c r="S736" s="133"/>
      <c r="T736" s="133"/>
      <c r="U736" s="133"/>
      <c r="V736" s="133"/>
      <c r="W736" s="133"/>
      <c r="X736" s="133"/>
      <c r="Y736" s="133"/>
      <c r="Z736" s="133"/>
      <c r="AA736" s="133"/>
    </row>
    <row r="737" spans="1:27" ht="15.75" customHeight="1" x14ac:dyDescent="0.25">
      <c r="A737" s="133"/>
      <c r="B737" s="133"/>
      <c r="C737" s="133"/>
      <c r="D737" s="133"/>
      <c r="E737" s="133"/>
      <c r="F737" s="133"/>
      <c r="G737" s="133"/>
      <c r="H737" s="133"/>
      <c r="I737" s="133"/>
      <c r="K737" s="133"/>
      <c r="L737" s="133"/>
      <c r="M737" s="133"/>
      <c r="N737" s="133"/>
      <c r="O737" s="133"/>
      <c r="P737" s="133"/>
      <c r="Q737" s="133"/>
      <c r="R737" s="133"/>
      <c r="S737" s="133"/>
      <c r="T737" s="133"/>
      <c r="U737" s="133"/>
      <c r="V737" s="133"/>
      <c r="W737" s="133"/>
      <c r="X737" s="133"/>
      <c r="Y737" s="133"/>
      <c r="Z737" s="133"/>
      <c r="AA737" s="133"/>
    </row>
    <row r="738" spans="1:27" ht="15.75" customHeight="1" x14ac:dyDescent="0.25">
      <c r="A738" s="133"/>
      <c r="B738" s="133"/>
      <c r="C738" s="133"/>
      <c r="D738" s="133"/>
      <c r="E738" s="133"/>
      <c r="F738" s="133"/>
      <c r="G738" s="133"/>
      <c r="H738" s="133"/>
      <c r="I738" s="133"/>
      <c r="K738" s="133"/>
      <c r="L738" s="133"/>
      <c r="M738" s="133"/>
      <c r="N738" s="133"/>
      <c r="O738" s="133"/>
      <c r="P738" s="133"/>
      <c r="Q738" s="133"/>
      <c r="R738" s="133"/>
      <c r="S738" s="133"/>
      <c r="T738" s="133"/>
      <c r="U738" s="133"/>
      <c r="V738" s="133"/>
      <c r="W738" s="133"/>
      <c r="X738" s="133"/>
      <c r="Y738" s="133"/>
      <c r="Z738" s="133"/>
      <c r="AA738" s="133"/>
    </row>
    <row r="739" spans="1:27" ht="15.75" customHeight="1" x14ac:dyDescent="0.25">
      <c r="A739" s="133"/>
      <c r="B739" s="133"/>
      <c r="C739" s="133"/>
      <c r="D739" s="133"/>
      <c r="E739" s="133"/>
      <c r="F739" s="133"/>
      <c r="G739" s="133"/>
      <c r="H739" s="133"/>
      <c r="I739" s="133"/>
      <c r="K739" s="133"/>
      <c r="L739" s="133"/>
      <c r="M739" s="133"/>
      <c r="N739" s="133"/>
      <c r="O739" s="133"/>
      <c r="P739" s="133"/>
      <c r="Q739" s="133"/>
      <c r="R739" s="133"/>
      <c r="S739" s="133"/>
      <c r="T739" s="133"/>
      <c r="U739" s="133"/>
      <c r="V739" s="133"/>
      <c r="W739" s="133"/>
      <c r="X739" s="133"/>
      <c r="Y739" s="133"/>
      <c r="Z739" s="133"/>
      <c r="AA739" s="133"/>
    </row>
    <row r="740" spans="1:27" ht="15.75" customHeight="1" x14ac:dyDescent="0.25">
      <c r="A740" s="133"/>
      <c r="B740" s="133"/>
      <c r="C740" s="133"/>
      <c r="D740" s="133"/>
      <c r="E740" s="133"/>
      <c r="F740" s="133"/>
      <c r="G740" s="133"/>
      <c r="H740" s="133"/>
      <c r="I740" s="133"/>
      <c r="K740" s="133"/>
      <c r="L740" s="133"/>
      <c r="M740" s="133"/>
      <c r="N740" s="133"/>
      <c r="O740" s="133"/>
      <c r="P740" s="133"/>
      <c r="Q740" s="133"/>
      <c r="R740" s="133"/>
      <c r="S740" s="133"/>
      <c r="T740" s="133"/>
      <c r="U740" s="133"/>
      <c r="V740" s="133"/>
      <c r="W740" s="133"/>
      <c r="X740" s="133"/>
      <c r="Y740" s="133"/>
      <c r="Z740" s="133"/>
      <c r="AA740" s="133"/>
    </row>
    <row r="741" spans="1:27" ht="15.75" customHeight="1" x14ac:dyDescent="0.25">
      <c r="A741" s="133"/>
      <c r="B741" s="133"/>
      <c r="C741" s="133"/>
      <c r="D741" s="133"/>
      <c r="E741" s="133"/>
      <c r="F741" s="133"/>
      <c r="G741" s="133"/>
      <c r="H741" s="133"/>
      <c r="I741" s="133"/>
      <c r="K741" s="133"/>
      <c r="L741" s="133"/>
      <c r="M741" s="133"/>
      <c r="N741" s="133"/>
      <c r="O741" s="133"/>
      <c r="P741" s="133"/>
      <c r="Q741" s="133"/>
      <c r="R741" s="133"/>
      <c r="S741" s="133"/>
      <c r="T741" s="133"/>
      <c r="U741" s="133"/>
      <c r="V741" s="133"/>
      <c r="W741" s="133"/>
      <c r="X741" s="133"/>
      <c r="Y741" s="133"/>
      <c r="Z741" s="133"/>
      <c r="AA741" s="133"/>
    </row>
    <row r="742" spans="1:27" ht="15.75" customHeight="1" x14ac:dyDescent="0.25">
      <c r="A742" s="133"/>
      <c r="B742" s="133"/>
      <c r="C742" s="133"/>
      <c r="D742" s="133"/>
      <c r="E742" s="133"/>
      <c r="F742" s="133"/>
      <c r="G742" s="133"/>
      <c r="H742" s="133"/>
      <c r="I742" s="133"/>
      <c r="K742" s="133"/>
      <c r="L742" s="133"/>
      <c r="M742" s="133"/>
      <c r="N742" s="133"/>
      <c r="O742" s="133"/>
      <c r="P742" s="133"/>
      <c r="Q742" s="133"/>
      <c r="R742" s="133"/>
      <c r="S742" s="133"/>
      <c r="T742" s="133"/>
      <c r="U742" s="133"/>
      <c r="V742" s="133"/>
      <c r="W742" s="133"/>
      <c r="X742" s="133"/>
      <c r="Y742" s="133"/>
      <c r="Z742" s="133"/>
      <c r="AA742" s="133"/>
    </row>
    <row r="743" spans="1:27" ht="15.75" customHeight="1" x14ac:dyDescent="0.25">
      <c r="A743" s="133"/>
      <c r="B743" s="133"/>
      <c r="C743" s="133"/>
      <c r="D743" s="133"/>
      <c r="E743" s="133"/>
      <c r="F743" s="133"/>
      <c r="G743" s="133"/>
      <c r="H743" s="133"/>
      <c r="I743" s="133"/>
      <c r="K743" s="133"/>
      <c r="L743" s="133"/>
      <c r="M743" s="133"/>
      <c r="N743" s="133"/>
      <c r="O743" s="133"/>
      <c r="P743" s="133"/>
      <c r="Q743" s="133"/>
      <c r="R743" s="133"/>
      <c r="S743" s="133"/>
      <c r="T743" s="133"/>
      <c r="U743" s="133"/>
      <c r="V743" s="133"/>
      <c r="W743" s="133"/>
      <c r="X743" s="133"/>
      <c r="Y743" s="133"/>
      <c r="Z743" s="133"/>
      <c r="AA743" s="133"/>
    </row>
    <row r="744" spans="1:27" ht="15.75" customHeight="1" x14ac:dyDescent="0.25">
      <c r="A744" s="133"/>
      <c r="B744" s="133"/>
      <c r="C744" s="133"/>
      <c r="D744" s="133"/>
      <c r="E744" s="133"/>
      <c r="F744" s="133"/>
      <c r="G744" s="133"/>
      <c r="H744" s="133"/>
      <c r="I744" s="133"/>
      <c r="K744" s="133"/>
      <c r="L744" s="133"/>
      <c r="M744" s="133"/>
      <c r="N744" s="133"/>
      <c r="O744" s="133"/>
      <c r="P744" s="133"/>
      <c r="Q744" s="133"/>
      <c r="R744" s="133"/>
      <c r="S744" s="133"/>
      <c r="T744" s="133"/>
      <c r="U744" s="133"/>
      <c r="V744" s="133"/>
      <c r="W744" s="133"/>
      <c r="X744" s="133"/>
      <c r="Y744" s="133"/>
      <c r="Z744" s="133"/>
      <c r="AA744" s="133"/>
    </row>
    <row r="745" spans="1:27" ht="15.75" customHeight="1" x14ac:dyDescent="0.25">
      <c r="A745" s="133"/>
      <c r="B745" s="133"/>
      <c r="C745" s="133"/>
      <c r="D745" s="133"/>
      <c r="E745" s="133"/>
      <c r="F745" s="133"/>
      <c r="G745" s="133"/>
      <c r="H745" s="133"/>
      <c r="I745" s="133"/>
      <c r="K745" s="133"/>
      <c r="L745" s="133"/>
      <c r="M745" s="133"/>
      <c r="N745" s="133"/>
      <c r="O745" s="133"/>
      <c r="P745" s="133"/>
      <c r="Q745" s="133"/>
      <c r="R745" s="133"/>
      <c r="S745" s="133"/>
      <c r="T745" s="133"/>
      <c r="U745" s="133"/>
      <c r="V745" s="133"/>
      <c r="W745" s="133"/>
      <c r="X745" s="133"/>
      <c r="Y745" s="133"/>
      <c r="Z745" s="133"/>
      <c r="AA745" s="133"/>
    </row>
    <row r="746" spans="1:27" ht="15.75" customHeight="1" x14ac:dyDescent="0.25">
      <c r="A746" s="133"/>
      <c r="B746" s="133"/>
      <c r="C746" s="133"/>
      <c r="D746" s="133"/>
      <c r="E746" s="133"/>
      <c r="F746" s="133"/>
      <c r="G746" s="133"/>
      <c r="H746" s="133"/>
      <c r="I746" s="133"/>
      <c r="K746" s="133"/>
      <c r="L746" s="133"/>
      <c r="M746" s="133"/>
      <c r="N746" s="133"/>
      <c r="O746" s="133"/>
      <c r="P746" s="133"/>
      <c r="Q746" s="133"/>
      <c r="R746" s="133"/>
      <c r="S746" s="133"/>
      <c r="T746" s="133"/>
      <c r="U746" s="133"/>
      <c r="V746" s="133"/>
      <c r="W746" s="133"/>
      <c r="X746" s="133"/>
      <c r="Y746" s="133"/>
      <c r="Z746" s="133"/>
      <c r="AA746" s="133"/>
    </row>
    <row r="747" spans="1:27" ht="15.75" customHeight="1" x14ac:dyDescent="0.25">
      <c r="A747" s="133"/>
      <c r="B747" s="133"/>
      <c r="C747" s="133"/>
      <c r="D747" s="133"/>
      <c r="E747" s="133"/>
      <c r="F747" s="133"/>
      <c r="G747" s="133"/>
      <c r="H747" s="133"/>
      <c r="I747" s="133"/>
      <c r="K747" s="133"/>
      <c r="L747" s="133"/>
      <c r="M747" s="133"/>
      <c r="N747" s="133"/>
      <c r="O747" s="133"/>
      <c r="P747" s="133"/>
      <c r="Q747" s="133"/>
      <c r="R747" s="133"/>
      <c r="S747" s="133"/>
      <c r="T747" s="133"/>
      <c r="U747" s="133"/>
      <c r="V747" s="133"/>
      <c r="W747" s="133"/>
      <c r="X747" s="133"/>
      <c r="Y747" s="133"/>
      <c r="Z747" s="133"/>
      <c r="AA747" s="133"/>
    </row>
    <row r="748" spans="1:27" ht="15.75" customHeight="1" x14ac:dyDescent="0.25">
      <c r="A748" s="133"/>
      <c r="B748" s="133"/>
      <c r="C748" s="133"/>
      <c r="D748" s="133"/>
      <c r="E748" s="133"/>
      <c r="F748" s="133"/>
      <c r="G748" s="133"/>
      <c r="H748" s="133"/>
      <c r="I748" s="133"/>
      <c r="K748" s="133"/>
      <c r="L748" s="133"/>
      <c r="M748" s="133"/>
      <c r="N748" s="133"/>
      <c r="O748" s="133"/>
      <c r="P748" s="133"/>
      <c r="Q748" s="133"/>
      <c r="R748" s="133"/>
      <c r="S748" s="133"/>
      <c r="T748" s="133"/>
      <c r="U748" s="133"/>
      <c r="V748" s="133"/>
      <c r="W748" s="133"/>
      <c r="X748" s="133"/>
      <c r="Y748" s="133"/>
      <c r="Z748" s="133"/>
      <c r="AA748" s="133"/>
    </row>
    <row r="749" spans="1:27" ht="15.75" customHeight="1" x14ac:dyDescent="0.25">
      <c r="A749" s="133"/>
      <c r="B749" s="133"/>
      <c r="C749" s="133"/>
      <c r="D749" s="133"/>
      <c r="E749" s="133"/>
      <c r="F749" s="133"/>
      <c r="G749" s="133"/>
      <c r="H749" s="133"/>
      <c r="I749" s="133"/>
      <c r="K749" s="133"/>
      <c r="L749" s="133"/>
      <c r="M749" s="133"/>
      <c r="N749" s="133"/>
      <c r="O749" s="133"/>
      <c r="P749" s="133"/>
      <c r="Q749" s="133"/>
      <c r="R749" s="133"/>
      <c r="S749" s="133"/>
      <c r="T749" s="133"/>
      <c r="U749" s="133"/>
      <c r="V749" s="133"/>
      <c r="W749" s="133"/>
      <c r="X749" s="133"/>
      <c r="Y749" s="133"/>
      <c r="Z749" s="133"/>
      <c r="AA749" s="133"/>
    </row>
    <row r="750" spans="1:27" ht="15.75" customHeight="1" x14ac:dyDescent="0.25">
      <c r="A750" s="133"/>
      <c r="B750" s="133"/>
      <c r="C750" s="133"/>
      <c r="D750" s="133"/>
      <c r="E750" s="133"/>
      <c r="F750" s="133"/>
      <c r="G750" s="133"/>
      <c r="H750" s="133"/>
      <c r="I750" s="133"/>
      <c r="K750" s="133"/>
      <c r="L750" s="133"/>
      <c r="M750" s="133"/>
      <c r="N750" s="133"/>
      <c r="O750" s="133"/>
      <c r="P750" s="133"/>
      <c r="Q750" s="133"/>
      <c r="R750" s="133"/>
      <c r="S750" s="133"/>
      <c r="T750" s="133"/>
      <c r="U750" s="133"/>
      <c r="V750" s="133"/>
      <c r="W750" s="133"/>
      <c r="X750" s="133"/>
      <c r="Y750" s="133"/>
      <c r="Z750" s="133"/>
      <c r="AA750" s="133"/>
    </row>
    <row r="751" spans="1:27" ht="15.75" customHeight="1" x14ac:dyDescent="0.25">
      <c r="A751" s="133"/>
      <c r="B751" s="133"/>
      <c r="C751" s="133"/>
      <c r="D751" s="133"/>
      <c r="E751" s="133"/>
      <c r="F751" s="133"/>
      <c r="G751" s="133"/>
      <c r="H751" s="133"/>
      <c r="I751" s="133"/>
      <c r="K751" s="133"/>
      <c r="L751" s="133"/>
      <c r="M751" s="133"/>
      <c r="N751" s="133"/>
      <c r="O751" s="133"/>
      <c r="P751" s="133"/>
      <c r="Q751" s="133"/>
      <c r="R751" s="133"/>
      <c r="S751" s="133"/>
      <c r="T751" s="133"/>
      <c r="U751" s="133"/>
      <c r="V751" s="133"/>
      <c r="W751" s="133"/>
      <c r="X751" s="133"/>
      <c r="Y751" s="133"/>
      <c r="Z751" s="133"/>
      <c r="AA751" s="133"/>
    </row>
    <row r="752" spans="1:27" ht="15.75" customHeight="1" x14ac:dyDescent="0.25">
      <c r="A752" s="133"/>
      <c r="B752" s="133"/>
      <c r="C752" s="133"/>
      <c r="D752" s="133"/>
      <c r="E752" s="133"/>
      <c r="F752" s="133"/>
      <c r="G752" s="133"/>
      <c r="H752" s="133"/>
      <c r="I752" s="133"/>
      <c r="K752" s="133"/>
      <c r="L752" s="133"/>
      <c r="M752" s="133"/>
      <c r="N752" s="133"/>
      <c r="O752" s="133"/>
      <c r="P752" s="133"/>
      <c r="Q752" s="133"/>
      <c r="R752" s="133"/>
      <c r="S752" s="133"/>
      <c r="T752" s="133"/>
      <c r="U752" s="133"/>
      <c r="V752" s="133"/>
      <c r="W752" s="133"/>
      <c r="X752" s="133"/>
      <c r="Y752" s="133"/>
      <c r="Z752" s="133"/>
      <c r="AA752" s="133"/>
    </row>
    <row r="753" spans="1:27" ht="15.75" customHeight="1" x14ac:dyDescent="0.25">
      <c r="A753" s="133"/>
      <c r="B753" s="133"/>
      <c r="C753" s="133"/>
      <c r="D753" s="133"/>
      <c r="E753" s="133"/>
      <c r="F753" s="133"/>
      <c r="G753" s="133"/>
      <c r="H753" s="133"/>
      <c r="I753" s="133"/>
      <c r="K753" s="133"/>
      <c r="L753" s="133"/>
      <c r="M753" s="133"/>
      <c r="N753" s="133"/>
      <c r="O753" s="133"/>
      <c r="P753" s="133"/>
      <c r="Q753" s="133"/>
      <c r="R753" s="133"/>
      <c r="S753" s="133"/>
      <c r="T753" s="133"/>
      <c r="U753" s="133"/>
      <c r="V753" s="133"/>
      <c r="W753" s="133"/>
      <c r="X753" s="133"/>
      <c r="Y753" s="133"/>
      <c r="Z753" s="133"/>
      <c r="AA753" s="133"/>
    </row>
    <row r="754" spans="1:27" ht="15.75" customHeight="1" x14ac:dyDescent="0.25">
      <c r="A754" s="133"/>
      <c r="B754" s="133"/>
      <c r="C754" s="133"/>
      <c r="D754" s="133"/>
      <c r="E754" s="133"/>
      <c r="F754" s="133"/>
      <c r="G754" s="133"/>
      <c r="H754" s="133"/>
      <c r="I754" s="133"/>
      <c r="K754" s="133"/>
      <c r="L754" s="133"/>
      <c r="M754" s="133"/>
      <c r="N754" s="133"/>
      <c r="O754" s="133"/>
      <c r="P754" s="133"/>
      <c r="Q754" s="133"/>
      <c r="R754" s="133"/>
      <c r="S754" s="133"/>
      <c r="T754" s="133"/>
      <c r="U754" s="133"/>
      <c r="V754" s="133"/>
      <c r="W754" s="133"/>
      <c r="X754" s="133"/>
      <c r="Y754" s="133"/>
      <c r="Z754" s="133"/>
      <c r="AA754" s="133"/>
    </row>
    <row r="755" spans="1:27" ht="15.75" customHeight="1" x14ac:dyDescent="0.25">
      <c r="A755" s="133"/>
      <c r="B755" s="133"/>
      <c r="C755" s="133"/>
      <c r="D755" s="133"/>
      <c r="E755" s="133"/>
      <c r="F755" s="133"/>
      <c r="G755" s="133"/>
      <c r="H755" s="133"/>
      <c r="I755" s="133"/>
      <c r="K755" s="133"/>
      <c r="L755" s="133"/>
      <c r="M755" s="133"/>
      <c r="N755" s="133"/>
      <c r="O755" s="133"/>
      <c r="P755" s="133"/>
      <c r="Q755" s="133"/>
      <c r="R755" s="133"/>
      <c r="S755" s="133"/>
      <c r="T755" s="133"/>
      <c r="U755" s="133"/>
      <c r="V755" s="133"/>
      <c r="W755" s="133"/>
      <c r="X755" s="133"/>
      <c r="Y755" s="133"/>
      <c r="Z755" s="133"/>
      <c r="AA755" s="133"/>
    </row>
    <row r="756" spans="1:27" ht="15.75" customHeight="1" x14ac:dyDescent="0.25">
      <c r="A756" s="133"/>
      <c r="B756" s="133"/>
      <c r="C756" s="133"/>
      <c r="D756" s="133"/>
      <c r="E756" s="133"/>
      <c r="F756" s="133"/>
      <c r="G756" s="133"/>
      <c r="H756" s="133"/>
      <c r="I756" s="133"/>
      <c r="K756" s="133"/>
      <c r="L756" s="133"/>
      <c r="M756" s="133"/>
      <c r="N756" s="133"/>
      <c r="O756" s="133"/>
      <c r="P756" s="133"/>
      <c r="Q756" s="133"/>
      <c r="R756" s="133"/>
      <c r="S756" s="133"/>
      <c r="T756" s="133"/>
      <c r="U756" s="133"/>
      <c r="V756" s="133"/>
      <c r="W756" s="133"/>
      <c r="X756" s="133"/>
      <c r="Y756" s="133"/>
      <c r="Z756" s="133"/>
      <c r="AA756" s="133"/>
    </row>
    <row r="757" spans="1:27" ht="15.75" customHeight="1" x14ac:dyDescent="0.25">
      <c r="A757" s="133"/>
      <c r="B757" s="133"/>
      <c r="C757" s="133"/>
      <c r="D757" s="133"/>
      <c r="E757" s="133"/>
      <c r="F757" s="133"/>
      <c r="G757" s="133"/>
      <c r="H757" s="133"/>
      <c r="I757" s="133"/>
      <c r="K757" s="133"/>
      <c r="L757" s="133"/>
      <c r="M757" s="133"/>
      <c r="N757" s="133"/>
      <c r="O757" s="133"/>
      <c r="P757" s="133"/>
      <c r="Q757" s="133"/>
      <c r="R757" s="133"/>
      <c r="S757" s="133"/>
      <c r="T757" s="133"/>
      <c r="U757" s="133"/>
      <c r="V757" s="133"/>
      <c r="W757" s="133"/>
      <c r="X757" s="133"/>
      <c r="Y757" s="133"/>
      <c r="Z757" s="133"/>
      <c r="AA757" s="133"/>
    </row>
    <row r="758" spans="1:27" ht="15.75" customHeight="1" x14ac:dyDescent="0.25">
      <c r="A758" s="133"/>
      <c r="B758" s="133"/>
      <c r="C758" s="133"/>
      <c r="D758" s="133"/>
      <c r="E758" s="133"/>
      <c r="F758" s="133"/>
      <c r="G758" s="133"/>
      <c r="H758" s="133"/>
      <c r="I758" s="133"/>
      <c r="K758" s="133"/>
      <c r="L758" s="133"/>
      <c r="M758" s="133"/>
      <c r="N758" s="133"/>
      <c r="O758" s="133"/>
      <c r="P758" s="133"/>
      <c r="Q758" s="133"/>
      <c r="R758" s="133"/>
      <c r="S758" s="133"/>
      <c r="T758" s="133"/>
      <c r="U758" s="133"/>
      <c r="V758" s="133"/>
      <c r="W758" s="133"/>
      <c r="X758" s="133"/>
      <c r="Y758" s="133"/>
      <c r="Z758" s="133"/>
      <c r="AA758" s="133"/>
    </row>
    <row r="759" spans="1:27" ht="15.75" customHeight="1" x14ac:dyDescent="0.25">
      <c r="A759" s="133"/>
      <c r="B759" s="133"/>
      <c r="C759" s="133"/>
      <c r="D759" s="133"/>
      <c r="E759" s="133"/>
      <c r="F759" s="133"/>
      <c r="G759" s="133"/>
      <c r="H759" s="133"/>
      <c r="I759" s="133"/>
      <c r="K759" s="133"/>
      <c r="L759" s="133"/>
      <c r="M759" s="133"/>
      <c r="N759" s="133"/>
      <c r="O759" s="133"/>
      <c r="P759" s="133"/>
      <c r="Q759" s="133"/>
      <c r="R759" s="133"/>
      <c r="S759" s="133"/>
      <c r="T759" s="133"/>
      <c r="U759" s="133"/>
      <c r="V759" s="133"/>
      <c r="W759" s="133"/>
      <c r="X759" s="133"/>
      <c r="Y759" s="133"/>
      <c r="Z759" s="133"/>
      <c r="AA759" s="133"/>
    </row>
    <row r="760" spans="1:27" ht="15.75" customHeight="1" x14ac:dyDescent="0.25">
      <c r="A760" s="133"/>
      <c r="B760" s="133"/>
      <c r="C760" s="133"/>
      <c r="D760" s="133"/>
      <c r="E760" s="133"/>
      <c r="F760" s="133"/>
      <c r="G760" s="133"/>
      <c r="H760" s="133"/>
      <c r="I760" s="133"/>
      <c r="K760" s="133"/>
      <c r="L760" s="133"/>
      <c r="M760" s="133"/>
      <c r="N760" s="133"/>
      <c r="O760" s="133"/>
      <c r="P760" s="133"/>
      <c r="Q760" s="133"/>
      <c r="R760" s="133"/>
      <c r="S760" s="133"/>
      <c r="T760" s="133"/>
      <c r="U760" s="133"/>
      <c r="V760" s="133"/>
      <c r="W760" s="133"/>
      <c r="X760" s="133"/>
      <c r="Y760" s="133"/>
      <c r="Z760" s="133"/>
      <c r="AA760" s="133"/>
    </row>
    <row r="761" spans="1:27" ht="15.75" customHeight="1" x14ac:dyDescent="0.25">
      <c r="A761" s="133"/>
      <c r="B761" s="133"/>
      <c r="C761" s="133"/>
      <c r="D761" s="133"/>
      <c r="E761" s="133"/>
      <c r="F761" s="133"/>
      <c r="G761" s="133"/>
      <c r="H761" s="133"/>
      <c r="I761" s="133"/>
      <c r="K761" s="133"/>
      <c r="L761" s="133"/>
      <c r="M761" s="133"/>
      <c r="N761" s="133"/>
      <c r="O761" s="133"/>
      <c r="P761" s="133"/>
      <c r="Q761" s="133"/>
      <c r="R761" s="133"/>
      <c r="S761" s="133"/>
      <c r="T761" s="133"/>
      <c r="U761" s="133"/>
      <c r="V761" s="133"/>
      <c r="W761" s="133"/>
      <c r="X761" s="133"/>
      <c r="Y761" s="133"/>
      <c r="Z761" s="133"/>
      <c r="AA761" s="133"/>
    </row>
    <row r="762" spans="1:27" ht="15.75" customHeight="1" x14ac:dyDescent="0.25">
      <c r="A762" s="133"/>
      <c r="B762" s="133"/>
      <c r="C762" s="133"/>
      <c r="D762" s="133"/>
      <c r="E762" s="133"/>
      <c r="F762" s="133"/>
      <c r="G762" s="133"/>
      <c r="H762" s="133"/>
      <c r="I762" s="133"/>
      <c r="K762" s="133"/>
      <c r="L762" s="133"/>
      <c r="M762" s="133"/>
      <c r="N762" s="133"/>
      <c r="O762" s="133"/>
      <c r="P762" s="133"/>
      <c r="Q762" s="133"/>
      <c r="R762" s="133"/>
      <c r="S762" s="133"/>
      <c r="T762" s="133"/>
      <c r="U762" s="133"/>
      <c r="V762" s="133"/>
      <c r="W762" s="133"/>
      <c r="X762" s="133"/>
      <c r="Y762" s="133"/>
      <c r="Z762" s="133"/>
      <c r="AA762" s="133"/>
    </row>
    <row r="763" spans="1:27" ht="15.75" customHeight="1" x14ac:dyDescent="0.25">
      <c r="A763" s="133"/>
      <c r="B763" s="133"/>
      <c r="C763" s="133"/>
      <c r="D763" s="133"/>
      <c r="E763" s="133"/>
      <c r="F763" s="133"/>
      <c r="G763" s="133"/>
      <c r="H763" s="133"/>
      <c r="I763" s="133"/>
      <c r="K763" s="133"/>
      <c r="L763" s="133"/>
      <c r="M763" s="133"/>
      <c r="N763" s="133"/>
      <c r="O763" s="133"/>
      <c r="P763" s="133"/>
      <c r="Q763" s="133"/>
      <c r="R763" s="133"/>
      <c r="S763" s="133"/>
      <c r="T763" s="133"/>
      <c r="U763" s="133"/>
      <c r="V763" s="133"/>
      <c r="W763" s="133"/>
      <c r="X763" s="133"/>
      <c r="Y763" s="133"/>
      <c r="Z763" s="133"/>
      <c r="AA763" s="133"/>
    </row>
    <row r="764" spans="1:27" ht="15.75" customHeight="1" x14ac:dyDescent="0.25">
      <c r="A764" s="133"/>
      <c r="B764" s="133"/>
      <c r="C764" s="133"/>
      <c r="D764" s="133"/>
      <c r="E764" s="133"/>
      <c r="F764" s="133"/>
      <c r="G764" s="133"/>
      <c r="H764" s="133"/>
      <c r="I764" s="133"/>
      <c r="K764" s="133"/>
      <c r="L764" s="133"/>
      <c r="M764" s="133"/>
      <c r="N764" s="133"/>
      <c r="O764" s="133"/>
      <c r="P764" s="133"/>
      <c r="Q764" s="133"/>
      <c r="R764" s="133"/>
      <c r="S764" s="133"/>
      <c r="T764" s="133"/>
      <c r="U764" s="133"/>
      <c r="V764" s="133"/>
      <c r="W764" s="133"/>
      <c r="X764" s="133"/>
      <c r="Y764" s="133"/>
      <c r="Z764" s="133"/>
      <c r="AA764" s="133"/>
    </row>
    <row r="765" spans="1:27" ht="15.75" customHeight="1" x14ac:dyDescent="0.25">
      <c r="A765" s="133"/>
      <c r="B765" s="133"/>
      <c r="C765" s="133"/>
      <c r="D765" s="133"/>
      <c r="E765" s="133"/>
      <c r="F765" s="133"/>
      <c r="G765" s="133"/>
      <c r="H765" s="133"/>
      <c r="I765" s="133"/>
      <c r="K765" s="133"/>
      <c r="L765" s="133"/>
      <c r="M765" s="133"/>
      <c r="N765" s="133"/>
      <c r="O765" s="133"/>
      <c r="P765" s="133"/>
      <c r="Q765" s="133"/>
      <c r="R765" s="133"/>
      <c r="S765" s="133"/>
      <c r="T765" s="133"/>
      <c r="U765" s="133"/>
      <c r="V765" s="133"/>
      <c r="W765" s="133"/>
      <c r="X765" s="133"/>
      <c r="Y765" s="133"/>
      <c r="Z765" s="133"/>
      <c r="AA765" s="133"/>
    </row>
    <row r="766" spans="1:27" ht="15.75" customHeight="1" x14ac:dyDescent="0.25">
      <c r="A766" s="133"/>
      <c r="B766" s="133"/>
      <c r="C766" s="133"/>
      <c r="D766" s="133"/>
      <c r="E766" s="133"/>
      <c r="F766" s="133"/>
      <c r="G766" s="133"/>
      <c r="H766" s="133"/>
      <c r="I766" s="133"/>
      <c r="K766" s="133"/>
      <c r="L766" s="133"/>
      <c r="M766" s="133"/>
      <c r="N766" s="133"/>
      <c r="O766" s="133"/>
      <c r="P766" s="133"/>
      <c r="Q766" s="133"/>
      <c r="R766" s="133"/>
      <c r="S766" s="133"/>
      <c r="T766" s="133"/>
      <c r="U766" s="133"/>
      <c r="V766" s="133"/>
      <c r="W766" s="133"/>
      <c r="X766" s="133"/>
      <c r="Y766" s="133"/>
      <c r="Z766" s="133"/>
      <c r="AA766" s="133"/>
    </row>
    <row r="767" spans="1:27" ht="15.75" customHeight="1" x14ac:dyDescent="0.25">
      <c r="A767" s="133"/>
      <c r="B767" s="133"/>
      <c r="C767" s="133"/>
      <c r="D767" s="133"/>
      <c r="E767" s="133"/>
      <c r="F767" s="133"/>
      <c r="G767" s="133"/>
      <c r="H767" s="133"/>
      <c r="I767" s="133"/>
      <c r="K767" s="133"/>
      <c r="L767" s="133"/>
      <c r="M767" s="133"/>
      <c r="N767" s="133"/>
      <c r="O767" s="133"/>
      <c r="P767" s="133"/>
      <c r="Q767" s="133"/>
      <c r="R767" s="133"/>
      <c r="S767" s="133"/>
      <c r="T767" s="133"/>
      <c r="U767" s="133"/>
      <c r="V767" s="133"/>
      <c r="W767" s="133"/>
      <c r="X767" s="133"/>
      <c r="Y767" s="133"/>
      <c r="Z767" s="133"/>
      <c r="AA767" s="133"/>
    </row>
    <row r="768" spans="1:27" ht="15.75" customHeight="1" x14ac:dyDescent="0.25">
      <c r="A768" s="133"/>
      <c r="B768" s="133"/>
      <c r="C768" s="133"/>
      <c r="D768" s="133"/>
      <c r="E768" s="133"/>
      <c r="F768" s="133"/>
      <c r="G768" s="133"/>
      <c r="H768" s="133"/>
      <c r="I768" s="133"/>
      <c r="K768" s="133"/>
      <c r="L768" s="133"/>
      <c r="M768" s="133"/>
      <c r="N768" s="133"/>
      <c r="O768" s="133"/>
      <c r="P768" s="133"/>
      <c r="Q768" s="133"/>
      <c r="R768" s="133"/>
      <c r="S768" s="133"/>
      <c r="T768" s="133"/>
      <c r="U768" s="133"/>
      <c r="V768" s="133"/>
      <c r="W768" s="133"/>
      <c r="X768" s="133"/>
      <c r="Y768" s="133"/>
      <c r="Z768" s="133"/>
      <c r="AA768" s="133"/>
    </row>
    <row r="769" spans="1:27" ht="15.75" customHeight="1" x14ac:dyDescent="0.25">
      <c r="A769" s="133"/>
      <c r="B769" s="133"/>
      <c r="C769" s="133"/>
      <c r="D769" s="133"/>
      <c r="E769" s="133"/>
      <c r="F769" s="133"/>
      <c r="G769" s="133"/>
      <c r="H769" s="133"/>
      <c r="I769" s="133"/>
      <c r="K769" s="133"/>
      <c r="L769" s="133"/>
      <c r="M769" s="133"/>
      <c r="N769" s="133"/>
      <c r="O769" s="133"/>
      <c r="P769" s="133"/>
      <c r="Q769" s="133"/>
      <c r="R769" s="133"/>
      <c r="S769" s="133"/>
      <c r="T769" s="133"/>
      <c r="U769" s="133"/>
      <c r="V769" s="133"/>
      <c r="W769" s="133"/>
      <c r="X769" s="133"/>
      <c r="Y769" s="133"/>
      <c r="Z769" s="133"/>
      <c r="AA769" s="133"/>
    </row>
    <row r="770" spans="1:27" ht="15.75" customHeight="1" x14ac:dyDescent="0.25">
      <c r="A770" s="133"/>
      <c r="B770" s="133"/>
      <c r="C770" s="133"/>
      <c r="D770" s="133"/>
      <c r="E770" s="133"/>
      <c r="F770" s="133"/>
      <c r="G770" s="133"/>
      <c r="H770" s="133"/>
      <c r="I770" s="133"/>
      <c r="K770" s="133"/>
      <c r="L770" s="133"/>
      <c r="M770" s="133"/>
      <c r="N770" s="133"/>
      <c r="O770" s="133"/>
      <c r="P770" s="133"/>
      <c r="Q770" s="133"/>
      <c r="R770" s="133"/>
      <c r="S770" s="133"/>
      <c r="T770" s="133"/>
      <c r="U770" s="133"/>
      <c r="V770" s="133"/>
      <c r="W770" s="133"/>
      <c r="X770" s="133"/>
      <c r="Y770" s="133"/>
      <c r="Z770" s="133"/>
      <c r="AA770" s="133"/>
    </row>
    <row r="771" spans="1:27" ht="15.75" customHeight="1" x14ac:dyDescent="0.25">
      <c r="A771" s="133"/>
      <c r="B771" s="133"/>
      <c r="C771" s="133"/>
      <c r="D771" s="133"/>
      <c r="E771" s="133"/>
      <c r="F771" s="133"/>
      <c r="G771" s="133"/>
      <c r="H771" s="133"/>
      <c r="I771" s="133"/>
      <c r="K771" s="133"/>
      <c r="L771" s="133"/>
      <c r="M771" s="133"/>
      <c r="N771" s="133"/>
      <c r="O771" s="133"/>
      <c r="P771" s="133"/>
      <c r="Q771" s="133"/>
      <c r="R771" s="133"/>
      <c r="S771" s="133"/>
      <c r="T771" s="133"/>
      <c r="U771" s="133"/>
      <c r="V771" s="133"/>
      <c r="W771" s="133"/>
      <c r="X771" s="133"/>
      <c r="Y771" s="133"/>
      <c r="Z771" s="133"/>
      <c r="AA771" s="133"/>
    </row>
    <row r="772" spans="1:27" ht="15.75" customHeight="1" x14ac:dyDescent="0.25">
      <c r="A772" s="133"/>
      <c r="B772" s="133"/>
      <c r="C772" s="133"/>
      <c r="D772" s="133"/>
      <c r="E772" s="133"/>
      <c r="F772" s="133"/>
      <c r="G772" s="133"/>
      <c r="H772" s="133"/>
      <c r="I772" s="133"/>
      <c r="K772" s="133"/>
      <c r="L772" s="133"/>
      <c r="M772" s="133"/>
      <c r="N772" s="133"/>
      <c r="O772" s="133"/>
      <c r="P772" s="133"/>
      <c r="Q772" s="133"/>
      <c r="R772" s="133"/>
      <c r="S772" s="133"/>
      <c r="T772" s="133"/>
      <c r="U772" s="133"/>
      <c r="V772" s="133"/>
      <c r="W772" s="133"/>
      <c r="X772" s="133"/>
      <c r="Y772" s="133"/>
      <c r="Z772" s="133"/>
      <c r="AA772" s="133"/>
    </row>
    <row r="773" spans="1:27" ht="15.75" customHeight="1" x14ac:dyDescent="0.25">
      <c r="A773" s="133"/>
      <c r="B773" s="133"/>
      <c r="C773" s="133"/>
      <c r="D773" s="133"/>
      <c r="E773" s="133"/>
      <c r="F773" s="133"/>
      <c r="G773" s="133"/>
      <c r="H773" s="133"/>
      <c r="I773" s="133"/>
      <c r="K773" s="133"/>
      <c r="L773" s="133"/>
      <c r="M773" s="133"/>
      <c r="N773" s="133"/>
      <c r="O773" s="133"/>
      <c r="P773" s="133"/>
      <c r="Q773" s="133"/>
      <c r="R773" s="133"/>
      <c r="S773" s="133"/>
      <c r="T773" s="133"/>
      <c r="U773" s="133"/>
      <c r="V773" s="133"/>
      <c r="W773" s="133"/>
      <c r="X773" s="133"/>
      <c r="Y773" s="133"/>
      <c r="Z773" s="133"/>
      <c r="AA773" s="133"/>
    </row>
    <row r="774" spans="1:27" ht="15.75" customHeight="1" x14ac:dyDescent="0.25">
      <c r="A774" s="133"/>
      <c r="B774" s="133"/>
      <c r="C774" s="133"/>
      <c r="D774" s="133"/>
      <c r="E774" s="133"/>
      <c r="F774" s="133"/>
      <c r="G774" s="133"/>
      <c r="H774" s="133"/>
      <c r="I774" s="133"/>
      <c r="K774" s="133"/>
      <c r="L774" s="133"/>
      <c r="M774" s="133"/>
      <c r="N774" s="133"/>
      <c r="O774" s="133"/>
      <c r="P774" s="133"/>
      <c r="Q774" s="133"/>
      <c r="R774" s="133"/>
      <c r="S774" s="133"/>
      <c r="T774" s="133"/>
      <c r="U774" s="133"/>
      <c r="V774" s="133"/>
      <c r="W774" s="133"/>
      <c r="X774" s="133"/>
      <c r="Y774" s="133"/>
      <c r="Z774" s="133"/>
      <c r="AA774" s="133"/>
    </row>
    <row r="775" spans="1:27" ht="15.75" customHeight="1" x14ac:dyDescent="0.25">
      <c r="A775" s="133"/>
      <c r="B775" s="133"/>
      <c r="C775" s="133"/>
      <c r="D775" s="133"/>
      <c r="E775" s="133"/>
      <c r="F775" s="133"/>
      <c r="G775" s="133"/>
      <c r="H775" s="133"/>
      <c r="I775" s="133"/>
      <c r="K775" s="133"/>
      <c r="L775" s="133"/>
      <c r="M775" s="133"/>
      <c r="N775" s="133"/>
      <c r="O775" s="133"/>
      <c r="P775" s="133"/>
      <c r="Q775" s="133"/>
      <c r="R775" s="133"/>
      <c r="S775" s="133"/>
      <c r="T775" s="133"/>
      <c r="U775" s="133"/>
      <c r="V775" s="133"/>
      <c r="W775" s="133"/>
      <c r="X775" s="133"/>
      <c r="Y775" s="133"/>
      <c r="Z775" s="133"/>
      <c r="AA775" s="133"/>
    </row>
    <row r="776" spans="1:27" ht="15.75" customHeight="1" x14ac:dyDescent="0.25">
      <c r="A776" s="133"/>
      <c r="B776" s="133"/>
      <c r="C776" s="133"/>
      <c r="D776" s="133"/>
      <c r="E776" s="133"/>
      <c r="F776" s="133"/>
      <c r="G776" s="133"/>
      <c r="H776" s="133"/>
      <c r="I776" s="133"/>
      <c r="K776" s="133"/>
      <c r="L776" s="133"/>
      <c r="M776" s="133"/>
      <c r="N776" s="133"/>
      <c r="O776" s="133"/>
      <c r="P776" s="133"/>
      <c r="Q776" s="133"/>
      <c r="R776" s="133"/>
      <c r="S776" s="133"/>
      <c r="T776" s="133"/>
      <c r="U776" s="133"/>
      <c r="V776" s="133"/>
      <c r="W776" s="133"/>
      <c r="X776" s="133"/>
      <c r="Y776" s="133"/>
      <c r="Z776" s="133"/>
      <c r="AA776" s="133"/>
    </row>
    <row r="777" spans="1:27" ht="15.75" customHeight="1" x14ac:dyDescent="0.25">
      <c r="A777" s="133"/>
      <c r="B777" s="133"/>
      <c r="C777" s="133"/>
      <c r="D777" s="133"/>
      <c r="E777" s="133"/>
      <c r="F777" s="133"/>
      <c r="G777" s="133"/>
      <c r="H777" s="133"/>
      <c r="I777" s="133"/>
      <c r="K777" s="133"/>
      <c r="L777" s="133"/>
      <c r="M777" s="133"/>
      <c r="N777" s="133"/>
      <c r="O777" s="133"/>
      <c r="P777" s="133"/>
      <c r="Q777" s="133"/>
      <c r="R777" s="133"/>
      <c r="S777" s="133"/>
      <c r="T777" s="133"/>
      <c r="U777" s="133"/>
      <c r="V777" s="133"/>
      <c r="W777" s="133"/>
      <c r="X777" s="133"/>
      <c r="Y777" s="133"/>
      <c r="Z777" s="133"/>
      <c r="AA777" s="133"/>
    </row>
    <row r="778" spans="1:27" ht="15.75" customHeight="1" x14ac:dyDescent="0.25">
      <c r="A778" s="133"/>
      <c r="B778" s="133"/>
      <c r="C778" s="133"/>
      <c r="D778" s="133"/>
      <c r="E778" s="133"/>
      <c r="F778" s="133"/>
      <c r="G778" s="133"/>
      <c r="H778" s="133"/>
      <c r="I778" s="133"/>
      <c r="K778" s="133"/>
      <c r="L778" s="133"/>
      <c r="M778" s="133"/>
      <c r="N778" s="133"/>
      <c r="O778" s="133"/>
      <c r="P778" s="133"/>
      <c r="Q778" s="133"/>
      <c r="R778" s="133"/>
      <c r="S778" s="133"/>
      <c r="T778" s="133"/>
      <c r="U778" s="133"/>
      <c r="V778" s="133"/>
      <c r="W778" s="133"/>
      <c r="X778" s="133"/>
      <c r="Y778" s="133"/>
      <c r="Z778" s="133"/>
      <c r="AA778" s="133"/>
    </row>
    <row r="779" spans="1:27" ht="15.75" customHeight="1" x14ac:dyDescent="0.25">
      <c r="A779" s="133"/>
      <c r="B779" s="133"/>
      <c r="C779" s="133"/>
      <c r="D779" s="133"/>
      <c r="E779" s="133"/>
      <c r="F779" s="133"/>
      <c r="G779" s="133"/>
      <c r="H779" s="133"/>
      <c r="I779" s="133"/>
      <c r="K779" s="133"/>
      <c r="L779" s="133"/>
      <c r="M779" s="133"/>
      <c r="N779" s="133"/>
      <c r="O779" s="133"/>
      <c r="P779" s="133"/>
      <c r="Q779" s="133"/>
      <c r="R779" s="133"/>
      <c r="S779" s="133"/>
      <c r="T779" s="133"/>
      <c r="U779" s="133"/>
      <c r="V779" s="133"/>
      <c r="W779" s="133"/>
      <c r="X779" s="133"/>
      <c r="Y779" s="133"/>
      <c r="Z779" s="133"/>
      <c r="AA779" s="133"/>
    </row>
    <row r="780" spans="1:27" ht="15.75" customHeight="1" x14ac:dyDescent="0.25">
      <c r="A780" s="133"/>
      <c r="B780" s="133"/>
      <c r="C780" s="133"/>
      <c r="D780" s="133"/>
      <c r="E780" s="133"/>
      <c r="F780" s="133"/>
      <c r="G780" s="133"/>
      <c r="H780" s="133"/>
      <c r="I780" s="133"/>
      <c r="K780" s="133"/>
      <c r="L780" s="133"/>
      <c r="M780" s="133"/>
      <c r="N780" s="133"/>
      <c r="O780" s="133"/>
      <c r="P780" s="133"/>
      <c r="Q780" s="133"/>
      <c r="R780" s="133"/>
      <c r="S780" s="133"/>
      <c r="T780" s="133"/>
      <c r="U780" s="133"/>
      <c r="V780" s="133"/>
      <c r="W780" s="133"/>
      <c r="X780" s="133"/>
      <c r="Y780" s="133"/>
      <c r="Z780" s="133"/>
      <c r="AA780" s="133"/>
    </row>
    <row r="781" spans="1:27" ht="15.75" customHeight="1" x14ac:dyDescent="0.25">
      <c r="A781" s="133"/>
      <c r="B781" s="133"/>
      <c r="C781" s="133"/>
      <c r="D781" s="133"/>
      <c r="E781" s="133"/>
      <c r="F781" s="133"/>
      <c r="G781" s="133"/>
      <c r="H781" s="133"/>
      <c r="I781" s="133"/>
      <c r="K781" s="133"/>
      <c r="L781" s="133"/>
      <c r="M781" s="133"/>
      <c r="N781" s="133"/>
      <c r="O781" s="133"/>
      <c r="P781" s="133"/>
      <c r="Q781" s="133"/>
      <c r="R781" s="133"/>
      <c r="S781" s="133"/>
      <c r="T781" s="133"/>
      <c r="U781" s="133"/>
      <c r="V781" s="133"/>
      <c r="W781" s="133"/>
      <c r="X781" s="133"/>
      <c r="Y781" s="133"/>
      <c r="Z781" s="133"/>
      <c r="AA781" s="133"/>
    </row>
    <row r="782" spans="1:27" ht="15.75" customHeight="1" x14ac:dyDescent="0.25">
      <c r="A782" s="133"/>
      <c r="B782" s="133"/>
      <c r="C782" s="133"/>
      <c r="D782" s="133"/>
      <c r="E782" s="133"/>
      <c r="F782" s="133"/>
      <c r="G782" s="133"/>
      <c r="H782" s="133"/>
      <c r="I782" s="133"/>
      <c r="K782" s="133"/>
      <c r="L782" s="133"/>
      <c r="M782" s="133"/>
      <c r="N782" s="133"/>
      <c r="O782" s="133"/>
      <c r="P782" s="133"/>
      <c r="Q782" s="133"/>
      <c r="R782" s="133"/>
      <c r="S782" s="133"/>
      <c r="T782" s="133"/>
      <c r="U782" s="133"/>
      <c r="V782" s="133"/>
      <c r="W782" s="133"/>
      <c r="X782" s="133"/>
      <c r="Y782" s="133"/>
      <c r="Z782" s="133"/>
      <c r="AA782" s="133"/>
    </row>
    <row r="783" spans="1:27" ht="15.75" customHeight="1" x14ac:dyDescent="0.25">
      <c r="A783" s="133"/>
      <c r="B783" s="133"/>
      <c r="C783" s="133"/>
      <c r="D783" s="133"/>
      <c r="E783" s="133"/>
      <c r="F783" s="133"/>
      <c r="G783" s="133"/>
      <c r="H783" s="133"/>
      <c r="I783" s="133"/>
      <c r="K783" s="133"/>
      <c r="L783" s="133"/>
      <c r="M783" s="133"/>
      <c r="N783" s="133"/>
      <c r="O783" s="133"/>
      <c r="P783" s="133"/>
      <c r="Q783" s="133"/>
      <c r="R783" s="133"/>
      <c r="S783" s="133"/>
      <c r="T783" s="133"/>
      <c r="U783" s="133"/>
      <c r="V783" s="133"/>
      <c r="W783" s="133"/>
      <c r="X783" s="133"/>
      <c r="Y783" s="133"/>
      <c r="Z783" s="133"/>
      <c r="AA783" s="133"/>
    </row>
    <row r="784" spans="1:27" ht="15.75" customHeight="1" x14ac:dyDescent="0.25">
      <c r="A784" s="133"/>
      <c r="B784" s="133"/>
      <c r="C784" s="133"/>
      <c r="D784" s="133"/>
      <c r="E784" s="133"/>
      <c r="F784" s="133"/>
      <c r="G784" s="133"/>
      <c r="H784" s="133"/>
      <c r="I784" s="133"/>
      <c r="K784" s="133"/>
      <c r="L784" s="133"/>
      <c r="M784" s="133"/>
      <c r="N784" s="133"/>
      <c r="O784" s="133"/>
      <c r="P784" s="133"/>
      <c r="Q784" s="133"/>
      <c r="R784" s="133"/>
      <c r="S784" s="133"/>
      <c r="T784" s="133"/>
      <c r="U784" s="133"/>
      <c r="V784" s="133"/>
      <c r="W784" s="133"/>
      <c r="X784" s="133"/>
      <c r="Y784" s="133"/>
      <c r="Z784" s="133"/>
      <c r="AA784" s="133"/>
    </row>
    <row r="785" spans="1:27" ht="15.75" customHeight="1" x14ac:dyDescent="0.25">
      <c r="A785" s="133"/>
      <c r="B785" s="133"/>
      <c r="C785" s="133"/>
      <c r="D785" s="133"/>
      <c r="E785" s="133"/>
      <c r="F785" s="133"/>
      <c r="G785" s="133"/>
      <c r="H785" s="133"/>
      <c r="I785" s="133"/>
      <c r="K785" s="133"/>
      <c r="L785" s="133"/>
      <c r="M785" s="133"/>
      <c r="N785" s="133"/>
      <c r="O785" s="133"/>
      <c r="P785" s="133"/>
      <c r="Q785" s="133"/>
      <c r="R785" s="133"/>
      <c r="S785" s="133"/>
      <c r="T785" s="133"/>
      <c r="U785" s="133"/>
      <c r="V785" s="133"/>
      <c r="W785" s="133"/>
      <c r="X785" s="133"/>
      <c r="Y785" s="133"/>
      <c r="Z785" s="133"/>
      <c r="AA785" s="133"/>
    </row>
    <row r="786" spans="1:27" ht="15.75" customHeight="1" x14ac:dyDescent="0.25">
      <c r="A786" s="133"/>
      <c r="B786" s="133"/>
      <c r="C786" s="133"/>
      <c r="D786" s="133"/>
      <c r="E786" s="133"/>
      <c r="F786" s="133"/>
      <c r="G786" s="133"/>
      <c r="H786" s="133"/>
      <c r="I786" s="133"/>
      <c r="K786" s="133"/>
      <c r="L786" s="133"/>
      <c r="M786" s="133"/>
      <c r="N786" s="133"/>
      <c r="O786" s="133"/>
      <c r="P786" s="133"/>
      <c r="Q786" s="133"/>
      <c r="R786" s="133"/>
      <c r="S786" s="133"/>
      <c r="T786" s="133"/>
      <c r="U786" s="133"/>
      <c r="V786" s="133"/>
      <c r="W786" s="133"/>
      <c r="X786" s="133"/>
      <c r="Y786" s="133"/>
      <c r="Z786" s="133"/>
      <c r="AA786" s="133"/>
    </row>
    <row r="787" spans="1:27" ht="15.75" customHeight="1" x14ac:dyDescent="0.25">
      <c r="A787" s="133"/>
      <c r="B787" s="133"/>
      <c r="C787" s="133"/>
      <c r="D787" s="133"/>
      <c r="E787" s="133"/>
      <c r="F787" s="133"/>
      <c r="G787" s="133"/>
      <c r="H787" s="133"/>
      <c r="I787" s="133"/>
      <c r="K787" s="133"/>
      <c r="L787" s="133"/>
      <c r="M787" s="133"/>
      <c r="N787" s="133"/>
      <c r="O787" s="133"/>
      <c r="P787" s="133"/>
      <c r="Q787" s="133"/>
      <c r="R787" s="133"/>
      <c r="S787" s="133"/>
      <c r="T787" s="133"/>
      <c r="U787" s="133"/>
      <c r="V787" s="133"/>
      <c r="W787" s="133"/>
      <c r="X787" s="133"/>
      <c r="Y787" s="133"/>
      <c r="Z787" s="133"/>
      <c r="AA787" s="133"/>
    </row>
    <row r="788" spans="1:27" ht="15.75" customHeight="1" x14ac:dyDescent="0.25">
      <c r="A788" s="133"/>
      <c r="B788" s="133"/>
      <c r="C788" s="133"/>
      <c r="D788" s="133"/>
      <c r="E788" s="133"/>
      <c r="F788" s="133"/>
      <c r="G788" s="133"/>
      <c r="H788" s="133"/>
      <c r="I788" s="133"/>
      <c r="K788" s="133"/>
      <c r="L788" s="133"/>
      <c r="M788" s="133"/>
      <c r="N788" s="133"/>
      <c r="O788" s="133"/>
      <c r="P788" s="133"/>
      <c r="Q788" s="133"/>
      <c r="R788" s="133"/>
      <c r="S788" s="133"/>
      <c r="T788" s="133"/>
      <c r="U788" s="133"/>
      <c r="V788" s="133"/>
      <c r="W788" s="133"/>
      <c r="X788" s="133"/>
      <c r="Y788" s="133"/>
      <c r="Z788" s="133"/>
      <c r="AA788" s="133"/>
    </row>
    <row r="789" spans="1:27" ht="15.75" customHeight="1" x14ac:dyDescent="0.25">
      <c r="A789" s="133"/>
      <c r="B789" s="133"/>
      <c r="C789" s="133"/>
      <c r="D789" s="133"/>
      <c r="E789" s="133"/>
      <c r="F789" s="133"/>
      <c r="G789" s="133"/>
      <c r="H789" s="133"/>
      <c r="I789" s="133"/>
      <c r="K789" s="133"/>
      <c r="L789" s="133"/>
      <c r="M789" s="133"/>
      <c r="N789" s="133"/>
      <c r="O789" s="133"/>
      <c r="P789" s="133"/>
      <c r="Q789" s="133"/>
      <c r="R789" s="133"/>
      <c r="S789" s="133"/>
      <c r="T789" s="133"/>
      <c r="U789" s="133"/>
      <c r="V789" s="133"/>
      <c r="W789" s="133"/>
      <c r="X789" s="133"/>
      <c r="Y789" s="133"/>
      <c r="Z789" s="133"/>
      <c r="AA789" s="133"/>
    </row>
    <row r="790" spans="1:27" ht="15.75" customHeight="1" x14ac:dyDescent="0.25">
      <c r="A790" s="133"/>
      <c r="B790" s="133"/>
      <c r="C790" s="133"/>
      <c r="D790" s="133"/>
      <c r="E790" s="133"/>
      <c r="F790" s="133"/>
      <c r="G790" s="133"/>
      <c r="H790" s="133"/>
      <c r="I790" s="133"/>
      <c r="K790" s="133"/>
      <c r="L790" s="133"/>
      <c r="M790" s="133"/>
      <c r="N790" s="133"/>
      <c r="O790" s="133"/>
      <c r="P790" s="133"/>
      <c r="Q790" s="133"/>
      <c r="R790" s="133"/>
      <c r="S790" s="133"/>
      <c r="T790" s="133"/>
      <c r="U790" s="133"/>
      <c r="V790" s="133"/>
      <c r="W790" s="133"/>
      <c r="X790" s="133"/>
      <c r="Y790" s="133"/>
      <c r="Z790" s="133"/>
      <c r="AA790" s="133"/>
    </row>
    <row r="791" spans="1:27" ht="15.75" customHeight="1" x14ac:dyDescent="0.25">
      <c r="A791" s="133"/>
      <c r="B791" s="133"/>
      <c r="C791" s="133"/>
      <c r="D791" s="133"/>
      <c r="E791" s="133"/>
      <c r="F791" s="133"/>
      <c r="G791" s="133"/>
      <c r="H791" s="133"/>
      <c r="I791" s="133"/>
      <c r="K791" s="133"/>
      <c r="L791" s="133"/>
      <c r="M791" s="133"/>
      <c r="N791" s="133"/>
      <c r="O791" s="133"/>
      <c r="P791" s="133"/>
      <c r="Q791" s="133"/>
      <c r="R791" s="133"/>
      <c r="S791" s="133"/>
      <c r="T791" s="133"/>
      <c r="U791" s="133"/>
      <c r="V791" s="133"/>
      <c r="W791" s="133"/>
      <c r="X791" s="133"/>
      <c r="Y791" s="133"/>
      <c r="Z791" s="133"/>
      <c r="AA791" s="133"/>
    </row>
    <row r="792" spans="1:27" ht="15.75" customHeight="1" x14ac:dyDescent="0.25">
      <c r="A792" s="133"/>
      <c r="B792" s="133"/>
      <c r="C792" s="133"/>
      <c r="D792" s="133"/>
      <c r="E792" s="133"/>
      <c r="F792" s="133"/>
      <c r="G792" s="133"/>
      <c r="H792" s="133"/>
      <c r="I792" s="133"/>
      <c r="K792" s="133"/>
      <c r="L792" s="133"/>
      <c r="M792" s="133"/>
      <c r="N792" s="133"/>
      <c r="O792" s="133"/>
      <c r="P792" s="133"/>
      <c r="Q792" s="133"/>
      <c r="R792" s="133"/>
      <c r="S792" s="133"/>
      <c r="T792" s="133"/>
      <c r="U792" s="133"/>
      <c r="V792" s="133"/>
      <c r="W792" s="133"/>
      <c r="X792" s="133"/>
      <c r="Y792" s="133"/>
      <c r="Z792" s="133"/>
      <c r="AA792" s="133"/>
    </row>
    <row r="793" spans="1:27" ht="15.75" customHeight="1" x14ac:dyDescent="0.25">
      <c r="A793" s="133"/>
      <c r="B793" s="133"/>
      <c r="C793" s="133"/>
      <c r="D793" s="133"/>
      <c r="E793" s="133"/>
      <c r="F793" s="133"/>
      <c r="G793" s="133"/>
      <c r="H793" s="133"/>
      <c r="I793" s="133"/>
      <c r="K793" s="133"/>
      <c r="L793" s="133"/>
      <c r="M793" s="133"/>
      <c r="N793" s="133"/>
      <c r="O793" s="133"/>
      <c r="P793" s="133"/>
      <c r="Q793" s="133"/>
      <c r="R793" s="133"/>
      <c r="S793" s="133"/>
      <c r="T793" s="133"/>
      <c r="U793" s="133"/>
      <c r="V793" s="133"/>
      <c r="W793" s="133"/>
      <c r="X793" s="133"/>
      <c r="Y793" s="133"/>
      <c r="Z793" s="133"/>
      <c r="AA793" s="133"/>
    </row>
    <row r="794" spans="1:27" ht="15.75" customHeight="1" x14ac:dyDescent="0.25">
      <c r="A794" s="133"/>
      <c r="B794" s="133"/>
      <c r="C794" s="133"/>
      <c r="D794" s="133"/>
      <c r="E794" s="133"/>
      <c r="F794" s="133"/>
      <c r="G794" s="133"/>
      <c r="H794" s="133"/>
      <c r="I794" s="133"/>
      <c r="K794" s="133"/>
      <c r="L794" s="133"/>
      <c r="M794" s="133"/>
      <c r="N794" s="133"/>
      <c r="O794" s="133"/>
      <c r="P794" s="133"/>
      <c r="Q794" s="133"/>
      <c r="R794" s="133"/>
      <c r="S794" s="133"/>
      <c r="T794" s="133"/>
      <c r="U794" s="133"/>
      <c r="V794" s="133"/>
      <c r="W794" s="133"/>
      <c r="X794" s="133"/>
      <c r="Y794" s="133"/>
      <c r="Z794" s="133"/>
      <c r="AA794" s="133"/>
    </row>
    <row r="795" spans="1:27" ht="15.75" customHeight="1" x14ac:dyDescent="0.25">
      <c r="A795" s="133"/>
      <c r="B795" s="133"/>
      <c r="C795" s="133"/>
      <c r="D795" s="133"/>
      <c r="E795" s="133"/>
      <c r="F795" s="133"/>
      <c r="G795" s="133"/>
      <c r="H795" s="133"/>
      <c r="I795" s="133"/>
      <c r="K795" s="133"/>
      <c r="L795" s="133"/>
      <c r="M795" s="133"/>
      <c r="N795" s="133"/>
      <c r="O795" s="133"/>
      <c r="P795" s="133"/>
      <c r="Q795" s="133"/>
      <c r="R795" s="133"/>
      <c r="S795" s="133"/>
      <c r="T795" s="133"/>
      <c r="U795" s="133"/>
      <c r="V795" s="133"/>
      <c r="W795" s="133"/>
      <c r="X795" s="133"/>
      <c r="Y795" s="133"/>
      <c r="Z795" s="133"/>
      <c r="AA795" s="133"/>
    </row>
    <row r="796" spans="1:27" ht="15.75" customHeight="1" x14ac:dyDescent="0.25">
      <c r="A796" s="133"/>
      <c r="B796" s="133"/>
      <c r="C796" s="133"/>
      <c r="D796" s="133"/>
      <c r="E796" s="133"/>
      <c r="F796" s="133"/>
      <c r="G796" s="133"/>
      <c r="H796" s="133"/>
      <c r="I796" s="133"/>
      <c r="K796" s="133"/>
      <c r="L796" s="133"/>
      <c r="M796" s="133"/>
      <c r="N796" s="133"/>
      <c r="O796" s="133"/>
      <c r="P796" s="133"/>
      <c r="Q796" s="133"/>
      <c r="R796" s="133"/>
      <c r="S796" s="133"/>
      <c r="T796" s="133"/>
      <c r="U796" s="133"/>
      <c r="V796" s="133"/>
      <c r="W796" s="133"/>
      <c r="X796" s="133"/>
      <c r="Y796" s="133"/>
      <c r="Z796" s="133"/>
      <c r="AA796" s="133"/>
    </row>
    <row r="797" spans="1:27" ht="15.75" customHeight="1" x14ac:dyDescent="0.25">
      <c r="A797" s="133"/>
      <c r="B797" s="133"/>
      <c r="C797" s="133"/>
      <c r="D797" s="133"/>
      <c r="E797" s="133"/>
      <c r="F797" s="133"/>
      <c r="G797" s="133"/>
      <c r="H797" s="133"/>
      <c r="I797" s="133"/>
      <c r="K797" s="133"/>
      <c r="L797" s="133"/>
      <c r="M797" s="133"/>
      <c r="N797" s="133"/>
      <c r="O797" s="133"/>
      <c r="P797" s="133"/>
      <c r="Q797" s="133"/>
      <c r="R797" s="133"/>
      <c r="S797" s="133"/>
      <c r="T797" s="133"/>
      <c r="U797" s="133"/>
      <c r="V797" s="133"/>
      <c r="W797" s="133"/>
      <c r="X797" s="133"/>
      <c r="Y797" s="133"/>
      <c r="Z797" s="133"/>
      <c r="AA797" s="133"/>
    </row>
    <row r="798" spans="1:27" ht="15.75" customHeight="1" x14ac:dyDescent="0.25">
      <c r="A798" s="133"/>
      <c r="B798" s="133"/>
      <c r="C798" s="133"/>
      <c r="D798" s="133"/>
      <c r="E798" s="133"/>
      <c r="F798" s="133"/>
      <c r="G798" s="133"/>
      <c r="H798" s="133"/>
      <c r="I798" s="133"/>
      <c r="K798" s="133"/>
      <c r="L798" s="133"/>
      <c r="M798" s="133"/>
      <c r="N798" s="133"/>
      <c r="O798" s="133"/>
      <c r="P798" s="133"/>
      <c r="Q798" s="133"/>
      <c r="R798" s="133"/>
      <c r="S798" s="133"/>
      <c r="T798" s="133"/>
      <c r="U798" s="133"/>
      <c r="V798" s="133"/>
      <c r="W798" s="133"/>
      <c r="X798" s="133"/>
      <c r="Y798" s="133"/>
      <c r="Z798" s="133"/>
      <c r="AA798" s="133"/>
    </row>
    <row r="799" spans="1:27" ht="15.75" customHeight="1" x14ac:dyDescent="0.25">
      <c r="A799" s="133"/>
      <c r="B799" s="133"/>
      <c r="C799" s="133"/>
      <c r="D799" s="133"/>
      <c r="E799" s="133"/>
      <c r="F799" s="133"/>
      <c r="G799" s="133"/>
      <c r="H799" s="133"/>
      <c r="I799" s="133"/>
      <c r="K799" s="133"/>
      <c r="L799" s="133"/>
      <c r="M799" s="133"/>
      <c r="N799" s="133"/>
      <c r="O799" s="133"/>
      <c r="P799" s="133"/>
      <c r="Q799" s="133"/>
      <c r="R799" s="133"/>
      <c r="S799" s="133"/>
      <c r="T799" s="133"/>
      <c r="U799" s="133"/>
      <c r="V799" s="133"/>
      <c r="W799" s="133"/>
      <c r="X799" s="133"/>
      <c r="Y799" s="133"/>
      <c r="Z799" s="133"/>
      <c r="AA799" s="133"/>
    </row>
    <row r="800" spans="1:27" ht="15.75" customHeight="1" x14ac:dyDescent="0.25">
      <c r="A800" s="133"/>
      <c r="B800" s="133"/>
      <c r="C800" s="133"/>
      <c r="D800" s="133"/>
      <c r="E800" s="133"/>
      <c r="F800" s="133"/>
      <c r="G800" s="133"/>
      <c r="H800" s="133"/>
      <c r="I800" s="133"/>
      <c r="K800" s="133"/>
      <c r="L800" s="133"/>
      <c r="M800" s="133"/>
      <c r="N800" s="133"/>
      <c r="O800" s="133"/>
      <c r="P800" s="133"/>
      <c r="Q800" s="133"/>
      <c r="R800" s="133"/>
      <c r="S800" s="133"/>
      <c r="T800" s="133"/>
      <c r="U800" s="133"/>
      <c r="V800" s="133"/>
      <c r="W800" s="133"/>
      <c r="X800" s="133"/>
      <c r="Y800" s="133"/>
      <c r="Z800" s="133"/>
      <c r="AA800" s="133"/>
    </row>
    <row r="801" spans="1:27" ht="15.75" customHeight="1" x14ac:dyDescent="0.25">
      <c r="A801" s="133"/>
      <c r="B801" s="133"/>
      <c r="C801" s="133"/>
      <c r="D801" s="133"/>
      <c r="E801" s="133"/>
      <c r="F801" s="133"/>
      <c r="G801" s="133"/>
      <c r="H801" s="133"/>
      <c r="I801" s="133"/>
      <c r="K801" s="133"/>
      <c r="L801" s="133"/>
      <c r="M801" s="133"/>
      <c r="N801" s="133"/>
      <c r="O801" s="133"/>
      <c r="P801" s="133"/>
      <c r="Q801" s="133"/>
      <c r="R801" s="133"/>
      <c r="S801" s="133"/>
      <c r="T801" s="133"/>
      <c r="U801" s="133"/>
      <c r="V801" s="133"/>
      <c r="W801" s="133"/>
      <c r="X801" s="133"/>
      <c r="Y801" s="133"/>
      <c r="Z801" s="133"/>
      <c r="AA801" s="133"/>
    </row>
    <row r="802" spans="1:27" ht="15.75" customHeight="1" x14ac:dyDescent="0.25">
      <c r="A802" s="133"/>
      <c r="B802" s="133"/>
      <c r="C802" s="133"/>
      <c r="D802" s="133"/>
      <c r="E802" s="133"/>
      <c r="F802" s="133"/>
      <c r="G802" s="133"/>
      <c r="H802" s="133"/>
      <c r="I802" s="133"/>
      <c r="K802" s="133"/>
      <c r="L802" s="133"/>
      <c r="M802" s="133"/>
      <c r="N802" s="133"/>
      <c r="O802" s="133"/>
      <c r="P802" s="133"/>
      <c r="Q802" s="133"/>
      <c r="R802" s="133"/>
      <c r="S802" s="133"/>
      <c r="T802" s="133"/>
      <c r="U802" s="133"/>
      <c r="V802" s="133"/>
      <c r="W802" s="133"/>
      <c r="X802" s="133"/>
      <c r="Y802" s="133"/>
      <c r="Z802" s="133"/>
      <c r="AA802" s="133"/>
    </row>
    <row r="803" spans="1:27" ht="15.75" customHeight="1" x14ac:dyDescent="0.25">
      <c r="A803" s="133"/>
      <c r="B803" s="133"/>
      <c r="C803" s="133"/>
      <c r="D803" s="133"/>
      <c r="E803" s="133"/>
      <c r="F803" s="133"/>
      <c r="G803" s="133"/>
      <c r="H803" s="133"/>
      <c r="I803" s="133"/>
      <c r="K803" s="133"/>
      <c r="L803" s="133"/>
      <c r="M803" s="133"/>
      <c r="N803" s="133"/>
      <c r="O803" s="133"/>
      <c r="P803" s="133"/>
      <c r="Q803" s="133"/>
      <c r="R803" s="133"/>
      <c r="S803" s="133"/>
      <c r="T803" s="133"/>
      <c r="U803" s="133"/>
      <c r="V803" s="133"/>
      <c r="W803" s="133"/>
      <c r="X803" s="133"/>
      <c r="Y803" s="133"/>
      <c r="Z803" s="133"/>
      <c r="AA803" s="133"/>
    </row>
    <row r="804" spans="1:27" ht="15.75" customHeight="1" x14ac:dyDescent="0.25">
      <c r="A804" s="133"/>
      <c r="B804" s="133"/>
      <c r="C804" s="133"/>
      <c r="D804" s="133"/>
      <c r="E804" s="133"/>
      <c r="F804" s="133"/>
      <c r="G804" s="133"/>
      <c r="H804" s="133"/>
      <c r="I804" s="133"/>
      <c r="K804" s="133"/>
      <c r="L804" s="133"/>
      <c r="M804" s="133"/>
      <c r="N804" s="133"/>
      <c r="O804" s="133"/>
      <c r="P804" s="133"/>
      <c r="Q804" s="133"/>
      <c r="R804" s="133"/>
      <c r="S804" s="133"/>
      <c r="T804" s="133"/>
      <c r="U804" s="133"/>
      <c r="V804" s="133"/>
      <c r="W804" s="133"/>
      <c r="X804" s="133"/>
      <c r="Y804" s="133"/>
      <c r="Z804" s="133"/>
      <c r="AA804" s="133"/>
    </row>
    <row r="805" spans="1:27" ht="15.75" customHeight="1" x14ac:dyDescent="0.25">
      <c r="A805" s="133"/>
      <c r="B805" s="133"/>
      <c r="C805" s="133"/>
      <c r="D805" s="133"/>
      <c r="E805" s="133"/>
      <c r="F805" s="133"/>
      <c r="G805" s="133"/>
      <c r="H805" s="133"/>
      <c r="I805" s="133"/>
      <c r="K805" s="133"/>
      <c r="L805" s="133"/>
      <c r="M805" s="133"/>
      <c r="N805" s="133"/>
      <c r="O805" s="133"/>
      <c r="P805" s="133"/>
      <c r="Q805" s="133"/>
      <c r="R805" s="133"/>
      <c r="S805" s="133"/>
      <c r="T805" s="133"/>
      <c r="U805" s="133"/>
      <c r="V805" s="133"/>
      <c r="W805" s="133"/>
      <c r="X805" s="133"/>
      <c r="Y805" s="133"/>
      <c r="Z805" s="133"/>
      <c r="AA805" s="133"/>
    </row>
    <row r="806" spans="1:27" ht="15.75" customHeight="1" x14ac:dyDescent="0.25">
      <c r="A806" s="133"/>
      <c r="B806" s="133"/>
      <c r="C806" s="133"/>
      <c r="D806" s="133"/>
      <c r="E806" s="133"/>
      <c r="F806" s="133"/>
      <c r="G806" s="133"/>
      <c r="H806" s="133"/>
      <c r="I806" s="133"/>
      <c r="K806" s="133"/>
      <c r="L806" s="133"/>
      <c r="M806" s="133"/>
      <c r="N806" s="133"/>
      <c r="O806" s="133"/>
      <c r="P806" s="133"/>
      <c r="Q806" s="133"/>
      <c r="R806" s="133"/>
      <c r="S806" s="133"/>
      <c r="T806" s="133"/>
      <c r="U806" s="133"/>
      <c r="V806" s="133"/>
      <c r="W806" s="133"/>
      <c r="X806" s="133"/>
      <c r="Y806" s="133"/>
      <c r="Z806" s="133"/>
      <c r="AA806" s="133"/>
    </row>
    <row r="807" spans="1:27" ht="15.75" customHeight="1" x14ac:dyDescent="0.25">
      <c r="A807" s="133"/>
      <c r="B807" s="133"/>
      <c r="C807" s="133"/>
      <c r="D807" s="133"/>
      <c r="E807" s="133"/>
      <c r="F807" s="133"/>
      <c r="G807" s="133"/>
      <c r="H807" s="133"/>
      <c r="I807" s="133"/>
      <c r="K807" s="133"/>
      <c r="L807" s="133"/>
      <c r="M807" s="133"/>
      <c r="N807" s="133"/>
      <c r="O807" s="133"/>
      <c r="P807" s="133"/>
      <c r="Q807" s="133"/>
      <c r="R807" s="133"/>
      <c r="S807" s="133"/>
      <c r="T807" s="133"/>
      <c r="U807" s="133"/>
      <c r="V807" s="133"/>
      <c r="W807" s="133"/>
      <c r="X807" s="133"/>
      <c r="Y807" s="133"/>
      <c r="Z807" s="133"/>
      <c r="AA807" s="133"/>
    </row>
    <row r="808" spans="1:27" ht="15.75" customHeight="1" x14ac:dyDescent="0.25">
      <c r="A808" s="133"/>
      <c r="B808" s="133"/>
      <c r="C808" s="133"/>
      <c r="D808" s="133"/>
      <c r="E808" s="133"/>
      <c r="F808" s="133"/>
      <c r="G808" s="133"/>
      <c r="H808" s="133"/>
      <c r="I808" s="133"/>
      <c r="K808" s="133"/>
      <c r="L808" s="133"/>
      <c r="M808" s="133"/>
      <c r="N808" s="133"/>
      <c r="O808" s="133"/>
      <c r="P808" s="133"/>
      <c r="Q808" s="133"/>
      <c r="R808" s="133"/>
      <c r="S808" s="133"/>
      <c r="T808" s="133"/>
      <c r="U808" s="133"/>
      <c r="V808" s="133"/>
      <c r="W808" s="133"/>
      <c r="X808" s="133"/>
      <c r="Y808" s="133"/>
      <c r="Z808" s="133"/>
      <c r="AA808" s="133"/>
    </row>
    <row r="809" spans="1:27" ht="15.75" customHeight="1" x14ac:dyDescent="0.25">
      <c r="A809" s="133"/>
      <c r="B809" s="133"/>
      <c r="C809" s="133"/>
      <c r="D809" s="133"/>
      <c r="E809" s="133"/>
      <c r="F809" s="133"/>
      <c r="G809" s="133"/>
      <c r="H809" s="133"/>
      <c r="I809" s="133"/>
      <c r="K809" s="133"/>
      <c r="L809" s="133"/>
      <c r="M809" s="133"/>
      <c r="N809" s="133"/>
      <c r="O809" s="133"/>
      <c r="P809" s="133"/>
      <c r="Q809" s="133"/>
      <c r="R809" s="133"/>
      <c r="S809" s="133"/>
      <c r="T809" s="133"/>
      <c r="U809" s="133"/>
      <c r="V809" s="133"/>
      <c r="W809" s="133"/>
      <c r="X809" s="133"/>
      <c r="Y809" s="133"/>
      <c r="Z809" s="133"/>
      <c r="AA809" s="133"/>
    </row>
    <row r="810" spans="1:27" ht="15.75" customHeight="1" x14ac:dyDescent="0.25">
      <c r="A810" s="133"/>
      <c r="B810" s="133"/>
      <c r="C810" s="133"/>
      <c r="D810" s="133"/>
      <c r="E810" s="133"/>
      <c r="F810" s="133"/>
      <c r="G810" s="133"/>
      <c r="H810" s="133"/>
      <c r="I810" s="133"/>
      <c r="K810" s="133"/>
      <c r="L810" s="133"/>
      <c r="M810" s="133"/>
      <c r="N810" s="133"/>
      <c r="O810" s="133"/>
      <c r="P810" s="133"/>
      <c r="Q810" s="133"/>
      <c r="R810" s="133"/>
      <c r="S810" s="133"/>
      <c r="T810" s="133"/>
      <c r="U810" s="133"/>
      <c r="V810" s="133"/>
      <c r="W810" s="133"/>
      <c r="X810" s="133"/>
      <c r="Y810" s="133"/>
      <c r="Z810" s="133"/>
      <c r="AA810" s="133"/>
    </row>
    <row r="811" spans="1:27" ht="15.75" customHeight="1" x14ac:dyDescent="0.25">
      <c r="A811" s="133"/>
      <c r="B811" s="133"/>
      <c r="C811" s="133"/>
      <c r="D811" s="133"/>
      <c r="E811" s="133"/>
      <c r="F811" s="133"/>
      <c r="G811" s="133"/>
      <c r="H811" s="133"/>
      <c r="I811" s="133"/>
      <c r="K811" s="133"/>
      <c r="L811" s="133"/>
      <c r="M811" s="133"/>
      <c r="N811" s="133"/>
      <c r="O811" s="133"/>
      <c r="P811" s="133"/>
      <c r="Q811" s="133"/>
      <c r="R811" s="133"/>
      <c r="S811" s="133"/>
      <c r="T811" s="133"/>
      <c r="U811" s="133"/>
      <c r="V811" s="133"/>
      <c r="W811" s="133"/>
      <c r="X811" s="133"/>
      <c r="Y811" s="133"/>
      <c r="Z811" s="133"/>
      <c r="AA811" s="133"/>
    </row>
    <row r="812" spans="1:27" ht="15.75" customHeight="1" x14ac:dyDescent="0.25">
      <c r="A812" s="133"/>
      <c r="B812" s="133"/>
      <c r="C812" s="133"/>
      <c r="D812" s="133"/>
      <c r="E812" s="133"/>
      <c r="F812" s="133"/>
      <c r="G812" s="133"/>
      <c r="H812" s="133"/>
      <c r="I812" s="133"/>
      <c r="K812" s="133"/>
      <c r="L812" s="133"/>
      <c r="M812" s="133"/>
      <c r="N812" s="133"/>
      <c r="O812" s="133"/>
      <c r="P812" s="133"/>
      <c r="Q812" s="133"/>
      <c r="R812" s="133"/>
      <c r="S812" s="133"/>
      <c r="T812" s="133"/>
      <c r="U812" s="133"/>
      <c r="V812" s="133"/>
      <c r="W812" s="133"/>
      <c r="X812" s="133"/>
      <c r="Y812" s="133"/>
      <c r="Z812" s="133"/>
      <c r="AA812" s="133"/>
    </row>
    <row r="813" spans="1:27" ht="15.75" customHeight="1" x14ac:dyDescent="0.25">
      <c r="A813" s="133"/>
      <c r="B813" s="133"/>
      <c r="C813" s="133"/>
      <c r="D813" s="133"/>
      <c r="E813" s="133"/>
      <c r="F813" s="133"/>
      <c r="G813" s="133"/>
      <c r="H813" s="133"/>
      <c r="I813" s="133"/>
      <c r="K813" s="133"/>
      <c r="L813" s="133"/>
      <c r="M813" s="133"/>
      <c r="N813" s="133"/>
      <c r="O813" s="133"/>
      <c r="P813" s="133"/>
      <c r="Q813" s="133"/>
      <c r="R813" s="133"/>
      <c r="S813" s="133"/>
      <c r="T813" s="133"/>
      <c r="U813" s="133"/>
      <c r="V813" s="133"/>
      <c r="W813" s="133"/>
      <c r="X813" s="133"/>
      <c r="Y813" s="133"/>
      <c r="Z813" s="133"/>
      <c r="AA813" s="133"/>
    </row>
    <row r="814" spans="1:27" ht="15.75" customHeight="1" x14ac:dyDescent="0.25">
      <c r="A814" s="133"/>
      <c r="B814" s="133"/>
      <c r="C814" s="133"/>
      <c r="D814" s="133"/>
      <c r="E814" s="133"/>
      <c r="F814" s="133"/>
      <c r="G814" s="133"/>
      <c r="H814" s="133"/>
      <c r="I814" s="133"/>
      <c r="K814" s="133"/>
      <c r="L814" s="133"/>
      <c r="M814" s="133"/>
      <c r="N814" s="133"/>
      <c r="O814" s="133"/>
      <c r="P814" s="133"/>
      <c r="Q814" s="133"/>
      <c r="R814" s="133"/>
      <c r="S814" s="133"/>
      <c r="T814" s="133"/>
      <c r="U814" s="133"/>
      <c r="V814" s="133"/>
      <c r="W814" s="133"/>
      <c r="X814" s="133"/>
      <c r="Y814" s="133"/>
      <c r="Z814" s="133"/>
      <c r="AA814" s="133"/>
    </row>
    <row r="815" spans="1:27" ht="15.75" customHeight="1" x14ac:dyDescent="0.25">
      <c r="A815" s="133"/>
      <c r="B815" s="133"/>
      <c r="C815" s="133"/>
      <c r="D815" s="133"/>
      <c r="E815" s="133"/>
      <c r="F815" s="133"/>
      <c r="G815" s="133"/>
      <c r="H815" s="133"/>
      <c r="I815" s="133"/>
      <c r="K815" s="133"/>
      <c r="L815" s="133"/>
      <c r="M815" s="133"/>
      <c r="N815" s="133"/>
      <c r="O815" s="133"/>
      <c r="P815" s="133"/>
      <c r="Q815" s="133"/>
      <c r="R815" s="133"/>
      <c r="S815" s="133"/>
      <c r="T815" s="133"/>
      <c r="U815" s="133"/>
      <c r="V815" s="133"/>
      <c r="W815" s="133"/>
      <c r="X815" s="133"/>
      <c r="Y815" s="133"/>
      <c r="Z815" s="133"/>
      <c r="AA815" s="133"/>
    </row>
    <row r="816" spans="1:27" ht="15.75" customHeight="1" x14ac:dyDescent="0.25">
      <c r="A816" s="133"/>
      <c r="B816" s="133"/>
      <c r="C816" s="133"/>
      <c r="D816" s="133"/>
      <c r="E816" s="133"/>
      <c r="F816" s="133"/>
      <c r="G816" s="133"/>
      <c r="H816" s="133"/>
      <c r="I816" s="133"/>
      <c r="K816" s="133"/>
      <c r="L816" s="133"/>
      <c r="M816" s="133"/>
      <c r="N816" s="133"/>
      <c r="O816" s="133"/>
      <c r="P816" s="133"/>
      <c r="Q816" s="133"/>
      <c r="R816" s="133"/>
      <c r="S816" s="133"/>
      <c r="T816" s="133"/>
      <c r="U816" s="133"/>
      <c r="V816" s="133"/>
      <c r="W816" s="133"/>
      <c r="X816" s="133"/>
      <c r="Y816" s="133"/>
      <c r="Z816" s="133"/>
      <c r="AA816" s="133"/>
    </row>
    <row r="817" spans="1:27" ht="15.75" customHeight="1" x14ac:dyDescent="0.25">
      <c r="A817" s="133"/>
      <c r="B817" s="133"/>
      <c r="C817" s="133"/>
      <c r="D817" s="133"/>
      <c r="E817" s="133"/>
      <c r="F817" s="133"/>
      <c r="G817" s="133"/>
      <c r="H817" s="133"/>
      <c r="I817" s="133"/>
      <c r="K817" s="133"/>
      <c r="L817" s="133"/>
      <c r="M817" s="133"/>
      <c r="N817" s="133"/>
      <c r="O817" s="133"/>
      <c r="P817" s="133"/>
      <c r="Q817" s="133"/>
      <c r="R817" s="133"/>
      <c r="S817" s="133"/>
      <c r="T817" s="133"/>
      <c r="U817" s="133"/>
      <c r="V817" s="133"/>
      <c r="W817" s="133"/>
      <c r="X817" s="133"/>
      <c r="Y817" s="133"/>
      <c r="Z817" s="133"/>
      <c r="AA817" s="133"/>
    </row>
    <row r="818" spans="1:27" ht="15.75" customHeight="1" x14ac:dyDescent="0.25">
      <c r="A818" s="133"/>
      <c r="B818" s="133"/>
      <c r="C818" s="133"/>
      <c r="D818" s="133"/>
      <c r="E818" s="133"/>
      <c r="F818" s="133"/>
      <c r="G818" s="133"/>
      <c r="H818" s="133"/>
      <c r="I818" s="133"/>
      <c r="K818" s="133"/>
      <c r="L818" s="133"/>
      <c r="M818" s="133"/>
      <c r="N818" s="133"/>
      <c r="O818" s="133"/>
      <c r="P818" s="133"/>
      <c r="Q818" s="133"/>
      <c r="R818" s="133"/>
      <c r="S818" s="133"/>
      <c r="T818" s="133"/>
      <c r="U818" s="133"/>
      <c r="V818" s="133"/>
      <c r="W818" s="133"/>
      <c r="X818" s="133"/>
      <c r="Y818" s="133"/>
      <c r="Z818" s="133"/>
      <c r="AA818" s="133"/>
    </row>
    <row r="819" spans="1:27" ht="15.75" customHeight="1" x14ac:dyDescent="0.25">
      <c r="A819" s="133"/>
      <c r="B819" s="133"/>
      <c r="C819" s="133"/>
      <c r="D819" s="133"/>
      <c r="E819" s="133"/>
      <c r="F819" s="133"/>
      <c r="G819" s="133"/>
      <c r="H819" s="133"/>
      <c r="I819" s="133"/>
      <c r="K819" s="133"/>
      <c r="L819" s="133"/>
      <c r="M819" s="133"/>
      <c r="N819" s="133"/>
      <c r="O819" s="133"/>
      <c r="P819" s="133"/>
      <c r="Q819" s="133"/>
      <c r="R819" s="133"/>
      <c r="S819" s="133"/>
      <c r="T819" s="133"/>
      <c r="U819" s="133"/>
      <c r="V819" s="133"/>
      <c r="W819" s="133"/>
      <c r="X819" s="133"/>
      <c r="Y819" s="133"/>
      <c r="Z819" s="133"/>
      <c r="AA819" s="133"/>
    </row>
    <row r="820" spans="1:27" ht="15.75" customHeight="1" x14ac:dyDescent="0.25">
      <c r="A820" s="133"/>
      <c r="B820" s="133"/>
      <c r="C820" s="133"/>
      <c r="D820" s="133"/>
      <c r="E820" s="133"/>
      <c r="F820" s="133"/>
      <c r="G820" s="133"/>
      <c r="H820" s="133"/>
      <c r="I820" s="133"/>
      <c r="K820" s="133"/>
      <c r="L820" s="133"/>
      <c r="M820" s="133"/>
      <c r="N820" s="133"/>
      <c r="O820" s="133"/>
      <c r="P820" s="133"/>
      <c r="Q820" s="133"/>
      <c r="R820" s="133"/>
      <c r="S820" s="133"/>
      <c r="T820" s="133"/>
      <c r="U820" s="133"/>
      <c r="V820" s="133"/>
      <c r="W820" s="133"/>
      <c r="X820" s="133"/>
      <c r="Y820" s="133"/>
      <c r="Z820" s="133"/>
      <c r="AA820" s="133"/>
    </row>
    <row r="821" spans="1:27" ht="15.75" customHeight="1" x14ac:dyDescent="0.25">
      <c r="A821" s="133"/>
      <c r="B821" s="133"/>
      <c r="C821" s="133"/>
      <c r="D821" s="133"/>
      <c r="E821" s="133"/>
      <c r="F821" s="133"/>
      <c r="G821" s="133"/>
      <c r="H821" s="133"/>
      <c r="I821" s="133"/>
      <c r="K821" s="133"/>
      <c r="L821" s="133"/>
      <c r="M821" s="133"/>
      <c r="N821" s="133"/>
      <c r="O821" s="133"/>
      <c r="P821" s="133"/>
      <c r="Q821" s="133"/>
      <c r="R821" s="133"/>
      <c r="S821" s="133"/>
      <c r="T821" s="133"/>
      <c r="U821" s="133"/>
      <c r="V821" s="133"/>
      <c r="W821" s="133"/>
      <c r="X821" s="133"/>
      <c r="Y821" s="133"/>
      <c r="Z821" s="133"/>
      <c r="AA821" s="133"/>
    </row>
    <row r="822" spans="1:27" ht="15.75" customHeight="1" x14ac:dyDescent="0.25">
      <c r="A822" s="133"/>
      <c r="B822" s="133"/>
      <c r="C822" s="133"/>
      <c r="D822" s="133"/>
      <c r="E822" s="133"/>
      <c r="F822" s="133"/>
      <c r="G822" s="133"/>
      <c r="H822" s="133"/>
      <c r="I822" s="133"/>
      <c r="K822" s="133"/>
      <c r="L822" s="133"/>
      <c r="M822" s="133"/>
      <c r="N822" s="133"/>
      <c r="O822" s="133"/>
      <c r="P822" s="133"/>
      <c r="Q822" s="133"/>
      <c r="R822" s="133"/>
      <c r="S822" s="133"/>
      <c r="T822" s="133"/>
      <c r="U822" s="133"/>
      <c r="V822" s="133"/>
      <c r="W822" s="133"/>
      <c r="X822" s="133"/>
      <c r="Y822" s="133"/>
      <c r="Z822" s="133"/>
      <c r="AA822" s="133"/>
    </row>
    <row r="823" spans="1:27" ht="15.75" customHeight="1" x14ac:dyDescent="0.25">
      <c r="A823" s="133"/>
      <c r="B823" s="133"/>
      <c r="C823" s="133"/>
      <c r="D823" s="133"/>
      <c r="E823" s="133"/>
      <c r="F823" s="133"/>
      <c r="G823" s="133"/>
      <c r="H823" s="133"/>
      <c r="I823" s="133"/>
      <c r="K823" s="133"/>
      <c r="L823" s="133"/>
      <c r="M823" s="133"/>
      <c r="N823" s="133"/>
      <c r="O823" s="133"/>
      <c r="P823" s="133"/>
      <c r="Q823" s="133"/>
      <c r="R823" s="133"/>
      <c r="S823" s="133"/>
      <c r="T823" s="133"/>
      <c r="U823" s="133"/>
      <c r="V823" s="133"/>
      <c r="W823" s="133"/>
      <c r="X823" s="133"/>
      <c r="Y823" s="133"/>
      <c r="Z823" s="133"/>
      <c r="AA823" s="133"/>
    </row>
    <row r="824" spans="1:27" ht="15.75" customHeight="1" x14ac:dyDescent="0.25">
      <c r="A824" s="133"/>
      <c r="B824" s="133"/>
      <c r="C824" s="133"/>
      <c r="D824" s="133"/>
      <c r="E824" s="133"/>
      <c r="F824" s="133"/>
      <c r="G824" s="133"/>
      <c r="H824" s="133"/>
      <c r="I824" s="133"/>
      <c r="K824" s="133"/>
      <c r="L824" s="133"/>
      <c r="M824" s="133"/>
      <c r="N824" s="133"/>
      <c r="O824" s="133"/>
      <c r="P824" s="133"/>
      <c r="Q824" s="133"/>
      <c r="R824" s="133"/>
      <c r="S824" s="133"/>
      <c r="T824" s="133"/>
      <c r="U824" s="133"/>
      <c r="V824" s="133"/>
      <c r="W824" s="133"/>
      <c r="X824" s="133"/>
      <c r="Y824" s="133"/>
      <c r="Z824" s="133"/>
      <c r="AA824" s="133"/>
    </row>
    <row r="825" spans="1:27" ht="15.75" customHeight="1" x14ac:dyDescent="0.25">
      <c r="A825" s="133"/>
      <c r="B825" s="133"/>
      <c r="C825" s="133"/>
      <c r="D825" s="133"/>
      <c r="E825" s="133"/>
      <c r="F825" s="133"/>
      <c r="G825" s="133"/>
      <c r="H825" s="133"/>
      <c r="I825" s="133"/>
      <c r="K825" s="133"/>
      <c r="L825" s="133"/>
      <c r="M825" s="133"/>
      <c r="N825" s="133"/>
      <c r="O825" s="133"/>
      <c r="P825" s="133"/>
      <c r="Q825" s="133"/>
      <c r="R825" s="133"/>
      <c r="S825" s="133"/>
      <c r="T825" s="133"/>
      <c r="U825" s="133"/>
      <c r="V825" s="133"/>
      <c r="W825" s="133"/>
      <c r="X825" s="133"/>
      <c r="Y825" s="133"/>
      <c r="Z825" s="133"/>
      <c r="AA825" s="133"/>
    </row>
    <row r="826" spans="1:27" ht="15.75" customHeight="1" x14ac:dyDescent="0.25">
      <c r="A826" s="133"/>
      <c r="B826" s="133"/>
      <c r="C826" s="133"/>
      <c r="D826" s="133"/>
      <c r="E826" s="133"/>
      <c r="F826" s="133"/>
      <c r="G826" s="133"/>
      <c r="H826" s="133"/>
      <c r="I826" s="133"/>
      <c r="K826" s="133"/>
      <c r="L826" s="133"/>
      <c r="M826" s="133"/>
      <c r="N826" s="133"/>
      <c r="O826" s="133"/>
      <c r="P826" s="133"/>
      <c r="Q826" s="133"/>
      <c r="R826" s="133"/>
      <c r="S826" s="133"/>
      <c r="T826" s="133"/>
      <c r="U826" s="133"/>
      <c r="V826" s="133"/>
      <c r="W826" s="133"/>
      <c r="X826" s="133"/>
      <c r="Y826" s="133"/>
      <c r="Z826" s="133"/>
      <c r="AA826" s="133"/>
    </row>
    <row r="827" spans="1:27" ht="15.75" customHeight="1" x14ac:dyDescent="0.25">
      <c r="A827" s="133"/>
      <c r="B827" s="133"/>
      <c r="C827" s="133"/>
      <c r="D827" s="133"/>
      <c r="E827" s="133"/>
      <c r="F827" s="133"/>
      <c r="G827" s="133"/>
      <c r="H827" s="133"/>
      <c r="I827" s="133"/>
      <c r="K827" s="133"/>
      <c r="L827" s="133"/>
      <c r="M827" s="133"/>
      <c r="N827" s="133"/>
      <c r="O827" s="133"/>
      <c r="P827" s="133"/>
      <c r="Q827" s="133"/>
      <c r="R827" s="133"/>
      <c r="S827" s="133"/>
      <c r="T827" s="133"/>
      <c r="U827" s="133"/>
      <c r="V827" s="133"/>
      <c r="W827" s="133"/>
      <c r="X827" s="133"/>
      <c r="Y827" s="133"/>
      <c r="Z827" s="133"/>
      <c r="AA827" s="133"/>
    </row>
    <row r="828" spans="1:27" ht="15.75" customHeight="1" x14ac:dyDescent="0.25">
      <c r="A828" s="133"/>
      <c r="B828" s="133"/>
      <c r="C828" s="133"/>
      <c r="D828" s="133"/>
      <c r="E828" s="133"/>
      <c r="F828" s="133"/>
      <c r="G828" s="133"/>
      <c r="H828" s="133"/>
      <c r="I828" s="133"/>
      <c r="K828" s="133"/>
      <c r="L828" s="133"/>
      <c r="M828" s="133"/>
      <c r="N828" s="133"/>
      <c r="O828" s="133"/>
      <c r="P828" s="133"/>
      <c r="Q828" s="133"/>
      <c r="R828" s="133"/>
      <c r="S828" s="133"/>
      <c r="T828" s="133"/>
      <c r="U828" s="133"/>
      <c r="V828" s="133"/>
      <c r="W828" s="133"/>
      <c r="X828" s="133"/>
      <c r="Y828" s="133"/>
      <c r="Z828" s="133"/>
      <c r="AA828" s="133"/>
    </row>
    <row r="829" spans="1:27" ht="15.75" customHeight="1" x14ac:dyDescent="0.25">
      <c r="A829" s="133"/>
      <c r="B829" s="133"/>
      <c r="C829" s="133"/>
      <c r="D829" s="133"/>
      <c r="E829" s="133"/>
      <c r="F829" s="133"/>
      <c r="G829" s="133"/>
      <c r="H829" s="133"/>
      <c r="I829" s="133"/>
      <c r="K829" s="133"/>
      <c r="L829" s="133"/>
      <c r="M829" s="133"/>
      <c r="N829" s="133"/>
      <c r="O829" s="133"/>
      <c r="P829" s="133"/>
      <c r="Q829" s="133"/>
      <c r="R829" s="133"/>
      <c r="S829" s="133"/>
      <c r="T829" s="133"/>
      <c r="U829" s="133"/>
      <c r="V829" s="133"/>
      <c r="W829" s="133"/>
      <c r="X829" s="133"/>
      <c r="Y829" s="133"/>
      <c r="Z829" s="133"/>
      <c r="AA829" s="133"/>
    </row>
    <row r="830" spans="1:27" ht="15.75" customHeight="1" x14ac:dyDescent="0.25">
      <c r="A830" s="133"/>
      <c r="B830" s="133"/>
      <c r="C830" s="133"/>
      <c r="D830" s="133"/>
      <c r="E830" s="133"/>
      <c r="F830" s="133"/>
      <c r="G830" s="133"/>
      <c r="H830" s="133"/>
      <c r="I830" s="133"/>
      <c r="K830" s="133"/>
      <c r="L830" s="133"/>
      <c r="M830" s="133"/>
      <c r="N830" s="133"/>
      <c r="O830" s="133"/>
      <c r="P830" s="133"/>
      <c r="Q830" s="133"/>
      <c r="R830" s="133"/>
      <c r="S830" s="133"/>
      <c r="T830" s="133"/>
      <c r="U830" s="133"/>
      <c r="V830" s="133"/>
      <c r="W830" s="133"/>
      <c r="X830" s="133"/>
      <c r="Y830" s="133"/>
      <c r="Z830" s="133"/>
      <c r="AA830" s="133"/>
    </row>
    <row r="831" spans="1:27" ht="15.75" customHeight="1" x14ac:dyDescent="0.25">
      <c r="A831" s="133"/>
      <c r="B831" s="133"/>
      <c r="C831" s="133"/>
      <c r="D831" s="133"/>
      <c r="E831" s="133"/>
      <c r="F831" s="133"/>
      <c r="G831" s="133"/>
      <c r="H831" s="133"/>
      <c r="I831" s="133"/>
      <c r="K831" s="133"/>
      <c r="L831" s="133"/>
      <c r="M831" s="133"/>
      <c r="N831" s="133"/>
      <c r="O831" s="133"/>
      <c r="P831" s="133"/>
      <c r="Q831" s="133"/>
      <c r="R831" s="133"/>
      <c r="S831" s="133"/>
      <c r="T831" s="133"/>
      <c r="U831" s="133"/>
      <c r="V831" s="133"/>
      <c r="W831" s="133"/>
      <c r="X831" s="133"/>
      <c r="Y831" s="133"/>
      <c r="Z831" s="133"/>
      <c r="AA831" s="133"/>
    </row>
    <row r="832" spans="1:27" ht="15.75" customHeight="1" x14ac:dyDescent="0.25">
      <c r="A832" s="133"/>
      <c r="B832" s="133"/>
      <c r="C832" s="133"/>
      <c r="D832" s="133"/>
      <c r="E832" s="133"/>
      <c r="F832" s="133"/>
      <c r="G832" s="133"/>
      <c r="H832" s="133"/>
      <c r="I832" s="133"/>
      <c r="K832" s="133"/>
      <c r="L832" s="133"/>
      <c r="M832" s="133"/>
      <c r="N832" s="133"/>
      <c r="O832" s="133"/>
      <c r="P832" s="133"/>
      <c r="Q832" s="133"/>
      <c r="R832" s="133"/>
      <c r="S832" s="133"/>
      <c r="T832" s="133"/>
      <c r="U832" s="133"/>
      <c r="V832" s="133"/>
      <c r="W832" s="133"/>
      <c r="X832" s="133"/>
      <c r="Y832" s="133"/>
      <c r="Z832" s="133"/>
      <c r="AA832" s="133"/>
    </row>
    <row r="833" spans="1:27" ht="15.75" customHeight="1" x14ac:dyDescent="0.25">
      <c r="A833" s="133"/>
      <c r="B833" s="133"/>
      <c r="C833" s="133"/>
      <c r="D833" s="133"/>
      <c r="E833" s="133"/>
      <c r="F833" s="133"/>
      <c r="G833" s="133"/>
      <c r="H833" s="133"/>
      <c r="I833" s="133"/>
      <c r="K833" s="133"/>
      <c r="L833" s="133"/>
      <c r="M833" s="133"/>
      <c r="N833" s="133"/>
      <c r="O833" s="133"/>
      <c r="P833" s="133"/>
      <c r="Q833" s="133"/>
      <c r="R833" s="133"/>
      <c r="S833" s="133"/>
      <c r="T833" s="133"/>
      <c r="U833" s="133"/>
      <c r="V833" s="133"/>
      <c r="W833" s="133"/>
      <c r="X833" s="133"/>
      <c r="Y833" s="133"/>
      <c r="Z833" s="133"/>
      <c r="AA833" s="133"/>
    </row>
    <row r="834" spans="1:27" ht="15.75" customHeight="1" x14ac:dyDescent="0.25">
      <c r="A834" s="133"/>
      <c r="B834" s="133"/>
      <c r="C834" s="133"/>
      <c r="D834" s="133"/>
      <c r="E834" s="133"/>
      <c r="F834" s="133"/>
      <c r="G834" s="133"/>
      <c r="H834" s="133"/>
      <c r="I834" s="133"/>
      <c r="K834" s="133"/>
      <c r="L834" s="133"/>
      <c r="M834" s="133"/>
      <c r="N834" s="133"/>
      <c r="O834" s="133"/>
      <c r="P834" s="133"/>
      <c r="Q834" s="133"/>
      <c r="R834" s="133"/>
      <c r="S834" s="133"/>
      <c r="T834" s="133"/>
      <c r="U834" s="133"/>
      <c r="V834" s="133"/>
      <c r="W834" s="133"/>
      <c r="X834" s="133"/>
      <c r="Y834" s="133"/>
      <c r="Z834" s="133"/>
      <c r="AA834" s="133"/>
    </row>
    <row r="835" spans="1:27" ht="15.75" customHeight="1" x14ac:dyDescent="0.25">
      <c r="A835" s="133"/>
      <c r="B835" s="133"/>
      <c r="C835" s="133"/>
      <c r="D835" s="133"/>
      <c r="E835" s="133"/>
      <c r="F835" s="133"/>
      <c r="G835" s="133"/>
      <c r="H835" s="133"/>
      <c r="I835" s="133"/>
      <c r="K835" s="133"/>
      <c r="L835" s="133"/>
      <c r="M835" s="133"/>
      <c r="N835" s="133"/>
      <c r="O835" s="133"/>
      <c r="P835" s="133"/>
      <c r="Q835" s="133"/>
      <c r="R835" s="133"/>
      <c r="S835" s="133"/>
      <c r="T835" s="133"/>
      <c r="U835" s="133"/>
      <c r="V835" s="133"/>
      <c r="W835" s="133"/>
      <c r="X835" s="133"/>
      <c r="Y835" s="133"/>
      <c r="Z835" s="133"/>
      <c r="AA835" s="133"/>
    </row>
    <row r="836" spans="1:27" ht="15.75" customHeight="1" x14ac:dyDescent="0.25">
      <c r="A836" s="133"/>
      <c r="B836" s="133"/>
      <c r="C836" s="133"/>
      <c r="D836" s="133"/>
      <c r="E836" s="133"/>
      <c r="F836" s="133"/>
      <c r="G836" s="133"/>
      <c r="H836" s="133"/>
      <c r="I836" s="133"/>
      <c r="K836" s="133"/>
      <c r="L836" s="133"/>
      <c r="M836" s="133"/>
      <c r="N836" s="133"/>
      <c r="O836" s="133"/>
      <c r="P836" s="133"/>
      <c r="Q836" s="133"/>
      <c r="R836" s="133"/>
      <c r="S836" s="133"/>
      <c r="T836" s="133"/>
      <c r="U836" s="133"/>
      <c r="V836" s="133"/>
      <c r="W836" s="133"/>
      <c r="X836" s="133"/>
      <c r="Y836" s="133"/>
      <c r="Z836" s="133"/>
      <c r="AA836" s="133"/>
    </row>
    <row r="837" spans="1:27" ht="15.75" customHeight="1" x14ac:dyDescent="0.25">
      <c r="A837" s="133"/>
      <c r="B837" s="133"/>
      <c r="C837" s="133"/>
      <c r="D837" s="133"/>
      <c r="E837" s="133"/>
      <c r="F837" s="133"/>
      <c r="G837" s="133"/>
      <c r="H837" s="133"/>
      <c r="I837" s="133"/>
      <c r="K837" s="133"/>
      <c r="L837" s="133"/>
      <c r="M837" s="133"/>
      <c r="N837" s="133"/>
      <c r="O837" s="133"/>
      <c r="P837" s="133"/>
      <c r="Q837" s="133"/>
      <c r="R837" s="133"/>
      <c r="S837" s="133"/>
      <c r="T837" s="133"/>
      <c r="U837" s="133"/>
      <c r="V837" s="133"/>
      <c r="W837" s="133"/>
      <c r="X837" s="133"/>
      <c r="Y837" s="133"/>
      <c r="Z837" s="133"/>
      <c r="AA837" s="133"/>
    </row>
    <row r="838" spans="1:27" ht="15.75" customHeight="1" x14ac:dyDescent="0.25">
      <c r="A838" s="133"/>
      <c r="B838" s="133"/>
      <c r="C838" s="133"/>
      <c r="D838" s="133"/>
      <c r="E838" s="133"/>
      <c r="F838" s="133"/>
      <c r="G838" s="133"/>
      <c r="H838" s="133"/>
      <c r="I838" s="133"/>
      <c r="K838" s="133"/>
      <c r="L838" s="133"/>
      <c r="M838" s="133"/>
      <c r="N838" s="133"/>
      <c r="O838" s="133"/>
      <c r="P838" s="133"/>
      <c r="Q838" s="133"/>
      <c r="R838" s="133"/>
      <c r="S838" s="133"/>
      <c r="T838" s="133"/>
      <c r="U838" s="133"/>
      <c r="V838" s="133"/>
      <c r="W838" s="133"/>
      <c r="X838" s="133"/>
      <c r="Y838" s="133"/>
      <c r="Z838" s="133"/>
      <c r="AA838" s="133"/>
    </row>
    <row r="839" spans="1:27" ht="15.75" customHeight="1" x14ac:dyDescent="0.25">
      <c r="A839" s="133"/>
      <c r="B839" s="133"/>
      <c r="C839" s="133"/>
      <c r="D839" s="133"/>
      <c r="E839" s="133"/>
      <c r="F839" s="133"/>
      <c r="G839" s="133"/>
      <c r="H839" s="133"/>
      <c r="I839" s="133"/>
      <c r="K839" s="133"/>
      <c r="L839" s="133"/>
      <c r="M839" s="133"/>
      <c r="N839" s="133"/>
      <c r="O839" s="133"/>
      <c r="P839" s="133"/>
      <c r="Q839" s="133"/>
      <c r="R839" s="133"/>
      <c r="S839" s="133"/>
      <c r="T839" s="133"/>
      <c r="U839" s="133"/>
      <c r="V839" s="133"/>
      <c r="W839" s="133"/>
      <c r="X839" s="133"/>
      <c r="Y839" s="133"/>
      <c r="Z839" s="133"/>
      <c r="AA839" s="133"/>
    </row>
    <row r="840" spans="1:27" ht="15.75" customHeight="1" x14ac:dyDescent="0.25">
      <c r="A840" s="133"/>
      <c r="B840" s="133"/>
      <c r="C840" s="133"/>
      <c r="D840" s="133"/>
      <c r="E840" s="133"/>
      <c r="F840" s="133"/>
      <c r="G840" s="133"/>
      <c r="H840" s="133"/>
      <c r="I840" s="133"/>
      <c r="K840" s="133"/>
      <c r="L840" s="133"/>
      <c r="M840" s="133"/>
      <c r="N840" s="133"/>
      <c r="O840" s="133"/>
      <c r="P840" s="133"/>
      <c r="Q840" s="133"/>
      <c r="R840" s="133"/>
      <c r="S840" s="133"/>
      <c r="T840" s="133"/>
      <c r="U840" s="133"/>
      <c r="V840" s="133"/>
      <c r="W840" s="133"/>
      <c r="X840" s="133"/>
      <c r="Y840" s="133"/>
      <c r="Z840" s="133"/>
      <c r="AA840" s="133"/>
    </row>
    <row r="841" spans="1:27" ht="15.75" customHeight="1" x14ac:dyDescent="0.25">
      <c r="A841" s="133"/>
      <c r="B841" s="133"/>
      <c r="C841" s="133"/>
      <c r="D841" s="133"/>
      <c r="E841" s="133"/>
      <c r="F841" s="133"/>
      <c r="G841" s="133"/>
      <c r="H841" s="133"/>
      <c r="I841" s="133"/>
      <c r="K841" s="133"/>
      <c r="L841" s="133"/>
      <c r="M841" s="133"/>
      <c r="N841" s="133"/>
      <c r="O841" s="133"/>
      <c r="P841" s="133"/>
      <c r="Q841" s="133"/>
      <c r="R841" s="133"/>
      <c r="S841" s="133"/>
      <c r="T841" s="133"/>
      <c r="U841" s="133"/>
      <c r="V841" s="133"/>
      <c r="W841" s="133"/>
      <c r="X841" s="133"/>
      <c r="Y841" s="133"/>
      <c r="Z841" s="133"/>
      <c r="AA841" s="133"/>
    </row>
    <row r="842" spans="1:27" ht="15.75" customHeight="1" x14ac:dyDescent="0.25">
      <c r="A842" s="133"/>
      <c r="B842" s="133"/>
      <c r="C842" s="133"/>
      <c r="D842" s="133"/>
      <c r="E842" s="133"/>
      <c r="F842" s="133"/>
      <c r="G842" s="133"/>
      <c r="H842" s="133"/>
      <c r="I842" s="133"/>
      <c r="K842" s="133"/>
      <c r="L842" s="133"/>
      <c r="M842" s="133"/>
      <c r="N842" s="133"/>
      <c r="O842" s="133"/>
      <c r="P842" s="133"/>
      <c r="Q842" s="133"/>
      <c r="R842" s="133"/>
      <c r="S842" s="133"/>
      <c r="T842" s="133"/>
      <c r="U842" s="133"/>
      <c r="V842" s="133"/>
      <c r="W842" s="133"/>
      <c r="X842" s="133"/>
      <c r="Y842" s="133"/>
      <c r="Z842" s="133"/>
      <c r="AA842" s="133"/>
    </row>
    <row r="843" spans="1:27" ht="15.75" customHeight="1" x14ac:dyDescent="0.25">
      <c r="A843" s="133"/>
      <c r="B843" s="133"/>
      <c r="C843" s="133"/>
      <c r="D843" s="133"/>
      <c r="E843" s="133"/>
      <c r="F843" s="133"/>
      <c r="G843" s="133"/>
      <c r="H843" s="133"/>
      <c r="I843" s="133"/>
      <c r="K843" s="133"/>
      <c r="L843" s="133"/>
      <c r="M843" s="133"/>
      <c r="N843" s="133"/>
      <c r="O843" s="133"/>
      <c r="P843" s="133"/>
      <c r="Q843" s="133"/>
      <c r="R843" s="133"/>
      <c r="S843" s="133"/>
      <c r="T843" s="133"/>
      <c r="U843" s="133"/>
      <c r="V843" s="133"/>
      <c r="W843" s="133"/>
      <c r="X843" s="133"/>
      <c r="Y843" s="133"/>
      <c r="Z843" s="133"/>
      <c r="AA843" s="133"/>
    </row>
    <row r="844" spans="1:27" ht="15.75" customHeight="1" x14ac:dyDescent="0.25">
      <c r="A844" s="133"/>
      <c r="B844" s="133"/>
      <c r="C844" s="133"/>
      <c r="D844" s="133"/>
      <c r="E844" s="133"/>
      <c r="F844" s="133"/>
      <c r="G844" s="133"/>
      <c r="H844" s="133"/>
      <c r="I844" s="133"/>
      <c r="K844" s="133"/>
      <c r="L844" s="133"/>
      <c r="M844" s="133"/>
      <c r="N844" s="133"/>
      <c r="O844" s="133"/>
      <c r="P844" s="133"/>
      <c r="Q844" s="133"/>
      <c r="R844" s="133"/>
      <c r="S844" s="133"/>
      <c r="T844" s="133"/>
      <c r="U844" s="133"/>
      <c r="V844" s="133"/>
      <c r="W844" s="133"/>
      <c r="X844" s="133"/>
      <c r="Y844" s="133"/>
      <c r="Z844" s="133"/>
      <c r="AA844" s="133"/>
    </row>
    <row r="845" spans="1:27" ht="15.75" customHeight="1" x14ac:dyDescent="0.25">
      <c r="A845" s="133"/>
      <c r="B845" s="133"/>
      <c r="C845" s="133"/>
      <c r="D845" s="133"/>
      <c r="E845" s="133"/>
      <c r="F845" s="133"/>
      <c r="G845" s="133"/>
      <c r="H845" s="133"/>
      <c r="I845" s="133"/>
      <c r="K845" s="133"/>
      <c r="L845" s="133"/>
      <c r="M845" s="133"/>
      <c r="N845" s="133"/>
      <c r="O845" s="133"/>
      <c r="P845" s="133"/>
      <c r="Q845" s="133"/>
      <c r="R845" s="133"/>
      <c r="S845" s="133"/>
      <c r="T845" s="133"/>
      <c r="U845" s="133"/>
      <c r="V845" s="133"/>
      <c r="W845" s="133"/>
      <c r="X845" s="133"/>
      <c r="Y845" s="133"/>
      <c r="Z845" s="133"/>
      <c r="AA845" s="133"/>
    </row>
    <row r="846" spans="1:27" ht="15.75" customHeight="1" x14ac:dyDescent="0.25">
      <c r="A846" s="133"/>
      <c r="B846" s="133"/>
      <c r="C846" s="133"/>
      <c r="D846" s="133"/>
      <c r="E846" s="133"/>
      <c r="F846" s="133"/>
      <c r="G846" s="133"/>
      <c r="H846" s="133"/>
      <c r="I846" s="133"/>
      <c r="K846" s="133"/>
      <c r="L846" s="133"/>
      <c r="M846" s="133"/>
      <c r="N846" s="133"/>
      <c r="O846" s="133"/>
      <c r="P846" s="133"/>
      <c r="Q846" s="133"/>
      <c r="R846" s="133"/>
      <c r="S846" s="133"/>
      <c r="T846" s="133"/>
      <c r="U846" s="133"/>
      <c r="V846" s="133"/>
      <c r="W846" s="133"/>
      <c r="X846" s="133"/>
      <c r="Y846" s="133"/>
      <c r="Z846" s="133"/>
      <c r="AA846" s="133"/>
    </row>
    <row r="847" spans="1:27" ht="15.75" customHeight="1" x14ac:dyDescent="0.25">
      <c r="A847" s="133"/>
      <c r="B847" s="133"/>
      <c r="C847" s="133"/>
      <c r="D847" s="133"/>
      <c r="E847" s="133"/>
      <c r="F847" s="133"/>
      <c r="G847" s="133"/>
      <c r="H847" s="133"/>
      <c r="I847" s="133"/>
      <c r="K847" s="133"/>
      <c r="L847" s="133"/>
      <c r="M847" s="133"/>
      <c r="N847" s="133"/>
      <c r="O847" s="133"/>
      <c r="P847" s="133"/>
      <c r="Q847" s="133"/>
      <c r="R847" s="133"/>
      <c r="S847" s="133"/>
      <c r="T847" s="133"/>
      <c r="U847" s="133"/>
      <c r="V847" s="133"/>
      <c r="W847" s="133"/>
      <c r="X847" s="133"/>
      <c r="Y847" s="133"/>
      <c r="Z847" s="133"/>
      <c r="AA847" s="133"/>
    </row>
    <row r="848" spans="1:27" ht="15.75" customHeight="1" x14ac:dyDescent="0.25">
      <c r="A848" s="133"/>
      <c r="B848" s="133"/>
      <c r="C848" s="133"/>
      <c r="D848" s="133"/>
      <c r="E848" s="133"/>
      <c r="F848" s="133"/>
      <c r="G848" s="133"/>
      <c r="H848" s="133"/>
      <c r="I848" s="133"/>
      <c r="K848" s="133"/>
      <c r="L848" s="133"/>
      <c r="M848" s="133"/>
      <c r="N848" s="133"/>
      <c r="O848" s="133"/>
      <c r="P848" s="133"/>
      <c r="Q848" s="133"/>
      <c r="R848" s="133"/>
      <c r="S848" s="133"/>
      <c r="T848" s="133"/>
      <c r="U848" s="133"/>
      <c r="V848" s="133"/>
      <c r="W848" s="133"/>
      <c r="X848" s="133"/>
      <c r="Y848" s="133"/>
      <c r="Z848" s="133"/>
      <c r="AA848" s="133"/>
    </row>
    <row r="849" spans="1:27" ht="15.75" customHeight="1" x14ac:dyDescent="0.25">
      <c r="A849" s="133"/>
      <c r="B849" s="133"/>
      <c r="C849" s="133"/>
      <c r="D849" s="133"/>
      <c r="E849" s="133"/>
      <c r="F849" s="133"/>
      <c r="G849" s="133"/>
      <c r="H849" s="133"/>
      <c r="I849" s="133"/>
      <c r="K849" s="133"/>
      <c r="L849" s="133"/>
      <c r="M849" s="133"/>
      <c r="N849" s="133"/>
      <c r="O849" s="133"/>
      <c r="P849" s="133"/>
      <c r="Q849" s="133"/>
      <c r="R849" s="133"/>
      <c r="S849" s="133"/>
      <c r="T849" s="133"/>
      <c r="U849" s="133"/>
      <c r="V849" s="133"/>
      <c r="W849" s="133"/>
      <c r="X849" s="133"/>
      <c r="Y849" s="133"/>
      <c r="Z849" s="133"/>
      <c r="AA849" s="133"/>
    </row>
    <row r="850" spans="1:27" ht="15.75" customHeight="1" x14ac:dyDescent="0.25">
      <c r="A850" s="133"/>
      <c r="B850" s="133"/>
      <c r="C850" s="133"/>
      <c r="D850" s="133"/>
      <c r="E850" s="133"/>
      <c r="F850" s="133"/>
      <c r="G850" s="133"/>
      <c r="H850" s="133"/>
      <c r="I850" s="133"/>
      <c r="K850" s="133"/>
      <c r="L850" s="133"/>
      <c r="M850" s="133"/>
      <c r="N850" s="133"/>
      <c r="O850" s="133"/>
      <c r="P850" s="133"/>
      <c r="Q850" s="133"/>
      <c r="R850" s="133"/>
      <c r="S850" s="133"/>
      <c r="T850" s="133"/>
      <c r="U850" s="133"/>
      <c r="V850" s="133"/>
      <c r="W850" s="133"/>
      <c r="X850" s="133"/>
      <c r="Y850" s="133"/>
      <c r="Z850" s="133"/>
      <c r="AA850" s="133"/>
    </row>
    <row r="851" spans="1:27" ht="15.75" customHeight="1" x14ac:dyDescent="0.25">
      <c r="A851" s="133"/>
      <c r="B851" s="133"/>
      <c r="C851" s="133"/>
      <c r="D851" s="133"/>
      <c r="E851" s="133"/>
      <c r="F851" s="133"/>
      <c r="G851" s="133"/>
      <c r="H851" s="133"/>
      <c r="I851" s="133"/>
      <c r="K851" s="133"/>
      <c r="L851" s="133"/>
      <c r="M851" s="133"/>
      <c r="N851" s="133"/>
      <c r="O851" s="133"/>
      <c r="P851" s="133"/>
      <c r="Q851" s="133"/>
      <c r="R851" s="133"/>
      <c r="S851" s="133"/>
      <c r="T851" s="133"/>
      <c r="U851" s="133"/>
      <c r="V851" s="133"/>
      <c r="W851" s="133"/>
      <c r="X851" s="133"/>
      <c r="Y851" s="133"/>
      <c r="Z851" s="133"/>
      <c r="AA851" s="133"/>
    </row>
    <row r="852" spans="1:27" ht="15.75" customHeight="1" x14ac:dyDescent="0.25">
      <c r="A852" s="133"/>
      <c r="B852" s="133"/>
      <c r="C852" s="133"/>
      <c r="D852" s="133"/>
      <c r="E852" s="133"/>
      <c r="F852" s="133"/>
      <c r="G852" s="133"/>
      <c r="H852" s="133"/>
      <c r="I852" s="133"/>
      <c r="K852" s="133"/>
      <c r="L852" s="133"/>
      <c r="M852" s="133"/>
      <c r="N852" s="133"/>
      <c r="O852" s="133"/>
      <c r="P852" s="133"/>
      <c r="Q852" s="133"/>
      <c r="R852" s="133"/>
      <c r="S852" s="133"/>
      <c r="T852" s="133"/>
      <c r="U852" s="133"/>
      <c r="V852" s="133"/>
      <c r="W852" s="133"/>
      <c r="X852" s="133"/>
      <c r="Y852" s="133"/>
      <c r="Z852" s="133"/>
      <c r="AA852" s="133"/>
    </row>
    <row r="853" spans="1:27" ht="15.75" customHeight="1" x14ac:dyDescent="0.25">
      <c r="A853" s="133"/>
      <c r="B853" s="133"/>
      <c r="C853" s="133"/>
      <c r="D853" s="133"/>
      <c r="E853" s="133"/>
      <c r="F853" s="133"/>
      <c r="G853" s="133"/>
      <c r="H853" s="133"/>
      <c r="I853" s="133"/>
      <c r="K853" s="133"/>
      <c r="L853" s="133"/>
      <c r="M853" s="133"/>
      <c r="N853" s="133"/>
      <c r="O853" s="133"/>
      <c r="P853" s="133"/>
      <c r="Q853" s="133"/>
      <c r="R853" s="133"/>
      <c r="S853" s="133"/>
      <c r="T853" s="133"/>
      <c r="U853" s="133"/>
      <c r="V853" s="133"/>
      <c r="W853" s="133"/>
      <c r="X853" s="133"/>
      <c r="Y853" s="133"/>
      <c r="Z853" s="133"/>
      <c r="AA853" s="133"/>
    </row>
    <row r="854" spans="1:27" ht="15.75" customHeight="1" x14ac:dyDescent="0.25">
      <c r="A854" s="133"/>
      <c r="B854" s="133"/>
      <c r="C854" s="133"/>
      <c r="D854" s="133"/>
      <c r="E854" s="133"/>
      <c r="F854" s="133"/>
      <c r="G854" s="133"/>
      <c r="H854" s="133"/>
      <c r="I854" s="133"/>
      <c r="K854" s="133"/>
      <c r="L854" s="133"/>
      <c r="M854" s="133"/>
      <c r="N854" s="133"/>
      <c r="O854" s="133"/>
      <c r="P854" s="133"/>
      <c r="Q854" s="133"/>
      <c r="R854" s="133"/>
      <c r="S854" s="133"/>
      <c r="T854" s="133"/>
      <c r="U854" s="133"/>
      <c r="V854" s="133"/>
      <c r="W854" s="133"/>
      <c r="X854" s="133"/>
      <c r="Y854" s="133"/>
      <c r="Z854" s="133"/>
      <c r="AA854" s="133"/>
    </row>
    <row r="855" spans="1:27" ht="15.75" customHeight="1" x14ac:dyDescent="0.25">
      <c r="A855" s="133"/>
      <c r="B855" s="133"/>
      <c r="C855" s="133"/>
      <c r="D855" s="133"/>
      <c r="E855" s="133"/>
      <c r="F855" s="133"/>
      <c r="G855" s="133"/>
      <c r="H855" s="133"/>
      <c r="I855" s="133"/>
      <c r="K855" s="133"/>
      <c r="L855" s="133"/>
      <c r="M855" s="133"/>
      <c r="N855" s="133"/>
      <c r="O855" s="133"/>
      <c r="P855" s="133"/>
      <c r="Q855" s="133"/>
      <c r="R855" s="133"/>
      <c r="S855" s="133"/>
      <c r="T855" s="133"/>
      <c r="U855" s="133"/>
      <c r="V855" s="133"/>
      <c r="W855" s="133"/>
      <c r="X855" s="133"/>
      <c r="Y855" s="133"/>
      <c r="Z855" s="133"/>
      <c r="AA855" s="133"/>
    </row>
    <row r="856" spans="1:27" ht="15.75" customHeight="1" x14ac:dyDescent="0.25">
      <c r="A856" s="133"/>
      <c r="B856" s="133"/>
      <c r="C856" s="133"/>
      <c r="D856" s="133"/>
      <c r="E856" s="133"/>
      <c r="F856" s="133"/>
      <c r="G856" s="133"/>
      <c r="H856" s="133"/>
      <c r="I856" s="133"/>
      <c r="K856" s="133"/>
      <c r="L856" s="133"/>
      <c r="M856" s="133"/>
      <c r="N856" s="133"/>
      <c r="O856" s="133"/>
      <c r="P856" s="133"/>
      <c r="Q856" s="133"/>
      <c r="R856" s="133"/>
      <c r="S856" s="133"/>
      <c r="T856" s="133"/>
      <c r="U856" s="133"/>
      <c r="V856" s="133"/>
      <c r="W856" s="133"/>
      <c r="X856" s="133"/>
      <c r="Y856" s="133"/>
      <c r="Z856" s="133"/>
      <c r="AA856" s="133"/>
    </row>
    <row r="857" spans="1:27" ht="15.75" customHeight="1" x14ac:dyDescent="0.25">
      <c r="A857" s="133"/>
      <c r="B857" s="133"/>
      <c r="C857" s="133"/>
      <c r="D857" s="133"/>
      <c r="E857" s="133"/>
      <c r="F857" s="133"/>
      <c r="G857" s="133"/>
      <c r="H857" s="133"/>
      <c r="I857" s="133"/>
      <c r="K857" s="133"/>
      <c r="L857" s="133"/>
      <c r="M857" s="133"/>
      <c r="N857" s="133"/>
      <c r="O857" s="133"/>
      <c r="P857" s="133"/>
      <c r="Q857" s="133"/>
      <c r="R857" s="133"/>
      <c r="S857" s="133"/>
      <c r="T857" s="133"/>
      <c r="U857" s="133"/>
      <c r="V857" s="133"/>
      <c r="W857" s="133"/>
      <c r="X857" s="133"/>
      <c r="Y857" s="133"/>
      <c r="Z857" s="133"/>
      <c r="AA857" s="133"/>
    </row>
    <row r="858" spans="1:27" ht="15.75" customHeight="1" x14ac:dyDescent="0.25">
      <c r="A858" s="133"/>
      <c r="B858" s="133"/>
      <c r="C858" s="133"/>
      <c r="D858" s="133"/>
      <c r="E858" s="133"/>
      <c r="F858" s="133"/>
      <c r="G858" s="133"/>
      <c r="H858" s="133"/>
      <c r="I858" s="133"/>
      <c r="K858" s="133"/>
      <c r="L858" s="133"/>
      <c r="M858" s="133"/>
      <c r="N858" s="133"/>
      <c r="O858" s="133"/>
      <c r="P858" s="133"/>
      <c r="Q858" s="133"/>
      <c r="R858" s="133"/>
      <c r="S858" s="133"/>
      <c r="T858" s="133"/>
      <c r="U858" s="133"/>
      <c r="V858" s="133"/>
      <c r="W858" s="133"/>
      <c r="X858" s="133"/>
      <c r="Y858" s="133"/>
      <c r="Z858" s="133"/>
      <c r="AA858" s="133"/>
    </row>
    <row r="859" spans="1:27" ht="15.75" customHeight="1" x14ac:dyDescent="0.25">
      <c r="A859" s="133"/>
      <c r="B859" s="133"/>
      <c r="C859" s="133"/>
      <c r="D859" s="133"/>
      <c r="E859" s="133"/>
      <c r="F859" s="133"/>
      <c r="G859" s="133"/>
      <c r="H859" s="133"/>
      <c r="I859" s="133"/>
      <c r="K859" s="133"/>
      <c r="L859" s="133"/>
      <c r="M859" s="133"/>
      <c r="N859" s="133"/>
      <c r="O859" s="133"/>
      <c r="P859" s="133"/>
      <c r="Q859" s="133"/>
      <c r="R859" s="133"/>
      <c r="S859" s="133"/>
      <c r="T859" s="133"/>
      <c r="U859" s="133"/>
      <c r="V859" s="133"/>
      <c r="W859" s="133"/>
      <c r="X859" s="133"/>
      <c r="Y859" s="133"/>
      <c r="Z859" s="133"/>
      <c r="AA859" s="133"/>
    </row>
    <row r="860" spans="1:27" ht="15.75" customHeight="1" x14ac:dyDescent="0.25">
      <c r="A860" s="133"/>
      <c r="B860" s="133"/>
      <c r="C860" s="133"/>
      <c r="D860" s="133"/>
      <c r="E860" s="133"/>
      <c r="F860" s="133"/>
      <c r="G860" s="133"/>
      <c r="H860" s="133"/>
      <c r="I860" s="133"/>
      <c r="K860" s="133"/>
      <c r="L860" s="133"/>
      <c r="M860" s="133"/>
      <c r="N860" s="133"/>
      <c r="O860" s="133"/>
      <c r="P860" s="133"/>
      <c r="Q860" s="133"/>
      <c r="R860" s="133"/>
      <c r="S860" s="133"/>
      <c r="T860" s="133"/>
      <c r="U860" s="133"/>
      <c r="V860" s="133"/>
      <c r="W860" s="133"/>
      <c r="X860" s="133"/>
      <c r="Y860" s="133"/>
      <c r="Z860" s="133"/>
      <c r="AA860" s="133"/>
    </row>
    <row r="861" spans="1:27" ht="15.75" customHeight="1" x14ac:dyDescent="0.25">
      <c r="A861" s="133"/>
      <c r="B861" s="133"/>
      <c r="C861" s="133"/>
      <c r="D861" s="133"/>
      <c r="E861" s="133"/>
      <c r="F861" s="133"/>
      <c r="G861" s="133"/>
      <c r="H861" s="133"/>
      <c r="I861" s="133"/>
      <c r="K861" s="133"/>
      <c r="L861" s="133"/>
      <c r="M861" s="133"/>
      <c r="N861" s="133"/>
      <c r="O861" s="133"/>
      <c r="P861" s="133"/>
      <c r="Q861" s="133"/>
      <c r="R861" s="133"/>
      <c r="S861" s="133"/>
      <c r="T861" s="133"/>
      <c r="U861" s="133"/>
      <c r="V861" s="133"/>
      <c r="W861" s="133"/>
      <c r="X861" s="133"/>
      <c r="Y861" s="133"/>
      <c r="Z861" s="133"/>
      <c r="AA861" s="133"/>
    </row>
    <row r="862" spans="1:27" ht="15.75" customHeight="1" x14ac:dyDescent="0.25">
      <c r="A862" s="133"/>
      <c r="B862" s="133"/>
      <c r="C862" s="133"/>
      <c r="D862" s="133"/>
      <c r="E862" s="133"/>
      <c r="F862" s="133"/>
      <c r="G862" s="133"/>
      <c r="H862" s="133"/>
      <c r="I862" s="133"/>
      <c r="K862" s="133"/>
      <c r="L862" s="133"/>
      <c r="M862" s="133"/>
      <c r="N862" s="133"/>
      <c r="O862" s="133"/>
      <c r="P862" s="133"/>
      <c r="Q862" s="133"/>
      <c r="R862" s="133"/>
      <c r="S862" s="133"/>
      <c r="T862" s="133"/>
      <c r="U862" s="133"/>
      <c r="V862" s="133"/>
      <c r="W862" s="133"/>
      <c r="X862" s="133"/>
      <c r="Y862" s="133"/>
      <c r="Z862" s="133"/>
      <c r="AA862" s="133"/>
    </row>
    <row r="863" spans="1:27" ht="15.75" customHeight="1" x14ac:dyDescent="0.25">
      <c r="A863" s="133"/>
      <c r="B863" s="133"/>
      <c r="C863" s="133"/>
      <c r="D863" s="133"/>
      <c r="E863" s="133"/>
      <c r="F863" s="133"/>
      <c r="G863" s="133"/>
      <c r="H863" s="133"/>
      <c r="I863" s="133"/>
      <c r="K863" s="133"/>
      <c r="L863" s="133"/>
      <c r="M863" s="133"/>
      <c r="N863" s="133"/>
      <c r="O863" s="133"/>
      <c r="P863" s="133"/>
      <c r="Q863" s="133"/>
      <c r="R863" s="133"/>
      <c r="S863" s="133"/>
      <c r="T863" s="133"/>
      <c r="U863" s="133"/>
      <c r="V863" s="133"/>
      <c r="W863" s="133"/>
      <c r="X863" s="133"/>
      <c r="Y863" s="133"/>
      <c r="Z863" s="133"/>
      <c r="AA863" s="133"/>
    </row>
    <row r="864" spans="1:27" ht="15.75" customHeight="1" x14ac:dyDescent="0.25">
      <c r="A864" s="133"/>
      <c r="B864" s="133"/>
      <c r="C864" s="133"/>
      <c r="D864" s="133"/>
      <c r="E864" s="133"/>
      <c r="F864" s="133"/>
      <c r="G864" s="133"/>
      <c r="H864" s="133"/>
      <c r="I864" s="133"/>
      <c r="K864" s="133"/>
      <c r="L864" s="133"/>
      <c r="M864" s="133"/>
      <c r="N864" s="133"/>
      <c r="O864" s="133"/>
      <c r="P864" s="133"/>
      <c r="Q864" s="133"/>
      <c r="R864" s="133"/>
      <c r="S864" s="133"/>
      <c r="T864" s="133"/>
      <c r="U864" s="133"/>
      <c r="V864" s="133"/>
      <c r="W864" s="133"/>
      <c r="X864" s="133"/>
      <c r="Y864" s="133"/>
      <c r="Z864" s="133"/>
      <c r="AA864" s="133"/>
    </row>
    <row r="865" spans="1:27" ht="15.75" customHeight="1" x14ac:dyDescent="0.25">
      <c r="A865" s="133"/>
      <c r="B865" s="133"/>
      <c r="C865" s="133"/>
      <c r="D865" s="133"/>
      <c r="E865" s="133"/>
      <c r="F865" s="133"/>
      <c r="G865" s="133"/>
      <c r="H865" s="133"/>
      <c r="I865" s="133"/>
      <c r="K865" s="133"/>
      <c r="L865" s="133"/>
      <c r="M865" s="133"/>
      <c r="N865" s="133"/>
      <c r="O865" s="133"/>
      <c r="P865" s="133"/>
      <c r="Q865" s="133"/>
      <c r="R865" s="133"/>
      <c r="S865" s="133"/>
      <c r="T865" s="133"/>
      <c r="U865" s="133"/>
      <c r="V865" s="133"/>
      <c r="W865" s="133"/>
      <c r="X865" s="133"/>
      <c r="Y865" s="133"/>
      <c r="Z865" s="133"/>
      <c r="AA865" s="133"/>
    </row>
    <row r="866" spans="1:27" ht="15.75" customHeight="1" x14ac:dyDescent="0.25">
      <c r="A866" s="133"/>
      <c r="B866" s="133"/>
      <c r="C866" s="133"/>
      <c r="D866" s="133"/>
      <c r="E866" s="133"/>
      <c r="F866" s="133"/>
      <c r="G866" s="133"/>
      <c r="H866" s="133"/>
      <c r="I866" s="133"/>
      <c r="K866" s="133"/>
      <c r="L866" s="133"/>
      <c r="M866" s="133"/>
      <c r="N866" s="133"/>
      <c r="O866" s="133"/>
      <c r="P866" s="133"/>
      <c r="Q866" s="133"/>
      <c r="R866" s="133"/>
      <c r="S866" s="133"/>
      <c r="T866" s="133"/>
      <c r="U866" s="133"/>
      <c r="V866" s="133"/>
      <c r="W866" s="133"/>
      <c r="X866" s="133"/>
      <c r="Y866" s="133"/>
      <c r="Z866" s="133"/>
      <c r="AA866" s="133"/>
    </row>
    <row r="867" spans="1:27" ht="15.75" customHeight="1" x14ac:dyDescent="0.25">
      <c r="A867" s="133"/>
      <c r="B867" s="133"/>
      <c r="C867" s="133"/>
      <c r="D867" s="133"/>
      <c r="E867" s="133"/>
      <c r="F867" s="133"/>
      <c r="G867" s="133"/>
      <c r="H867" s="133"/>
      <c r="I867" s="133"/>
      <c r="K867" s="133"/>
      <c r="L867" s="133"/>
      <c r="M867" s="133"/>
      <c r="N867" s="133"/>
      <c r="O867" s="133"/>
      <c r="P867" s="133"/>
      <c r="Q867" s="133"/>
      <c r="R867" s="133"/>
      <c r="S867" s="133"/>
      <c r="T867" s="133"/>
      <c r="U867" s="133"/>
      <c r="V867" s="133"/>
      <c r="W867" s="133"/>
      <c r="X867" s="133"/>
      <c r="Y867" s="133"/>
      <c r="Z867" s="133"/>
      <c r="AA867" s="133"/>
    </row>
    <row r="868" spans="1:27" ht="15.75" customHeight="1" x14ac:dyDescent="0.25">
      <c r="A868" s="133"/>
      <c r="B868" s="133"/>
      <c r="C868" s="133"/>
      <c r="D868" s="133"/>
      <c r="E868" s="133"/>
      <c r="F868" s="133"/>
      <c r="G868" s="133"/>
      <c r="H868" s="133"/>
      <c r="I868" s="133"/>
      <c r="K868" s="133"/>
      <c r="L868" s="133"/>
      <c r="M868" s="133"/>
      <c r="N868" s="133"/>
      <c r="O868" s="133"/>
      <c r="P868" s="133"/>
      <c r="Q868" s="133"/>
      <c r="R868" s="133"/>
      <c r="S868" s="133"/>
      <c r="T868" s="133"/>
      <c r="U868" s="133"/>
      <c r="V868" s="133"/>
      <c r="W868" s="133"/>
      <c r="X868" s="133"/>
      <c r="Y868" s="133"/>
      <c r="Z868" s="133"/>
      <c r="AA868" s="133"/>
    </row>
    <row r="869" spans="1:27" ht="15.75" customHeight="1" x14ac:dyDescent="0.25">
      <c r="A869" s="133"/>
      <c r="B869" s="133"/>
      <c r="C869" s="133"/>
      <c r="D869" s="133"/>
      <c r="E869" s="133"/>
      <c r="F869" s="133"/>
      <c r="G869" s="133"/>
      <c r="H869" s="133"/>
      <c r="I869" s="133"/>
      <c r="K869" s="133"/>
      <c r="L869" s="133"/>
      <c r="M869" s="133"/>
      <c r="N869" s="133"/>
      <c r="O869" s="133"/>
      <c r="P869" s="133"/>
      <c r="Q869" s="133"/>
      <c r="R869" s="133"/>
      <c r="S869" s="133"/>
      <c r="T869" s="133"/>
      <c r="U869" s="133"/>
      <c r="V869" s="133"/>
      <c r="W869" s="133"/>
      <c r="X869" s="133"/>
      <c r="Y869" s="133"/>
      <c r="Z869" s="133"/>
      <c r="AA869" s="133"/>
    </row>
    <row r="870" spans="1:27" ht="15.75" customHeight="1" x14ac:dyDescent="0.25">
      <c r="A870" s="133"/>
      <c r="B870" s="133"/>
      <c r="C870" s="133"/>
      <c r="D870" s="133"/>
      <c r="E870" s="133"/>
      <c r="F870" s="133"/>
      <c r="G870" s="133"/>
      <c r="H870" s="133"/>
      <c r="I870" s="133"/>
      <c r="K870" s="133"/>
      <c r="L870" s="133"/>
      <c r="M870" s="133"/>
      <c r="N870" s="133"/>
      <c r="O870" s="133"/>
      <c r="P870" s="133"/>
      <c r="Q870" s="133"/>
      <c r="R870" s="133"/>
      <c r="S870" s="133"/>
      <c r="T870" s="133"/>
      <c r="U870" s="133"/>
      <c r="V870" s="133"/>
      <c r="W870" s="133"/>
      <c r="X870" s="133"/>
      <c r="Y870" s="133"/>
      <c r="Z870" s="133"/>
      <c r="AA870" s="133"/>
    </row>
    <row r="871" spans="1:27" ht="15.75" customHeight="1" x14ac:dyDescent="0.25">
      <c r="A871" s="133"/>
      <c r="B871" s="133"/>
      <c r="C871" s="133"/>
      <c r="D871" s="133"/>
      <c r="E871" s="133"/>
      <c r="F871" s="133"/>
      <c r="G871" s="133"/>
      <c r="H871" s="133"/>
      <c r="I871" s="133"/>
      <c r="K871" s="133"/>
      <c r="L871" s="133"/>
      <c r="M871" s="133"/>
      <c r="N871" s="133"/>
      <c r="O871" s="133"/>
      <c r="P871" s="133"/>
      <c r="Q871" s="133"/>
      <c r="R871" s="133"/>
      <c r="S871" s="133"/>
      <c r="T871" s="133"/>
      <c r="U871" s="133"/>
      <c r="V871" s="133"/>
      <c r="W871" s="133"/>
      <c r="X871" s="133"/>
      <c r="Y871" s="133"/>
      <c r="Z871" s="133"/>
      <c r="AA871" s="133"/>
    </row>
    <row r="872" spans="1:27" ht="15.75" customHeight="1" x14ac:dyDescent="0.25">
      <c r="A872" s="133"/>
      <c r="B872" s="133"/>
      <c r="C872" s="133"/>
      <c r="D872" s="133"/>
      <c r="E872" s="133"/>
      <c r="F872" s="133"/>
      <c r="G872" s="133"/>
      <c r="H872" s="133"/>
      <c r="I872" s="133"/>
      <c r="K872" s="133"/>
      <c r="L872" s="133"/>
      <c r="M872" s="133"/>
      <c r="N872" s="133"/>
      <c r="O872" s="133"/>
      <c r="P872" s="133"/>
      <c r="Q872" s="133"/>
      <c r="R872" s="133"/>
      <c r="S872" s="133"/>
      <c r="T872" s="133"/>
      <c r="U872" s="133"/>
      <c r="V872" s="133"/>
      <c r="W872" s="133"/>
      <c r="X872" s="133"/>
      <c r="Y872" s="133"/>
      <c r="Z872" s="133"/>
      <c r="AA872" s="133"/>
    </row>
    <row r="873" spans="1:27" ht="15.75" customHeight="1" x14ac:dyDescent="0.25">
      <c r="A873" s="133"/>
      <c r="B873" s="133"/>
      <c r="C873" s="133"/>
      <c r="D873" s="133"/>
      <c r="E873" s="133"/>
      <c r="F873" s="133"/>
      <c r="G873" s="133"/>
      <c r="H873" s="133"/>
      <c r="I873" s="133"/>
      <c r="K873" s="133"/>
      <c r="L873" s="133"/>
      <c r="M873" s="133"/>
      <c r="N873" s="133"/>
      <c r="O873" s="133"/>
      <c r="P873" s="133"/>
      <c r="Q873" s="133"/>
      <c r="R873" s="133"/>
      <c r="S873" s="133"/>
      <c r="T873" s="133"/>
      <c r="U873" s="133"/>
      <c r="V873" s="133"/>
      <c r="W873" s="133"/>
      <c r="X873" s="133"/>
      <c r="Y873" s="133"/>
      <c r="Z873" s="133"/>
      <c r="AA873" s="133"/>
    </row>
    <row r="874" spans="1:27" ht="15.75" customHeight="1" x14ac:dyDescent="0.25">
      <c r="A874" s="133"/>
      <c r="B874" s="133"/>
      <c r="C874" s="133"/>
      <c r="D874" s="133"/>
      <c r="E874" s="133"/>
      <c r="F874" s="133"/>
      <c r="G874" s="133"/>
      <c r="H874" s="133"/>
      <c r="I874" s="133"/>
      <c r="K874" s="133"/>
      <c r="L874" s="133"/>
      <c r="M874" s="133"/>
      <c r="N874" s="133"/>
      <c r="O874" s="133"/>
      <c r="P874" s="133"/>
      <c r="Q874" s="133"/>
      <c r="R874" s="133"/>
      <c r="S874" s="133"/>
      <c r="T874" s="133"/>
      <c r="U874" s="133"/>
      <c r="V874" s="133"/>
      <c r="W874" s="133"/>
      <c r="X874" s="133"/>
      <c r="Y874" s="133"/>
      <c r="Z874" s="133"/>
      <c r="AA874" s="133"/>
    </row>
    <row r="875" spans="1:27" ht="15.75" customHeight="1" x14ac:dyDescent="0.25">
      <c r="A875" s="133"/>
      <c r="B875" s="133"/>
      <c r="C875" s="133"/>
      <c r="D875" s="133"/>
      <c r="E875" s="133"/>
      <c r="F875" s="133"/>
      <c r="G875" s="133"/>
      <c r="H875" s="133"/>
      <c r="I875" s="133"/>
      <c r="K875" s="133"/>
      <c r="L875" s="133"/>
      <c r="M875" s="133"/>
      <c r="N875" s="133"/>
      <c r="O875" s="133"/>
      <c r="P875" s="133"/>
      <c r="Q875" s="133"/>
      <c r="R875" s="133"/>
      <c r="S875" s="133"/>
      <c r="T875" s="133"/>
      <c r="U875" s="133"/>
      <c r="V875" s="133"/>
      <c r="W875" s="133"/>
      <c r="X875" s="133"/>
      <c r="Y875" s="133"/>
      <c r="Z875" s="133"/>
      <c r="AA875" s="133"/>
    </row>
    <row r="876" spans="1:27" ht="15.75" customHeight="1" x14ac:dyDescent="0.25">
      <c r="A876" s="133"/>
      <c r="B876" s="133"/>
      <c r="C876" s="133"/>
      <c r="D876" s="133"/>
      <c r="E876" s="133"/>
      <c r="F876" s="133"/>
      <c r="G876" s="133"/>
      <c r="H876" s="133"/>
      <c r="I876" s="133"/>
      <c r="K876" s="133"/>
      <c r="L876" s="133"/>
      <c r="M876" s="133"/>
      <c r="N876" s="133"/>
      <c r="O876" s="133"/>
      <c r="P876" s="133"/>
      <c r="Q876" s="133"/>
      <c r="R876" s="133"/>
      <c r="S876" s="133"/>
      <c r="T876" s="133"/>
      <c r="U876" s="133"/>
      <c r="V876" s="133"/>
      <c r="W876" s="133"/>
      <c r="X876" s="133"/>
      <c r="Y876" s="133"/>
      <c r="Z876" s="133"/>
      <c r="AA876" s="133"/>
    </row>
    <row r="877" spans="1:27" ht="15.75" customHeight="1" x14ac:dyDescent="0.25">
      <c r="A877" s="133"/>
      <c r="B877" s="133"/>
      <c r="C877" s="133"/>
      <c r="D877" s="133"/>
      <c r="E877" s="133"/>
      <c r="F877" s="133"/>
      <c r="G877" s="133"/>
      <c r="H877" s="133"/>
      <c r="I877" s="133"/>
      <c r="K877" s="133"/>
      <c r="L877" s="133"/>
      <c r="M877" s="133"/>
      <c r="N877" s="133"/>
      <c r="O877" s="133"/>
      <c r="P877" s="133"/>
      <c r="Q877" s="133"/>
      <c r="R877" s="133"/>
      <c r="S877" s="133"/>
      <c r="T877" s="133"/>
      <c r="U877" s="133"/>
      <c r="V877" s="133"/>
      <c r="W877" s="133"/>
      <c r="X877" s="133"/>
      <c r="Y877" s="133"/>
      <c r="Z877" s="133"/>
      <c r="AA877" s="133"/>
    </row>
    <row r="878" spans="1:27" ht="15.75" customHeight="1" x14ac:dyDescent="0.25">
      <c r="A878" s="133"/>
      <c r="B878" s="133"/>
      <c r="C878" s="133"/>
      <c r="D878" s="133"/>
      <c r="E878" s="133"/>
      <c r="F878" s="133"/>
      <c r="G878" s="133"/>
      <c r="H878" s="133"/>
      <c r="I878" s="133"/>
      <c r="K878" s="133"/>
      <c r="L878" s="133"/>
      <c r="M878" s="133"/>
      <c r="N878" s="133"/>
      <c r="O878" s="133"/>
      <c r="P878" s="133"/>
      <c r="Q878" s="133"/>
      <c r="R878" s="133"/>
      <c r="S878" s="133"/>
      <c r="T878" s="133"/>
      <c r="U878" s="133"/>
      <c r="V878" s="133"/>
      <c r="W878" s="133"/>
      <c r="X878" s="133"/>
      <c r="Y878" s="133"/>
      <c r="Z878" s="133"/>
      <c r="AA878" s="133"/>
    </row>
    <row r="879" spans="1:27" ht="15.75" customHeight="1" x14ac:dyDescent="0.25">
      <c r="A879" s="133"/>
      <c r="B879" s="133"/>
      <c r="C879" s="133"/>
      <c r="D879" s="133"/>
      <c r="E879" s="133"/>
      <c r="F879" s="133"/>
      <c r="G879" s="133"/>
      <c r="H879" s="133"/>
      <c r="I879" s="133"/>
      <c r="K879" s="133"/>
      <c r="L879" s="133"/>
      <c r="M879" s="133"/>
      <c r="N879" s="133"/>
      <c r="O879" s="133"/>
      <c r="P879" s="133"/>
      <c r="Q879" s="133"/>
      <c r="R879" s="133"/>
      <c r="S879" s="133"/>
      <c r="T879" s="133"/>
      <c r="U879" s="133"/>
      <c r="V879" s="133"/>
      <c r="W879" s="133"/>
      <c r="X879" s="133"/>
      <c r="Y879" s="133"/>
      <c r="Z879" s="133"/>
      <c r="AA879" s="133"/>
    </row>
    <row r="880" spans="1:27" ht="15.75" customHeight="1" x14ac:dyDescent="0.25">
      <c r="A880" s="133"/>
      <c r="B880" s="133"/>
      <c r="C880" s="133"/>
      <c r="D880" s="133"/>
      <c r="E880" s="133"/>
      <c r="F880" s="133"/>
      <c r="G880" s="133"/>
      <c r="H880" s="133"/>
      <c r="I880" s="133"/>
      <c r="K880" s="133"/>
      <c r="L880" s="133"/>
      <c r="M880" s="133"/>
      <c r="N880" s="133"/>
      <c r="O880" s="133"/>
      <c r="P880" s="133"/>
      <c r="Q880" s="133"/>
      <c r="R880" s="133"/>
      <c r="S880" s="133"/>
      <c r="T880" s="133"/>
      <c r="U880" s="133"/>
      <c r="V880" s="133"/>
      <c r="W880" s="133"/>
      <c r="X880" s="133"/>
      <c r="Y880" s="133"/>
      <c r="Z880" s="133"/>
      <c r="AA880" s="133"/>
    </row>
    <row r="881" spans="1:27" ht="15.75" customHeight="1" x14ac:dyDescent="0.25">
      <c r="A881" s="133"/>
      <c r="B881" s="133"/>
      <c r="C881" s="133"/>
      <c r="D881" s="133"/>
      <c r="E881" s="133"/>
      <c r="F881" s="133"/>
      <c r="G881" s="133"/>
      <c r="H881" s="133"/>
      <c r="I881" s="133"/>
      <c r="K881" s="133"/>
      <c r="L881" s="133"/>
      <c r="M881" s="133"/>
      <c r="N881" s="133"/>
      <c r="O881" s="133"/>
      <c r="P881" s="133"/>
      <c r="Q881" s="133"/>
      <c r="R881" s="133"/>
      <c r="S881" s="133"/>
      <c r="T881" s="133"/>
      <c r="U881" s="133"/>
      <c r="V881" s="133"/>
      <c r="W881" s="133"/>
      <c r="X881" s="133"/>
      <c r="Y881" s="133"/>
      <c r="Z881" s="133"/>
      <c r="AA881" s="133"/>
    </row>
    <row r="882" spans="1:27" ht="15.75" customHeight="1" x14ac:dyDescent="0.25">
      <c r="A882" s="133"/>
      <c r="B882" s="133"/>
      <c r="C882" s="133"/>
      <c r="D882" s="133"/>
      <c r="E882" s="133"/>
      <c r="F882" s="133"/>
      <c r="G882" s="133"/>
      <c r="H882" s="133"/>
      <c r="I882" s="133"/>
      <c r="K882" s="133"/>
      <c r="L882" s="133"/>
      <c r="M882" s="133"/>
      <c r="N882" s="133"/>
      <c r="O882" s="133"/>
      <c r="P882" s="133"/>
      <c r="Q882" s="133"/>
      <c r="R882" s="133"/>
      <c r="S882" s="133"/>
      <c r="T882" s="133"/>
      <c r="U882" s="133"/>
      <c r="V882" s="133"/>
      <c r="W882" s="133"/>
      <c r="X882" s="133"/>
      <c r="Y882" s="133"/>
      <c r="Z882" s="133"/>
      <c r="AA882" s="133"/>
    </row>
    <row r="883" spans="1:27" ht="15.75" customHeight="1" x14ac:dyDescent="0.25">
      <c r="A883" s="133"/>
      <c r="B883" s="133"/>
      <c r="C883" s="133"/>
      <c r="D883" s="133"/>
      <c r="E883" s="133"/>
      <c r="F883" s="133"/>
      <c r="G883" s="133"/>
      <c r="H883" s="133"/>
      <c r="I883" s="133"/>
      <c r="K883" s="133"/>
      <c r="L883" s="133"/>
      <c r="M883" s="133"/>
      <c r="N883" s="133"/>
      <c r="O883" s="133"/>
      <c r="P883" s="133"/>
      <c r="Q883" s="133"/>
      <c r="R883" s="133"/>
      <c r="S883" s="133"/>
      <c r="T883" s="133"/>
      <c r="U883" s="133"/>
      <c r="V883" s="133"/>
      <c r="W883" s="133"/>
      <c r="X883" s="133"/>
      <c r="Y883" s="133"/>
      <c r="Z883" s="133"/>
      <c r="AA883" s="133"/>
    </row>
    <row r="884" spans="1:27" ht="15.75" customHeight="1" x14ac:dyDescent="0.25">
      <c r="A884" s="133"/>
      <c r="B884" s="133"/>
      <c r="C884" s="133"/>
      <c r="D884" s="133"/>
      <c r="E884" s="133"/>
      <c r="F884" s="133"/>
      <c r="G884" s="133"/>
      <c r="H884" s="133"/>
      <c r="I884" s="133"/>
      <c r="K884" s="133"/>
      <c r="L884" s="133"/>
      <c r="M884" s="133"/>
      <c r="N884" s="133"/>
      <c r="O884" s="133"/>
      <c r="P884" s="133"/>
      <c r="Q884" s="133"/>
      <c r="R884" s="133"/>
      <c r="S884" s="133"/>
      <c r="T884" s="133"/>
      <c r="U884" s="133"/>
      <c r="V884" s="133"/>
      <c r="W884" s="133"/>
      <c r="X884" s="133"/>
      <c r="Y884" s="133"/>
      <c r="Z884" s="133"/>
      <c r="AA884" s="133"/>
    </row>
    <row r="885" spans="1:27" ht="15.75" customHeight="1" x14ac:dyDescent="0.25">
      <c r="A885" s="133"/>
      <c r="B885" s="133"/>
      <c r="C885" s="133"/>
      <c r="D885" s="133"/>
      <c r="E885" s="133"/>
      <c r="F885" s="133"/>
      <c r="G885" s="133"/>
      <c r="H885" s="133"/>
      <c r="I885" s="133"/>
      <c r="K885" s="133"/>
      <c r="L885" s="133"/>
      <c r="M885" s="133"/>
      <c r="N885" s="133"/>
      <c r="O885" s="133"/>
      <c r="P885" s="133"/>
      <c r="Q885" s="133"/>
      <c r="R885" s="133"/>
      <c r="S885" s="133"/>
      <c r="T885" s="133"/>
      <c r="U885" s="133"/>
      <c r="V885" s="133"/>
      <c r="W885" s="133"/>
      <c r="X885" s="133"/>
      <c r="Y885" s="133"/>
      <c r="Z885" s="133"/>
      <c r="AA885" s="133"/>
    </row>
    <row r="886" spans="1:27" ht="15.75" customHeight="1" x14ac:dyDescent="0.25">
      <c r="A886" s="133"/>
      <c r="B886" s="133"/>
      <c r="C886" s="133"/>
      <c r="D886" s="133"/>
      <c r="E886" s="133"/>
      <c r="F886" s="133"/>
      <c r="G886" s="133"/>
      <c r="H886" s="133"/>
      <c r="I886" s="133"/>
      <c r="K886" s="133"/>
      <c r="L886" s="133"/>
      <c r="M886" s="133"/>
      <c r="N886" s="133"/>
      <c r="O886" s="133"/>
      <c r="P886" s="133"/>
      <c r="Q886" s="133"/>
      <c r="R886" s="133"/>
      <c r="S886" s="133"/>
      <c r="T886" s="133"/>
      <c r="U886" s="133"/>
      <c r="V886" s="133"/>
      <c r="W886" s="133"/>
      <c r="X886" s="133"/>
      <c r="Y886" s="133"/>
      <c r="Z886" s="133"/>
      <c r="AA886" s="133"/>
    </row>
    <row r="887" spans="1:27" ht="15.75" customHeight="1" x14ac:dyDescent="0.25">
      <c r="A887" s="133"/>
      <c r="B887" s="133"/>
      <c r="C887" s="133"/>
      <c r="D887" s="133"/>
      <c r="E887" s="133"/>
      <c r="F887" s="133"/>
      <c r="G887" s="133"/>
      <c r="H887" s="133"/>
      <c r="I887" s="133"/>
      <c r="K887" s="133"/>
      <c r="L887" s="133"/>
      <c r="M887" s="133"/>
      <c r="N887" s="133"/>
      <c r="O887" s="133"/>
      <c r="P887" s="133"/>
      <c r="Q887" s="133"/>
      <c r="R887" s="133"/>
      <c r="S887" s="133"/>
      <c r="T887" s="133"/>
      <c r="U887" s="133"/>
      <c r="V887" s="133"/>
      <c r="W887" s="133"/>
      <c r="X887" s="133"/>
      <c r="Y887" s="133"/>
      <c r="Z887" s="133"/>
      <c r="AA887" s="133"/>
    </row>
    <row r="888" spans="1:27" ht="15.75" customHeight="1" x14ac:dyDescent="0.25">
      <c r="A888" s="133"/>
      <c r="B888" s="133"/>
      <c r="C888" s="133"/>
      <c r="D888" s="133"/>
      <c r="E888" s="133"/>
      <c r="F888" s="133"/>
      <c r="G888" s="133"/>
      <c r="H888" s="133"/>
      <c r="I888" s="133"/>
      <c r="K888" s="133"/>
      <c r="L888" s="133"/>
      <c r="M888" s="133"/>
      <c r="N888" s="133"/>
      <c r="O888" s="133"/>
      <c r="P888" s="133"/>
      <c r="Q888" s="133"/>
      <c r="R888" s="133"/>
      <c r="S888" s="133"/>
      <c r="T888" s="133"/>
      <c r="U888" s="133"/>
      <c r="V888" s="133"/>
      <c r="W888" s="133"/>
      <c r="X888" s="133"/>
      <c r="Y888" s="133"/>
      <c r="Z888" s="133"/>
      <c r="AA888" s="133"/>
    </row>
    <row r="889" spans="1:27" ht="15.75" customHeight="1" x14ac:dyDescent="0.25">
      <c r="A889" s="133"/>
      <c r="B889" s="133"/>
      <c r="C889" s="133"/>
      <c r="D889" s="133"/>
      <c r="E889" s="133"/>
      <c r="F889" s="133"/>
      <c r="G889" s="133"/>
      <c r="H889" s="133"/>
      <c r="I889" s="133"/>
      <c r="K889" s="133"/>
      <c r="L889" s="133"/>
      <c r="M889" s="133"/>
      <c r="N889" s="133"/>
      <c r="O889" s="133"/>
      <c r="P889" s="133"/>
      <c r="Q889" s="133"/>
      <c r="R889" s="133"/>
      <c r="S889" s="133"/>
      <c r="T889" s="133"/>
      <c r="U889" s="133"/>
      <c r="V889" s="133"/>
      <c r="W889" s="133"/>
      <c r="X889" s="133"/>
      <c r="Y889" s="133"/>
      <c r="Z889" s="133"/>
      <c r="AA889" s="133"/>
    </row>
    <row r="890" spans="1:27" ht="15.75" customHeight="1" x14ac:dyDescent="0.25">
      <c r="A890" s="133"/>
      <c r="B890" s="133"/>
      <c r="C890" s="133"/>
      <c r="D890" s="133"/>
      <c r="E890" s="133"/>
      <c r="F890" s="133"/>
      <c r="G890" s="133"/>
      <c r="H890" s="133"/>
      <c r="I890" s="133"/>
      <c r="K890" s="133"/>
      <c r="L890" s="133"/>
      <c r="M890" s="133"/>
      <c r="N890" s="133"/>
      <c r="O890" s="133"/>
      <c r="P890" s="133"/>
      <c r="Q890" s="133"/>
      <c r="R890" s="133"/>
      <c r="S890" s="133"/>
      <c r="T890" s="133"/>
      <c r="U890" s="133"/>
      <c r="V890" s="133"/>
      <c r="W890" s="133"/>
      <c r="X890" s="133"/>
      <c r="Y890" s="133"/>
      <c r="Z890" s="133"/>
      <c r="AA890" s="133"/>
    </row>
    <row r="891" spans="1:27" ht="15.75" customHeight="1" x14ac:dyDescent="0.25">
      <c r="A891" s="133"/>
      <c r="B891" s="133"/>
      <c r="C891" s="133"/>
      <c r="D891" s="133"/>
      <c r="E891" s="133"/>
      <c r="F891" s="133"/>
      <c r="G891" s="133"/>
      <c r="H891" s="133"/>
      <c r="I891" s="133"/>
      <c r="K891" s="133"/>
      <c r="L891" s="133"/>
      <c r="M891" s="133"/>
      <c r="N891" s="133"/>
      <c r="O891" s="133"/>
      <c r="P891" s="133"/>
      <c r="Q891" s="133"/>
      <c r="R891" s="133"/>
      <c r="S891" s="133"/>
      <c r="T891" s="133"/>
      <c r="U891" s="133"/>
      <c r="V891" s="133"/>
      <c r="W891" s="133"/>
      <c r="X891" s="133"/>
      <c r="Y891" s="133"/>
      <c r="Z891" s="133"/>
      <c r="AA891" s="133"/>
    </row>
    <row r="892" spans="1:27" ht="15.75" customHeight="1" x14ac:dyDescent="0.25">
      <c r="A892" s="133"/>
      <c r="B892" s="133"/>
      <c r="C892" s="133"/>
      <c r="D892" s="133"/>
      <c r="E892" s="133"/>
      <c r="F892" s="133"/>
      <c r="G892" s="133"/>
      <c r="H892" s="133"/>
      <c r="I892" s="133"/>
      <c r="K892" s="133"/>
      <c r="L892" s="133"/>
      <c r="M892" s="133"/>
      <c r="N892" s="133"/>
      <c r="O892" s="133"/>
      <c r="P892" s="133"/>
      <c r="Q892" s="133"/>
      <c r="R892" s="133"/>
      <c r="S892" s="133"/>
      <c r="T892" s="133"/>
      <c r="U892" s="133"/>
      <c r="V892" s="133"/>
      <c r="W892" s="133"/>
      <c r="X892" s="133"/>
      <c r="Y892" s="133"/>
      <c r="Z892" s="133"/>
      <c r="AA892" s="133"/>
    </row>
    <row r="893" spans="1:27" ht="15.75" customHeight="1" x14ac:dyDescent="0.25">
      <c r="A893" s="133"/>
      <c r="B893" s="133"/>
      <c r="C893" s="133"/>
      <c r="D893" s="133"/>
      <c r="E893" s="133"/>
      <c r="F893" s="133"/>
      <c r="G893" s="133"/>
      <c r="H893" s="133"/>
      <c r="I893" s="133"/>
      <c r="K893" s="133"/>
      <c r="L893" s="133"/>
      <c r="M893" s="133"/>
      <c r="N893" s="133"/>
      <c r="O893" s="133"/>
      <c r="P893" s="133"/>
      <c r="Q893" s="133"/>
      <c r="R893" s="133"/>
      <c r="S893" s="133"/>
      <c r="T893" s="133"/>
      <c r="U893" s="133"/>
      <c r="V893" s="133"/>
      <c r="W893" s="133"/>
      <c r="X893" s="133"/>
      <c r="Y893" s="133"/>
      <c r="Z893" s="133"/>
      <c r="AA893" s="133"/>
    </row>
    <row r="894" spans="1:27" ht="15.75" customHeight="1" x14ac:dyDescent="0.25">
      <c r="A894" s="133"/>
      <c r="B894" s="133"/>
      <c r="C894" s="133"/>
      <c r="D894" s="133"/>
      <c r="E894" s="133"/>
      <c r="F894" s="133"/>
      <c r="G894" s="133"/>
      <c r="H894" s="133"/>
      <c r="I894" s="133"/>
      <c r="K894" s="133"/>
      <c r="L894" s="133"/>
      <c r="M894" s="133"/>
      <c r="N894" s="133"/>
      <c r="O894" s="133"/>
      <c r="P894" s="133"/>
      <c r="Q894" s="133"/>
      <c r="R894" s="133"/>
      <c r="S894" s="133"/>
      <c r="T894" s="133"/>
      <c r="U894" s="133"/>
      <c r="V894" s="133"/>
      <c r="W894" s="133"/>
      <c r="X894" s="133"/>
      <c r="Y894" s="133"/>
      <c r="Z894" s="133"/>
      <c r="AA894" s="133"/>
    </row>
    <row r="895" spans="1:27" ht="15.75" customHeight="1" x14ac:dyDescent="0.25">
      <c r="A895" s="133"/>
      <c r="B895" s="133"/>
      <c r="C895" s="133"/>
      <c r="D895" s="133"/>
      <c r="E895" s="133"/>
      <c r="F895" s="133"/>
      <c r="G895" s="133"/>
      <c r="H895" s="133"/>
      <c r="I895" s="133"/>
      <c r="K895" s="133"/>
      <c r="L895" s="133"/>
      <c r="M895" s="133"/>
      <c r="N895" s="133"/>
      <c r="O895" s="133"/>
      <c r="P895" s="133"/>
      <c r="Q895" s="133"/>
      <c r="R895" s="133"/>
      <c r="S895" s="133"/>
      <c r="T895" s="133"/>
      <c r="U895" s="133"/>
      <c r="V895" s="133"/>
      <c r="W895" s="133"/>
      <c r="X895" s="133"/>
      <c r="Y895" s="133"/>
      <c r="Z895" s="133"/>
      <c r="AA895" s="133"/>
    </row>
    <row r="896" spans="1:27" ht="15.75" customHeight="1" x14ac:dyDescent="0.25">
      <c r="A896" s="133"/>
      <c r="B896" s="133"/>
      <c r="C896" s="133"/>
      <c r="D896" s="133"/>
      <c r="E896" s="133"/>
      <c r="F896" s="133"/>
      <c r="G896" s="133"/>
      <c r="H896" s="133"/>
      <c r="I896" s="133"/>
      <c r="K896" s="133"/>
      <c r="L896" s="133"/>
      <c r="M896" s="133"/>
      <c r="N896" s="133"/>
      <c r="O896" s="133"/>
      <c r="P896" s="133"/>
      <c r="Q896" s="133"/>
      <c r="R896" s="133"/>
      <c r="S896" s="133"/>
      <c r="T896" s="133"/>
      <c r="U896" s="133"/>
      <c r="V896" s="133"/>
      <c r="W896" s="133"/>
      <c r="X896" s="133"/>
      <c r="Y896" s="133"/>
      <c r="Z896" s="133"/>
      <c r="AA896" s="133"/>
    </row>
    <row r="897" spans="1:27" ht="15.75" customHeight="1" x14ac:dyDescent="0.25">
      <c r="A897" s="133"/>
      <c r="B897" s="133"/>
      <c r="C897" s="133"/>
      <c r="D897" s="133"/>
      <c r="E897" s="133"/>
      <c r="F897" s="133"/>
      <c r="G897" s="133"/>
      <c r="H897" s="133"/>
      <c r="I897" s="133"/>
      <c r="K897" s="133"/>
      <c r="L897" s="133"/>
      <c r="M897" s="133"/>
      <c r="N897" s="133"/>
      <c r="O897" s="133"/>
      <c r="P897" s="133"/>
      <c r="Q897" s="133"/>
      <c r="R897" s="133"/>
      <c r="S897" s="133"/>
      <c r="T897" s="133"/>
      <c r="U897" s="133"/>
      <c r="V897" s="133"/>
      <c r="W897" s="133"/>
      <c r="X897" s="133"/>
      <c r="Y897" s="133"/>
      <c r="Z897" s="133"/>
      <c r="AA897" s="133"/>
    </row>
    <row r="898" spans="1:27" ht="15.75" customHeight="1" x14ac:dyDescent="0.25">
      <c r="A898" s="133"/>
      <c r="B898" s="133"/>
      <c r="C898" s="133"/>
      <c r="D898" s="133"/>
      <c r="E898" s="133"/>
      <c r="F898" s="133"/>
      <c r="G898" s="133"/>
      <c r="H898" s="133"/>
      <c r="I898" s="133"/>
      <c r="K898" s="133"/>
      <c r="L898" s="133"/>
      <c r="M898" s="133"/>
      <c r="N898" s="133"/>
      <c r="O898" s="133"/>
      <c r="P898" s="133"/>
      <c r="Q898" s="133"/>
      <c r="R898" s="133"/>
      <c r="S898" s="133"/>
      <c r="T898" s="133"/>
      <c r="U898" s="133"/>
      <c r="V898" s="133"/>
      <c r="W898" s="133"/>
      <c r="X898" s="133"/>
      <c r="Y898" s="133"/>
      <c r="Z898" s="133"/>
      <c r="AA898" s="133"/>
    </row>
    <row r="899" spans="1:27" ht="15.75" customHeight="1" x14ac:dyDescent="0.25">
      <c r="A899" s="133"/>
      <c r="B899" s="133"/>
      <c r="C899" s="133"/>
      <c r="D899" s="133"/>
      <c r="E899" s="133"/>
      <c r="F899" s="133"/>
      <c r="G899" s="133"/>
      <c r="H899" s="133"/>
      <c r="I899" s="133"/>
      <c r="K899" s="133"/>
      <c r="L899" s="133"/>
      <c r="M899" s="133"/>
      <c r="N899" s="133"/>
      <c r="O899" s="133"/>
      <c r="P899" s="133"/>
      <c r="Q899" s="133"/>
      <c r="R899" s="133"/>
      <c r="S899" s="133"/>
      <c r="T899" s="133"/>
      <c r="U899" s="133"/>
      <c r="V899" s="133"/>
      <c r="W899" s="133"/>
      <c r="X899" s="133"/>
      <c r="Y899" s="133"/>
      <c r="Z899" s="133"/>
      <c r="AA899" s="133"/>
    </row>
    <row r="900" spans="1:27" ht="15.75" customHeight="1" x14ac:dyDescent="0.25">
      <c r="A900" s="133"/>
      <c r="B900" s="133"/>
      <c r="C900" s="133"/>
      <c r="D900" s="133"/>
      <c r="E900" s="133"/>
      <c r="F900" s="133"/>
      <c r="G900" s="133"/>
      <c r="H900" s="133"/>
      <c r="I900" s="133"/>
      <c r="K900" s="133"/>
      <c r="L900" s="133"/>
      <c r="M900" s="133"/>
      <c r="N900" s="133"/>
      <c r="O900" s="133"/>
      <c r="P900" s="133"/>
      <c r="Q900" s="133"/>
      <c r="R900" s="133"/>
      <c r="S900" s="133"/>
      <c r="T900" s="133"/>
      <c r="U900" s="133"/>
      <c r="V900" s="133"/>
      <c r="W900" s="133"/>
      <c r="X900" s="133"/>
      <c r="Y900" s="133"/>
      <c r="Z900" s="133"/>
      <c r="AA900" s="133"/>
    </row>
    <row r="901" spans="1:27" ht="15.75" customHeight="1" x14ac:dyDescent="0.25">
      <c r="A901" s="133"/>
      <c r="B901" s="133"/>
      <c r="C901" s="133"/>
      <c r="D901" s="133"/>
      <c r="E901" s="133"/>
      <c r="F901" s="133"/>
      <c r="G901" s="133"/>
      <c r="H901" s="133"/>
      <c r="I901" s="133"/>
      <c r="K901" s="133"/>
      <c r="L901" s="133"/>
      <c r="M901" s="133"/>
      <c r="N901" s="133"/>
      <c r="O901" s="133"/>
      <c r="P901" s="133"/>
      <c r="Q901" s="133"/>
      <c r="R901" s="133"/>
      <c r="S901" s="133"/>
      <c r="T901" s="133"/>
      <c r="U901" s="133"/>
      <c r="V901" s="133"/>
      <c r="W901" s="133"/>
      <c r="X901" s="133"/>
      <c r="Y901" s="133"/>
      <c r="Z901" s="133"/>
      <c r="AA901" s="133"/>
    </row>
    <row r="902" spans="1:27" ht="15.75" customHeight="1" x14ac:dyDescent="0.25">
      <c r="A902" s="133"/>
      <c r="B902" s="133"/>
      <c r="C902" s="133"/>
      <c r="D902" s="133"/>
      <c r="E902" s="133"/>
      <c r="F902" s="133"/>
      <c r="G902" s="133"/>
      <c r="H902" s="133"/>
      <c r="I902" s="133"/>
      <c r="K902" s="133"/>
      <c r="L902" s="133"/>
      <c r="M902" s="133"/>
      <c r="N902" s="133"/>
      <c r="O902" s="133"/>
      <c r="P902" s="133"/>
      <c r="Q902" s="133"/>
      <c r="R902" s="133"/>
      <c r="S902" s="133"/>
      <c r="T902" s="133"/>
      <c r="U902" s="133"/>
      <c r="V902" s="133"/>
      <c r="W902" s="133"/>
      <c r="X902" s="133"/>
      <c r="Y902" s="133"/>
      <c r="Z902" s="133"/>
      <c r="AA902" s="133"/>
    </row>
    <row r="903" spans="1:27" ht="15.75" customHeight="1" x14ac:dyDescent="0.25">
      <c r="A903" s="133"/>
      <c r="B903" s="133"/>
      <c r="C903" s="133"/>
      <c r="D903" s="133"/>
      <c r="E903" s="133"/>
      <c r="F903" s="133"/>
      <c r="G903" s="133"/>
      <c r="H903" s="133"/>
      <c r="I903" s="133"/>
      <c r="K903" s="133"/>
      <c r="L903" s="133"/>
      <c r="M903" s="133"/>
      <c r="N903" s="133"/>
      <c r="O903" s="133"/>
      <c r="P903" s="133"/>
      <c r="Q903" s="133"/>
      <c r="R903" s="133"/>
      <c r="S903" s="133"/>
      <c r="T903" s="133"/>
      <c r="U903" s="133"/>
      <c r="V903" s="133"/>
      <c r="W903" s="133"/>
      <c r="X903" s="133"/>
      <c r="Y903" s="133"/>
      <c r="Z903" s="133"/>
      <c r="AA903" s="133"/>
    </row>
    <row r="904" spans="1:27" ht="15.75" customHeight="1" x14ac:dyDescent="0.25">
      <c r="A904" s="133"/>
      <c r="B904" s="133"/>
      <c r="C904" s="133"/>
      <c r="D904" s="133"/>
      <c r="E904" s="133"/>
      <c r="F904" s="133"/>
      <c r="G904" s="133"/>
      <c r="H904" s="133"/>
      <c r="I904" s="133"/>
      <c r="K904" s="133"/>
      <c r="L904" s="133"/>
      <c r="M904" s="133"/>
      <c r="N904" s="133"/>
      <c r="O904" s="133"/>
      <c r="P904" s="133"/>
      <c r="Q904" s="133"/>
      <c r="R904" s="133"/>
      <c r="S904" s="133"/>
      <c r="T904" s="133"/>
      <c r="U904" s="133"/>
      <c r="V904" s="133"/>
      <c r="W904" s="133"/>
      <c r="X904" s="133"/>
      <c r="Y904" s="133"/>
      <c r="Z904" s="133"/>
      <c r="AA904" s="133"/>
    </row>
    <row r="905" spans="1:27" ht="15.75" customHeight="1" x14ac:dyDescent="0.25">
      <c r="A905" s="133"/>
      <c r="B905" s="133"/>
      <c r="C905" s="133"/>
      <c r="D905" s="133"/>
      <c r="E905" s="133"/>
      <c r="F905" s="133"/>
      <c r="G905" s="133"/>
      <c r="H905" s="133"/>
      <c r="I905" s="133"/>
      <c r="K905" s="133"/>
      <c r="L905" s="133"/>
      <c r="M905" s="133"/>
      <c r="N905" s="133"/>
      <c r="O905" s="133"/>
      <c r="P905" s="133"/>
      <c r="Q905" s="133"/>
      <c r="R905" s="133"/>
      <c r="S905" s="133"/>
      <c r="T905" s="133"/>
      <c r="U905" s="133"/>
      <c r="V905" s="133"/>
      <c r="W905" s="133"/>
      <c r="X905" s="133"/>
      <c r="Y905" s="133"/>
      <c r="Z905" s="133"/>
      <c r="AA905" s="133"/>
    </row>
    <row r="906" spans="1:27" ht="15.75" customHeight="1" x14ac:dyDescent="0.25">
      <c r="A906" s="133"/>
      <c r="B906" s="133"/>
      <c r="C906" s="133"/>
      <c r="D906" s="133"/>
      <c r="E906" s="133"/>
      <c r="F906" s="133"/>
      <c r="G906" s="133"/>
      <c r="H906" s="133"/>
      <c r="I906" s="133"/>
      <c r="K906" s="133"/>
      <c r="L906" s="133"/>
      <c r="M906" s="133"/>
      <c r="N906" s="133"/>
      <c r="O906" s="133"/>
      <c r="P906" s="133"/>
      <c r="Q906" s="133"/>
      <c r="R906" s="133"/>
      <c r="S906" s="133"/>
      <c r="T906" s="133"/>
      <c r="U906" s="133"/>
      <c r="V906" s="133"/>
      <c r="W906" s="133"/>
      <c r="X906" s="133"/>
      <c r="Y906" s="133"/>
      <c r="Z906" s="133"/>
      <c r="AA906" s="133"/>
    </row>
    <row r="907" spans="1:27" ht="15.75" customHeight="1" x14ac:dyDescent="0.25">
      <c r="A907" s="133"/>
      <c r="B907" s="133"/>
      <c r="C907" s="133"/>
      <c r="D907" s="133"/>
      <c r="E907" s="133"/>
      <c r="F907" s="133"/>
      <c r="G907" s="133"/>
      <c r="H907" s="133"/>
      <c r="I907" s="133"/>
      <c r="K907" s="133"/>
      <c r="L907" s="133"/>
      <c r="M907" s="133"/>
      <c r="N907" s="133"/>
      <c r="O907" s="133"/>
      <c r="P907" s="133"/>
      <c r="Q907" s="133"/>
      <c r="R907" s="133"/>
      <c r="S907" s="133"/>
      <c r="T907" s="133"/>
      <c r="U907" s="133"/>
      <c r="V907" s="133"/>
      <c r="W907" s="133"/>
      <c r="X907" s="133"/>
      <c r="Y907" s="133"/>
      <c r="Z907" s="133"/>
      <c r="AA907" s="133"/>
    </row>
    <row r="908" spans="1:27" ht="15.75" customHeight="1" x14ac:dyDescent="0.25">
      <c r="A908" s="133"/>
      <c r="B908" s="133"/>
      <c r="C908" s="133"/>
      <c r="D908" s="133"/>
      <c r="E908" s="133"/>
      <c r="F908" s="133"/>
      <c r="G908" s="133"/>
      <c r="H908" s="133"/>
      <c r="I908" s="133"/>
      <c r="K908" s="133"/>
      <c r="L908" s="133"/>
      <c r="M908" s="133"/>
      <c r="N908" s="133"/>
      <c r="O908" s="133"/>
      <c r="P908" s="133"/>
      <c r="Q908" s="133"/>
      <c r="R908" s="133"/>
      <c r="S908" s="133"/>
      <c r="T908" s="133"/>
      <c r="U908" s="133"/>
      <c r="V908" s="133"/>
      <c r="W908" s="133"/>
      <c r="X908" s="133"/>
      <c r="Y908" s="133"/>
      <c r="Z908" s="133"/>
      <c r="AA908" s="133"/>
    </row>
    <row r="909" spans="1:27" ht="15.75" customHeight="1" x14ac:dyDescent="0.25">
      <c r="A909" s="133"/>
      <c r="B909" s="133"/>
      <c r="C909" s="133"/>
      <c r="D909" s="133"/>
      <c r="E909" s="133"/>
      <c r="F909" s="133"/>
      <c r="G909" s="133"/>
      <c r="H909" s="133"/>
      <c r="I909" s="133"/>
      <c r="K909" s="133"/>
      <c r="L909" s="133"/>
      <c r="M909" s="133"/>
      <c r="N909" s="133"/>
      <c r="O909" s="133"/>
      <c r="P909" s="133"/>
      <c r="Q909" s="133"/>
      <c r="R909" s="133"/>
      <c r="S909" s="133"/>
      <c r="T909" s="133"/>
      <c r="U909" s="133"/>
      <c r="V909" s="133"/>
      <c r="W909" s="133"/>
      <c r="X909" s="133"/>
      <c r="Y909" s="133"/>
      <c r="Z909" s="133"/>
      <c r="AA909" s="133"/>
    </row>
    <row r="910" spans="1:27" ht="15.75" customHeight="1" x14ac:dyDescent="0.25">
      <c r="A910" s="133"/>
      <c r="B910" s="133"/>
      <c r="C910" s="133"/>
      <c r="D910" s="133"/>
      <c r="E910" s="133"/>
      <c r="F910" s="133"/>
      <c r="G910" s="133"/>
      <c r="H910" s="133"/>
      <c r="I910" s="133"/>
      <c r="K910" s="133"/>
      <c r="L910" s="133"/>
      <c r="M910" s="133"/>
      <c r="N910" s="133"/>
      <c r="O910" s="133"/>
      <c r="P910" s="133"/>
      <c r="Q910" s="133"/>
      <c r="R910" s="133"/>
      <c r="S910" s="133"/>
      <c r="T910" s="133"/>
      <c r="U910" s="133"/>
      <c r="V910" s="133"/>
      <c r="W910" s="133"/>
      <c r="X910" s="133"/>
      <c r="Y910" s="133"/>
      <c r="Z910" s="133"/>
      <c r="AA910" s="133"/>
    </row>
    <row r="911" spans="1:27" ht="15.75" customHeight="1" x14ac:dyDescent="0.25">
      <c r="A911" s="133"/>
      <c r="B911" s="133"/>
      <c r="C911" s="133"/>
      <c r="D911" s="133"/>
      <c r="E911" s="133"/>
      <c r="F911" s="133"/>
      <c r="G911" s="133"/>
      <c r="H911" s="133"/>
      <c r="I911" s="133"/>
      <c r="K911" s="133"/>
      <c r="L911" s="133"/>
      <c r="M911" s="133"/>
      <c r="N911" s="133"/>
      <c r="O911" s="133"/>
      <c r="P911" s="133"/>
      <c r="Q911" s="133"/>
      <c r="R911" s="133"/>
      <c r="S911" s="133"/>
      <c r="T911" s="133"/>
      <c r="U911" s="133"/>
      <c r="V911" s="133"/>
      <c r="W911" s="133"/>
      <c r="X911" s="133"/>
      <c r="Y911" s="133"/>
      <c r="Z911" s="133"/>
      <c r="AA911" s="133"/>
    </row>
    <row r="912" spans="1:27" ht="15.75" customHeight="1" x14ac:dyDescent="0.25">
      <c r="A912" s="133"/>
      <c r="B912" s="133"/>
      <c r="C912" s="133"/>
      <c r="D912" s="133"/>
      <c r="E912" s="133"/>
      <c r="F912" s="133"/>
      <c r="G912" s="133"/>
      <c r="H912" s="133"/>
      <c r="I912" s="133"/>
      <c r="K912" s="133"/>
      <c r="L912" s="133"/>
      <c r="M912" s="133"/>
      <c r="N912" s="133"/>
      <c r="O912" s="133"/>
      <c r="P912" s="133"/>
      <c r="Q912" s="133"/>
      <c r="R912" s="133"/>
      <c r="S912" s="133"/>
      <c r="T912" s="133"/>
      <c r="U912" s="133"/>
      <c r="V912" s="133"/>
      <c r="W912" s="133"/>
      <c r="X912" s="133"/>
      <c r="Y912" s="133"/>
      <c r="Z912" s="133"/>
      <c r="AA912" s="133"/>
    </row>
    <row r="913" spans="1:27" ht="15.75" customHeight="1" x14ac:dyDescent="0.25">
      <c r="A913" s="133"/>
      <c r="B913" s="133"/>
      <c r="C913" s="133"/>
      <c r="D913" s="133"/>
      <c r="E913" s="133"/>
      <c r="F913" s="133"/>
      <c r="G913" s="133"/>
      <c r="H913" s="133"/>
      <c r="I913" s="133"/>
      <c r="K913" s="133"/>
      <c r="L913" s="133"/>
      <c r="M913" s="133"/>
      <c r="N913" s="133"/>
      <c r="O913" s="133"/>
      <c r="P913" s="133"/>
      <c r="Q913" s="133"/>
      <c r="R913" s="133"/>
      <c r="S913" s="133"/>
      <c r="T913" s="133"/>
      <c r="U913" s="133"/>
      <c r="V913" s="133"/>
      <c r="W913" s="133"/>
      <c r="X913" s="133"/>
      <c r="Y913" s="133"/>
      <c r="Z913" s="133"/>
      <c r="AA913" s="133"/>
    </row>
    <row r="914" spans="1:27" ht="15.75" customHeight="1" x14ac:dyDescent="0.25">
      <c r="A914" s="133"/>
      <c r="B914" s="133"/>
      <c r="C914" s="133"/>
      <c r="D914" s="133"/>
      <c r="E914" s="133"/>
      <c r="F914" s="133"/>
      <c r="G914" s="133"/>
      <c r="H914" s="133"/>
      <c r="I914" s="133"/>
      <c r="K914" s="133"/>
      <c r="L914" s="133"/>
      <c r="M914" s="133"/>
      <c r="N914" s="133"/>
      <c r="O914" s="133"/>
      <c r="P914" s="133"/>
      <c r="Q914" s="133"/>
      <c r="R914" s="133"/>
      <c r="S914" s="133"/>
      <c r="T914" s="133"/>
      <c r="U914" s="133"/>
      <c r="V914" s="133"/>
      <c r="W914" s="133"/>
      <c r="X914" s="133"/>
      <c r="Y914" s="133"/>
      <c r="Z914" s="133"/>
      <c r="AA914" s="133"/>
    </row>
    <row r="915" spans="1:27" ht="15.75" customHeight="1" x14ac:dyDescent="0.25">
      <c r="A915" s="133"/>
      <c r="B915" s="133"/>
      <c r="C915" s="133"/>
      <c r="D915" s="133"/>
      <c r="E915" s="133"/>
      <c r="F915" s="133"/>
      <c r="G915" s="133"/>
      <c r="H915" s="133"/>
      <c r="I915" s="133"/>
      <c r="K915" s="133"/>
      <c r="L915" s="133"/>
      <c r="M915" s="133"/>
      <c r="N915" s="133"/>
      <c r="O915" s="133"/>
      <c r="P915" s="133"/>
      <c r="Q915" s="133"/>
      <c r="R915" s="133"/>
      <c r="S915" s="133"/>
      <c r="T915" s="133"/>
      <c r="U915" s="133"/>
      <c r="V915" s="133"/>
      <c r="W915" s="133"/>
      <c r="X915" s="133"/>
      <c r="Y915" s="133"/>
      <c r="Z915" s="133"/>
      <c r="AA915" s="133"/>
    </row>
    <row r="916" spans="1:27" ht="15.75" customHeight="1" x14ac:dyDescent="0.25">
      <c r="A916" s="133"/>
      <c r="B916" s="133"/>
      <c r="C916" s="133"/>
      <c r="D916" s="133"/>
      <c r="E916" s="133"/>
      <c r="F916" s="133"/>
      <c r="G916" s="133"/>
      <c r="H916" s="133"/>
      <c r="I916" s="133"/>
      <c r="K916" s="133"/>
      <c r="L916" s="133"/>
      <c r="M916" s="133"/>
      <c r="N916" s="133"/>
      <c r="O916" s="133"/>
      <c r="P916" s="133"/>
      <c r="Q916" s="133"/>
      <c r="R916" s="133"/>
      <c r="S916" s="133"/>
      <c r="T916" s="133"/>
      <c r="U916" s="133"/>
      <c r="V916" s="133"/>
      <c r="W916" s="133"/>
      <c r="X916" s="133"/>
      <c r="Y916" s="133"/>
      <c r="Z916" s="133"/>
      <c r="AA916" s="133"/>
    </row>
    <row r="917" spans="1:27" ht="15.75" customHeight="1" x14ac:dyDescent="0.25">
      <c r="A917" s="133"/>
      <c r="B917" s="133"/>
      <c r="C917" s="133"/>
      <c r="D917" s="133"/>
      <c r="E917" s="133"/>
      <c r="F917" s="133"/>
      <c r="G917" s="133"/>
      <c r="H917" s="133"/>
      <c r="I917" s="133"/>
      <c r="K917" s="133"/>
      <c r="L917" s="133"/>
      <c r="M917" s="133"/>
      <c r="N917" s="133"/>
      <c r="O917" s="133"/>
      <c r="P917" s="133"/>
      <c r="Q917" s="133"/>
      <c r="R917" s="133"/>
      <c r="S917" s="133"/>
      <c r="T917" s="133"/>
      <c r="U917" s="133"/>
      <c r="V917" s="133"/>
      <c r="W917" s="133"/>
      <c r="X917" s="133"/>
      <c r="Y917" s="133"/>
      <c r="Z917" s="133"/>
      <c r="AA917" s="133"/>
    </row>
    <row r="918" spans="1:27" ht="15.75" customHeight="1" x14ac:dyDescent="0.25">
      <c r="A918" s="133"/>
      <c r="B918" s="133"/>
      <c r="C918" s="133"/>
      <c r="D918" s="133"/>
      <c r="E918" s="133"/>
      <c r="F918" s="133"/>
      <c r="G918" s="133"/>
      <c r="H918" s="133"/>
      <c r="I918" s="133"/>
      <c r="K918" s="133"/>
      <c r="L918" s="133"/>
      <c r="M918" s="133"/>
      <c r="N918" s="133"/>
      <c r="O918" s="133"/>
      <c r="P918" s="133"/>
      <c r="Q918" s="133"/>
      <c r="R918" s="133"/>
      <c r="S918" s="133"/>
      <c r="T918" s="133"/>
      <c r="U918" s="133"/>
      <c r="V918" s="133"/>
      <c r="W918" s="133"/>
      <c r="X918" s="133"/>
      <c r="Y918" s="133"/>
      <c r="Z918" s="133"/>
      <c r="AA918" s="133"/>
    </row>
    <row r="919" spans="1:27" ht="15.75" customHeight="1" x14ac:dyDescent="0.25">
      <c r="A919" s="133"/>
      <c r="B919" s="133"/>
      <c r="C919" s="133"/>
      <c r="D919" s="133"/>
      <c r="E919" s="133"/>
      <c r="F919" s="133"/>
      <c r="G919" s="133"/>
      <c r="H919" s="133"/>
      <c r="I919" s="133"/>
      <c r="K919" s="133"/>
      <c r="L919" s="133"/>
      <c r="M919" s="133"/>
      <c r="N919" s="133"/>
      <c r="O919" s="133"/>
      <c r="P919" s="133"/>
      <c r="Q919" s="133"/>
      <c r="R919" s="133"/>
      <c r="S919" s="133"/>
      <c r="T919" s="133"/>
      <c r="U919" s="133"/>
      <c r="V919" s="133"/>
      <c r="W919" s="133"/>
      <c r="X919" s="133"/>
      <c r="Y919" s="133"/>
      <c r="Z919" s="133"/>
      <c r="AA919" s="133"/>
    </row>
    <row r="920" spans="1:27" ht="15.75" customHeight="1" x14ac:dyDescent="0.25">
      <c r="A920" s="133"/>
      <c r="B920" s="133"/>
      <c r="C920" s="133"/>
      <c r="D920" s="133"/>
      <c r="E920" s="133"/>
      <c r="F920" s="133"/>
      <c r="G920" s="133"/>
      <c r="H920" s="133"/>
      <c r="I920" s="133"/>
      <c r="K920" s="133"/>
      <c r="L920" s="133"/>
      <c r="M920" s="133"/>
      <c r="N920" s="133"/>
      <c r="O920" s="133"/>
      <c r="P920" s="133"/>
      <c r="Q920" s="133"/>
      <c r="R920" s="133"/>
      <c r="S920" s="133"/>
      <c r="T920" s="133"/>
      <c r="U920" s="133"/>
      <c r="V920" s="133"/>
      <c r="W920" s="133"/>
      <c r="X920" s="133"/>
      <c r="Y920" s="133"/>
      <c r="Z920" s="133"/>
      <c r="AA920" s="133"/>
    </row>
    <row r="921" spans="1:27" ht="15.75" customHeight="1" x14ac:dyDescent="0.25">
      <c r="A921" s="133"/>
      <c r="B921" s="133"/>
      <c r="C921" s="133"/>
      <c r="D921" s="133"/>
      <c r="E921" s="133"/>
      <c r="F921" s="133"/>
      <c r="G921" s="133"/>
      <c r="H921" s="133"/>
      <c r="I921" s="133"/>
      <c r="K921" s="133"/>
      <c r="L921" s="133"/>
      <c r="M921" s="133"/>
      <c r="N921" s="133"/>
      <c r="O921" s="133"/>
      <c r="P921" s="133"/>
      <c r="Q921" s="133"/>
      <c r="R921" s="133"/>
      <c r="S921" s="133"/>
      <c r="T921" s="133"/>
      <c r="U921" s="133"/>
      <c r="V921" s="133"/>
      <c r="W921" s="133"/>
      <c r="X921" s="133"/>
      <c r="Y921" s="133"/>
      <c r="Z921" s="133"/>
      <c r="AA921" s="133"/>
    </row>
    <row r="922" spans="1:27" ht="15.75" customHeight="1" x14ac:dyDescent="0.25">
      <c r="A922" s="133"/>
      <c r="B922" s="133"/>
      <c r="C922" s="133"/>
      <c r="D922" s="133"/>
      <c r="E922" s="133"/>
      <c r="F922" s="133"/>
      <c r="G922" s="133"/>
      <c r="H922" s="133"/>
      <c r="I922" s="133"/>
      <c r="K922" s="133"/>
      <c r="L922" s="133"/>
      <c r="M922" s="133"/>
      <c r="N922" s="133"/>
      <c r="O922" s="133"/>
      <c r="P922" s="133"/>
      <c r="Q922" s="133"/>
      <c r="R922" s="133"/>
      <c r="S922" s="133"/>
      <c r="T922" s="133"/>
      <c r="U922" s="133"/>
      <c r="V922" s="133"/>
      <c r="W922" s="133"/>
      <c r="X922" s="133"/>
      <c r="Y922" s="133"/>
      <c r="Z922" s="133"/>
      <c r="AA922" s="133"/>
    </row>
    <row r="923" spans="1:27" ht="15.75" customHeight="1" x14ac:dyDescent="0.25">
      <c r="A923" s="133"/>
      <c r="B923" s="133"/>
      <c r="C923" s="133"/>
      <c r="D923" s="133"/>
      <c r="E923" s="133"/>
      <c r="F923" s="133"/>
      <c r="G923" s="133"/>
      <c r="H923" s="133"/>
      <c r="I923" s="133"/>
      <c r="K923" s="133"/>
      <c r="L923" s="133"/>
      <c r="M923" s="133"/>
      <c r="N923" s="133"/>
      <c r="O923" s="133"/>
      <c r="P923" s="133"/>
      <c r="Q923" s="133"/>
      <c r="R923" s="133"/>
      <c r="S923" s="133"/>
      <c r="T923" s="133"/>
      <c r="U923" s="133"/>
      <c r="V923" s="133"/>
      <c r="W923" s="133"/>
      <c r="X923" s="133"/>
      <c r="Y923" s="133"/>
      <c r="Z923" s="133"/>
      <c r="AA923" s="133"/>
    </row>
    <row r="924" spans="1:27" ht="15.75" customHeight="1" x14ac:dyDescent="0.25">
      <c r="A924" s="133"/>
      <c r="B924" s="133"/>
      <c r="C924" s="133"/>
      <c r="D924" s="133"/>
      <c r="E924" s="133"/>
      <c r="F924" s="133"/>
      <c r="G924" s="133"/>
      <c r="H924" s="133"/>
      <c r="I924" s="133"/>
      <c r="K924" s="133"/>
      <c r="L924" s="133"/>
      <c r="M924" s="133"/>
      <c r="N924" s="133"/>
      <c r="O924" s="133"/>
      <c r="P924" s="133"/>
      <c r="Q924" s="133"/>
      <c r="R924" s="133"/>
      <c r="S924" s="133"/>
      <c r="T924" s="133"/>
      <c r="U924" s="133"/>
      <c r="V924" s="133"/>
      <c r="W924" s="133"/>
      <c r="X924" s="133"/>
      <c r="Y924" s="133"/>
      <c r="Z924" s="133"/>
      <c r="AA924" s="133"/>
    </row>
    <row r="925" spans="1:27" ht="15.75" customHeight="1" x14ac:dyDescent="0.25">
      <c r="A925" s="133"/>
      <c r="B925" s="133"/>
      <c r="C925" s="133"/>
      <c r="D925" s="133"/>
      <c r="E925" s="133"/>
      <c r="F925" s="133"/>
      <c r="G925" s="133"/>
      <c r="H925" s="133"/>
      <c r="I925" s="133"/>
      <c r="K925" s="133"/>
      <c r="L925" s="133"/>
      <c r="M925" s="133"/>
      <c r="N925" s="133"/>
      <c r="O925" s="133"/>
      <c r="P925" s="133"/>
      <c r="Q925" s="133"/>
      <c r="R925" s="133"/>
      <c r="S925" s="133"/>
      <c r="T925" s="133"/>
      <c r="U925" s="133"/>
      <c r="V925" s="133"/>
      <c r="W925" s="133"/>
      <c r="X925" s="133"/>
      <c r="Y925" s="133"/>
      <c r="Z925" s="133"/>
      <c r="AA925" s="133"/>
    </row>
    <row r="926" spans="1:27" ht="15.75" customHeight="1" x14ac:dyDescent="0.25">
      <c r="A926" s="133"/>
      <c r="B926" s="133"/>
      <c r="C926" s="133"/>
      <c r="D926" s="133"/>
      <c r="E926" s="133"/>
      <c r="F926" s="133"/>
      <c r="G926" s="133"/>
      <c r="H926" s="133"/>
      <c r="I926" s="133"/>
      <c r="K926" s="133"/>
      <c r="L926" s="133"/>
      <c r="M926" s="133"/>
      <c r="N926" s="133"/>
      <c r="O926" s="133"/>
      <c r="P926" s="133"/>
      <c r="Q926" s="133"/>
      <c r="R926" s="133"/>
      <c r="S926" s="133"/>
      <c r="T926" s="133"/>
      <c r="U926" s="133"/>
      <c r="V926" s="133"/>
      <c r="W926" s="133"/>
      <c r="X926" s="133"/>
      <c r="Y926" s="133"/>
      <c r="Z926" s="133"/>
      <c r="AA926" s="133"/>
    </row>
    <row r="927" spans="1:27" ht="15.75" customHeight="1" x14ac:dyDescent="0.25">
      <c r="A927" s="133"/>
      <c r="B927" s="133"/>
      <c r="C927" s="133"/>
      <c r="D927" s="133"/>
      <c r="E927" s="133"/>
      <c r="F927" s="133"/>
      <c r="G927" s="133"/>
      <c r="H927" s="133"/>
      <c r="I927" s="133"/>
      <c r="K927" s="133"/>
      <c r="L927" s="133"/>
      <c r="M927" s="133"/>
      <c r="N927" s="133"/>
      <c r="O927" s="133"/>
      <c r="P927" s="133"/>
      <c r="Q927" s="133"/>
      <c r="R927" s="133"/>
      <c r="S927" s="133"/>
      <c r="T927" s="133"/>
      <c r="U927" s="133"/>
      <c r="V927" s="133"/>
      <c r="W927" s="133"/>
      <c r="X927" s="133"/>
      <c r="Y927" s="133"/>
      <c r="Z927" s="133"/>
      <c r="AA927" s="133"/>
    </row>
    <row r="928" spans="1:27" ht="15.75" customHeight="1" x14ac:dyDescent="0.25">
      <c r="A928" s="133"/>
      <c r="B928" s="133"/>
      <c r="C928" s="133"/>
      <c r="D928" s="133"/>
      <c r="E928" s="133"/>
      <c r="F928" s="133"/>
      <c r="G928" s="133"/>
      <c r="H928" s="133"/>
      <c r="I928" s="133"/>
      <c r="K928" s="133"/>
      <c r="L928" s="133"/>
      <c r="M928" s="133"/>
      <c r="N928" s="133"/>
      <c r="O928" s="133"/>
      <c r="P928" s="133"/>
      <c r="Q928" s="133"/>
      <c r="R928" s="133"/>
      <c r="S928" s="133"/>
      <c r="T928" s="133"/>
      <c r="U928" s="133"/>
      <c r="V928" s="133"/>
      <c r="W928" s="133"/>
      <c r="X928" s="133"/>
      <c r="Y928" s="133"/>
      <c r="Z928" s="133"/>
      <c r="AA928" s="133"/>
    </row>
    <row r="929" spans="1:27" ht="15.75" customHeight="1" x14ac:dyDescent="0.25">
      <c r="A929" s="133"/>
      <c r="B929" s="133"/>
      <c r="C929" s="133"/>
      <c r="D929" s="133"/>
      <c r="E929" s="133"/>
      <c r="F929" s="133"/>
      <c r="G929" s="133"/>
      <c r="H929" s="133"/>
      <c r="I929" s="133"/>
      <c r="K929" s="133"/>
      <c r="L929" s="133"/>
      <c r="M929" s="133"/>
      <c r="N929" s="133"/>
      <c r="O929" s="133"/>
      <c r="P929" s="133"/>
      <c r="Q929" s="133"/>
      <c r="R929" s="133"/>
      <c r="S929" s="133"/>
      <c r="T929" s="133"/>
      <c r="U929" s="133"/>
      <c r="V929" s="133"/>
      <c r="W929" s="133"/>
      <c r="X929" s="133"/>
      <c r="Y929" s="133"/>
      <c r="Z929" s="133"/>
      <c r="AA929" s="133"/>
    </row>
    <row r="930" spans="1:27" ht="15.75" customHeight="1" x14ac:dyDescent="0.25">
      <c r="A930" s="133"/>
      <c r="B930" s="133"/>
      <c r="C930" s="133"/>
      <c r="D930" s="133"/>
      <c r="E930" s="133"/>
      <c r="F930" s="133"/>
      <c r="G930" s="133"/>
      <c r="H930" s="133"/>
      <c r="I930" s="133"/>
      <c r="K930" s="133"/>
      <c r="L930" s="133"/>
      <c r="M930" s="133"/>
      <c r="N930" s="133"/>
      <c r="O930" s="133"/>
      <c r="P930" s="133"/>
      <c r="Q930" s="133"/>
      <c r="R930" s="133"/>
      <c r="S930" s="133"/>
      <c r="T930" s="133"/>
      <c r="U930" s="133"/>
      <c r="V930" s="133"/>
      <c r="W930" s="133"/>
      <c r="X930" s="133"/>
      <c r="Y930" s="133"/>
      <c r="Z930" s="133"/>
      <c r="AA930" s="133"/>
    </row>
    <row r="931" spans="1:27" ht="15.75" customHeight="1" x14ac:dyDescent="0.25">
      <c r="A931" s="133"/>
      <c r="B931" s="133"/>
      <c r="C931" s="133"/>
      <c r="D931" s="133"/>
      <c r="E931" s="133"/>
      <c r="F931" s="133"/>
      <c r="G931" s="133"/>
      <c r="H931" s="133"/>
      <c r="I931" s="133"/>
      <c r="K931" s="133"/>
      <c r="L931" s="133"/>
      <c r="M931" s="133"/>
      <c r="N931" s="133"/>
      <c r="O931" s="133"/>
      <c r="P931" s="133"/>
      <c r="Q931" s="133"/>
      <c r="R931" s="133"/>
      <c r="S931" s="133"/>
      <c r="T931" s="133"/>
      <c r="U931" s="133"/>
      <c r="V931" s="133"/>
      <c r="W931" s="133"/>
      <c r="X931" s="133"/>
      <c r="Y931" s="133"/>
      <c r="Z931" s="133"/>
      <c r="AA931" s="133"/>
    </row>
    <row r="932" spans="1:27" ht="15.75" customHeight="1" x14ac:dyDescent="0.25">
      <c r="A932" s="133"/>
      <c r="B932" s="133"/>
      <c r="C932" s="133"/>
      <c r="D932" s="133"/>
      <c r="E932" s="133"/>
      <c r="F932" s="133"/>
      <c r="G932" s="133"/>
      <c r="H932" s="133"/>
      <c r="I932" s="133"/>
      <c r="K932" s="133"/>
      <c r="L932" s="133"/>
      <c r="M932" s="133"/>
      <c r="N932" s="133"/>
      <c r="O932" s="133"/>
      <c r="P932" s="133"/>
      <c r="Q932" s="133"/>
      <c r="R932" s="133"/>
      <c r="S932" s="133"/>
      <c r="T932" s="133"/>
      <c r="U932" s="133"/>
      <c r="V932" s="133"/>
      <c r="W932" s="133"/>
      <c r="X932" s="133"/>
      <c r="Y932" s="133"/>
      <c r="Z932" s="133"/>
      <c r="AA932" s="133"/>
    </row>
    <row r="933" spans="1:27" ht="15.75" customHeight="1" x14ac:dyDescent="0.25">
      <c r="A933" s="133"/>
      <c r="B933" s="133"/>
      <c r="C933" s="133"/>
      <c r="D933" s="133"/>
      <c r="E933" s="133"/>
      <c r="F933" s="133"/>
      <c r="G933" s="133"/>
      <c r="H933" s="133"/>
      <c r="I933" s="133"/>
      <c r="K933" s="133"/>
      <c r="L933" s="133"/>
      <c r="M933" s="133"/>
      <c r="N933" s="133"/>
      <c r="O933" s="133"/>
      <c r="P933" s="133"/>
      <c r="Q933" s="133"/>
      <c r="R933" s="133"/>
      <c r="S933" s="133"/>
      <c r="T933" s="133"/>
      <c r="U933" s="133"/>
      <c r="V933" s="133"/>
      <c r="W933" s="133"/>
      <c r="X933" s="133"/>
      <c r="Y933" s="133"/>
      <c r="Z933" s="133"/>
      <c r="AA933" s="133"/>
    </row>
    <row r="934" spans="1:27" ht="15.75" customHeight="1" x14ac:dyDescent="0.25">
      <c r="A934" s="133"/>
      <c r="B934" s="133"/>
      <c r="C934" s="133"/>
      <c r="D934" s="133"/>
      <c r="E934" s="133"/>
      <c r="F934" s="133"/>
      <c r="G934" s="133"/>
      <c r="H934" s="133"/>
      <c r="I934" s="133"/>
      <c r="K934" s="133"/>
      <c r="L934" s="133"/>
      <c r="M934" s="133"/>
      <c r="N934" s="133"/>
      <c r="O934" s="133"/>
      <c r="P934" s="133"/>
      <c r="Q934" s="133"/>
      <c r="R934" s="133"/>
      <c r="S934" s="133"/>
      <c r="T934" s="133"/>
      <c r="U934" s="133"/>
      <c r="V934" s="133"/>
      <c r="W934" s="133"/>
      <c r="X934" s="133"/>
      <c r="Y934" s="133"/>
      <c r="Z934" s="133"/>
      <c r="AA934" s="133"/>
    </row>
    <row r="935" spans="1:27" ht="15.75" customHeight="1" x14ac:dyDescent="0.25">
      <c r="A935" s="133"/>
      <c r="B935" s="133"/>
      <c r="C935" s="133"/>
      <c r="D935" s="133"/>
      <c r="E935" s="133"/>
      <c r="F935" s="133"/>
      <c r="G935" s="133"/>
      <c r="H935" s="133"/>
      <c r="I935" s="133"/>
      <c r="K935" s="133"/>
      <c r="L935" s="133"/>
      <c r="M935" s="133"/>
      <c r="N935" s="133"/>
      <c r="O935" s="133"/>
      <c r="P935" s="133"/>
      <c r="Q935" s="133"/>
      <c r="R935" s="133"/>
      <c r="S935" s="133"/>
      <c r="T935" s="133"/>
      <c r="U935" s="133"/>
      <c r="V935" s="133"/>
      <c r="W935" s="133"/>
      <c r="X935" s="133"/>
      <c r="Y935" s="133"/>
      <c r="Z935" s="133"/>
      <c r="AA935" s="133"/>
    </row>
    <row r="936" spans="1:27" ht="15.75" customHeight="1" x14ac:dyDescent="0.25">
      <c r="A936" s="133"/>
      <c r="B936" s="133"/>
      <c r="C936" s="133"/>
      <c r="D936" s="133"/>
      <c r="E936" s="133"/>
      <c r="F936" s="133"/>
      <c r="G936" s="133"/>
      <c r="H936" s="133"/>
      <c r="I936" s="133"/>
      <c r="K936" s="133"/>
      <c r="L936" s="133"/>
      <c r="M936" s="133"/>
      <c r="N936" s="133"/>
      <c r="O936" s="133"/>
      <c r="P936" s="133"/>
      <c r="Q936" s="133"/>
      <c r="R936" s="133"/>
      <c r="S936" s="133"/>
      <c r="T936" s="133"/>
      <c r="U936" s="133"/>
      <c r="V936" s="133"/>
      <c r="W936" s="133"/>
      <c r="X936" s="133"/>
      <c r="Y936" s="133"/>
      <c r="Z936" s="133"/>
      <c r="AA936" s="133"/>
    </row>
    <row r="937" spans="1:27" ht="15.75" customHeight="1" x14ac:dyDescent="0.25">
      <c r="A937" s="133"/>
      <c r="B937" s="133"/>
      <c r="C937" s="133"/>
      <c r="D937" s="133"/>
      <c r="E937" s="133"/>
      <c r="F937" s="133"/>
      <c r="G937" s="133"/>
      <c r="H937" s="133"/>
      <c r="I937" s="133"/>
      <c r="K937" s="133"/>
      <c r="L937" s="133"/>
      <c r="M937" s="133"/>
      <c r="N937" s="133"/>
      <c r="O937" s="133"/>
      <c r="P937" s="133"/>
      <c r="Q937" s="133"/>
      <c r="R937" s="133"/>
      <c r="S937" s="133"/>
      <c r="T937" s="133"/>
      <c r="U937" s="133"/>
      <c r="V937" s="133"/>
      <c r="W937" s="133"/>
      <c r="X937" s="133"/>
      <c r="Y937" s="133"/>
      <c r="Z937" s="133"/>
      <c r="AA937" s="133"/>
    </row>
    <row r="938" spans="1:27" ht="15.75" customHeight="1" x14ac:dyDescent="0.25">
      <c r="A938" s="133"/>
      <c r="B938" s="133"/>
      <c r="C938" s="133"/>
      <c r="D938" s="133"/>
      <c r="E938" s="133"/>
      <c r="F938" s="133"/>
      <c r="G938" s="133"/>
      <c r="H938" s="133"/>
      <c r="I938" s="133"/>
      <c r="K938" s="133"/>
      <c r="L938" s="133"/>
      <c r="M938" s="133"/>
      <c r="N938" s="133"/>
      <c r="O938" s="133"/>
      <c r="P938" s="133"/>
      <c r="Q938" s="133"/>
      <c r="R938" s="133"/>
      <c r="S938" s="133"/>
      <c r="T938" s="133"/>
      <c r="U938" s="133"/>
      <c r="V938" s="133"/>
      <c r="W938" s="133"/>
      <c r="X938" s="133"/>
      <c r="Y938" s="133"/>
      <c r="Z938" s="133"/>
      <c r="AA938" s="133"/>
    </row>
    <row r="939" spans="1:27" ht="15.75" customHeight="1" x14ac:dyDescent="0.25">
      <c r="A939" s="133"/>
      <c r="B939" s="133"/>
      <c r="C939" s="133"/>
      <c r="D939" s="133"/>
      <c r="E939" s="133"/>
      <c r="F939" s="133"/>
      <c r="G939" s="133"/>
      <c r="H939" s="133"/>
      <c r="I939" s="133"/>
      <c r="K939" s="133"/>
      <c r="L939" s="133"/>
      <c r="M939" s="133"/>
      <c r="N939" s="133"/>
      <c r="O939" s="133"/>
      <c r="P939" s="133"/>
      <c r="Q939" s="133"/>
      <c r="R939" s="133"/>
      <c r="S939" s="133"/>
      <c r="T939" s="133"/>
      <c r="U939" s="133"/>
      <c r="V939" s="133"/>
      <c r="W939" s="133"/>
      <c r="X939" s="133"/>
      <c r="Y939" s="133"/>
      <c r="Z939" s="133"/>
      <c r="AA939" s="133"/>
    </row>
    <row r="940" spans="1:27" ht="15.75" customHeight="1" x14ac:dyDescent="0.25">
      <c r="A940" s="133"/>
      <c r="B940" s="133"/>
      <c r="C940" s="133"/>
      <c r="D940" s="133"/>
      <c r="E940" s="133"/>
      <c r="F940" s="133"/>
      <c r="G940" s="133"/>
      <c r="H940" s="133"/>
      <c r="I940" s="133"/>
      <c r="K940" s="133"/>
      <c r="L940" s="133"/>
      <c r="M940" s="133"/>
      <c r="N940" s="133"/>
      <c r="O940" s="133"/>
      <c r="P940" s="133"/>
      <c r="Q940" s="133"/>
      <c r="R940" s="133"/>
      <c r="S940" s="133"/>
      <c r="T940" s="133"/>
      <c r="U940" s="133"/>
      <c r="V940" s="133"/>
      <c r="W940" s="133"/>
      <c r="X940" s="133"/>
      <c r="Y940" s="133"/>
      <c r="Z940" s="133"/>
      <c r="AA940" s="133"/>
    </row>
    <row r="941" spans="1:27" ht="15.75" customHeight="1" x14ac:dyDescent="0.25">
      <c r="A941" s="133"/>
      <c r="B941" s="133"/>
      <c r="C941" s="133"/>
      <c r="D941" s="133"/>
      <c r="E941" s="133"/>
      <c r="F941" s="133"/>
      <c r="G941" s="133"/>
      <c r="H941" s="133"/>
      <c r="I941" s="133"/>
      <c r="K941" s="133"/>
      <c r="L941" s="133"/>
      <c r="M941" s="133"/>
      <c r="N941" s="133"/>
      <c r="O941" s="133"/>
      <c r="P941" s="133"/>
      <c r="Q941" s="133"/>
      <c r="R941" s="133"/>
      <c r="S941" s="133"/>
      <c r="T941" s="133"/>
      <c r="U941" s="133"/>
      <c r="V941" s="133"/>
      <c r="W941" s="133"/>
      <c r="X941" s="133"/>
      <c r="Y941" s="133"/>
      <c r="Z941" s="133"/>
      <c r="AA941" s="133"/>
    </row>
    <row r="942" spans="1:27" ht="15.75" customHeight="1" x14ac:dyDescent="0.25">
      <c r="A942" s="133"/>
      <c r="B942" s="133"/>
      <c r="C942" s="133"/>
      <c r="D942" s="133"/>
      <c r="E942" s="133"/>
      <c r="F942" s="133"/>
      <c r="G942" s="133"/>
      <c r="H942" s="133"/>
      <c r="I942" s="133"/>
      <c r="K942" s="133"/>
      <c r="L942" s="133"/>
      <c r="M942" s="133"/>
      <c r="N942" s="133"/>
      <c r="O942" s="133"/>
      <c r="P942" s="133"/>
      <c r="Q942" s="133"/>
      <c r="R942" s="133"/>
      <c r="S942" s="133"/>
      <c r="T942" s="133"/>
      <c r="U942" s="133"/>
      <c r="V942" s="133"/>
      <c r="W942" s="133"/>
      <c r="X942" s="133"/>
      <c r="Y942" s="133"/>
      <c r="Z942" s="133"/>
      <c r="AA942" s="133"/>
    </row>
    <row r="943" spans="1:27" ht="15.75" customHeight="1" x14ac:dyDescent="0.25">
      <c r="A943" s="133"/>
      <c r="B943" s="133"/>
      <c r="C943" s="133"/>
      <c r="D943" s="133"/>
      <c r="E943" s="133"/>
      <c r="F943" s="133"/>
      <c r="G943" s="133"/>
      <c r="H943" s="133"/>
      <c r="I943" s="133"/>
      <c r="K943" s="133"/>
      <c r="L943" s="133"/>
      <c r="M943" s="133"/>
      <c r="N943" s="133"/>
      <c r="O943" s="133"/>
      <c r="P943" s="133"/>
      <c r="Q943" s="133"/>
      <c r="R943" s="133"/>
      <c r="S943" s="133"/>
      <c r="T943" s="133"/>
      <c r="U943" s="133"/>
      <c r="V943" s="133"/>
      <c r="W943" s="133"/>
      <c r="X943" s="133"/>
      <c r="Y943" s="133"/>
      <c r="Z943" s="133"/>
      <c r="AA943" s="133"/>
    </row>
    <row r="944" spans="1:27" ht="15.75" customHeight="1" x14ac:dyDescent="0.25">
      <c r="A944" s="133"/>
      <c r="B944" s="133"/>
      <c r="C944" s="133"/>
      <c r="D944" s="133"/>
      <c r="E944" s="133"/>
      <c r="F944" s="133"/>
      <c r="G944" s="133"/>
      <c r="H944" s="133"/>
      <c r="I944" s="133"/>
      <c r="K944" s="133"/>
      <c r="L944" s="133"/>
      <c r="M944" s="133"/>
      <c r="N944" s="133"/>
      <c r="O944" s="133"/>
      <c r="P944" s="133"/>
      <c r="Q944" s="133"/>
      <c r="R944" s="133"/>
      <c r="S944" s="133"/>
      <c r="T944" s="133"/>
      <c r="U944" s="133"/>
      <c r="V944" s="133"/>
      <c r="W944" s="133"/>
      <c r="X944" s="133"/>
      <c r="Y944" s="133"/>
      <c r="Z944" s="133"/>
      <c r="AA944" s="133"/>
    </row>
    <row r="945" spans="1:27" ht="15.75" customHeight="1" x14ac:dyDescent="0.25">
      <c r="A945" s="133"/>
      <c r="B945" s="133"/>
      <c r="C945" s="133"/>
      <c r="D945" s="133"/>
      <c r="E945" s="133"/>
      <c r="F945" s="133"/>
      <c r="G945" s="133"/>
      <c r="H945" s="133"/>
      <c r="I945" s="133"/>
      <c r="K945" s="133"/>
      <c r="L945" s="133"/>
      <c r="M945" s="133"/>
      <c r="N945" s="133"/>
      <c r="O945" s="133"/>
      <c r="P945" s="133"/>
      <c r="Q945" s="133"/>
      <c r="R945" s="133"/>
      <c r="S945" s="133"/>
      <c r="T945" s="133"/>
      <c r="U945" s="133"/>
      <c r="V945" s="133"/>
      <c r="W945" s="133"/>
      <c r="X945" s="133"/>
      <c r="Y945" s="133"/>
      <c r="Z945" s="133"/>
      <c r="AA945" s="133"/>
    </row>
    <row r="946" spans="1:27" ht="15.75" customHeight="1" x14ac:dyDescent="0.25">
      <c r="A946" s="133"/>
      <c r="B946" s="133"/>
      <c r="C946" s="133"/>
      <c r="D946" s="133"/>
      <c r="E946" s="133"/>
      <c r="F946" s="133"/>
      <c r="G946" s="133"/>
      <c r="H946" s="133"/>
      <c r="I946" s="133"/>
      <c r="K946" s="133"/>
      <c r="L946" s="133"/>
      <c r="M946" s="133"/>
      <c r="N946" s="133"/>
      <c r="O946" s="133"/>
      <c r="P946" s="133"/>
      <c r="Q946" s="133"/>
      <c r="R946" s="133"/>
      <c r="S946" s="133"/>
      <c r="T946" s="133"/>
      <c r="U946" s="133"/>
      <c r="V946" s="133"/>
      <c r="W946" s="133"/>
      <c r="X946" s="133"/>
      <c r="Y946" s="133"/>
      <c r="Z946" s="133"/>
      <c r="AA946" s="133"/>
    </row>
    <row r="947" spans="1:27" ht="15.75" customHeight="1" x14ac:dyDescent="0.25">
      <c r="A947" s="133"/>
      <c r="B947" s="133"/>
      <c r="C947" s="133"/>
      <c r="D947" s="133"/>
      <c r="E947" s="133"/>
      <c r="F947" s="133"/>
      <c r="G947" s="133"/>
      <c r="H947" s="133"/>
      <c r="I947" s="133"/>
      <c r="K947" s="133"/>
      <c r="L947" s="133"/>
      <c r="M947" s="133"/>
      <c r="N947" s="133"/>
      <c r="O947" s="133"/>
      <c r="P947" s="133"/>
      <c r="Q947" s="133"/>
      <c r="R947" s="133"/>
      <c r="S947" s="133"/>
      <c r="T947" s="133"/>
      <c r="U947" s="133"/>
      <c r="V947" s="133"/>
      <c r="W947" s="133"/>
      <c r="X947" s="133"/>
      <c r="Y947" s="133"/>
      <c r="Z947" s="133"/>
      <c r="AA947" s="133"/>
    </row>
    <row r="948" spans="1:27" ht="15.75" customHeight="1" x14ac:dyDescent="0.25">
      <c r="A948" s="133"/>
      <c r="B948" s="133"/>
      <c r="C948" s="133"/>
      <c r="D948" s="133"/>
      <c r="E948" s="133"/>
      <c r="F948" s="133"/>
      <c r="G948" s="133"/>
      <c r="H948" s="133"/>
      <c r="I948" s="133"/>
      <c r="K948" s="133"/>
      <c r="L948" s="133"/>
      <c r="M948" s="133"/>
      <c r="N948" s="133"/>
      <c r="O948" s="133"/>
      <c r="P948" s="133"/>
      <c r="Q948" s="133"/>
      <c r="R948" s="133"/>
      <c r="S948" s="133"/>
      <c r="T948" s="133"/>
      <c r="U948" s="133"/>
      <c r="V948" s="133"/>
      <c r="W948" s="133"/>
      <c r="X948" s="133"/>
      <c r="Y948" s="133"/>
      <c r="Z948" s="133"/>
      <c r="AA948" s="133"/>
    </row>
    <row r="949" spans="1:27" ht="15.75" customHeight="1" x14ac:dyDescent="0.25">
      <c r="A949" s="133"/>
      <c r="B949" s="133"/>
      <c r="C949" s="133"/>
      <c r="D949" s="133"/>
      <c r="E949" s="133"/>
      <c r="F949" s="133"/>
      <c r="G949" s="133"/>
      <c r="H949" s="133"/>
      <c r="I949" s="133"/>
      <c r="K949" s="133"/>
      <c r="L949" s="133"/>
      <c r="M949" s="133"/>
      <c r="N949" s="133"/>
      <c r="O949" s="133"/>
      <c r="P949" s="133"/>
      <c r="Q949" s="133"/>
      <c r="R949" s="133"/>
      <c r="S949" s="133"/>
      <c r="T949" s="133"/>
      <c r="U949" s="133"/>
      <c r="V949" s="133"/>
      <c r="W949" s="133"/>
      <c r="X949" s="133"/>
      <c r="Y949" s="133"/>
      <c r="Z949" s="133"/>
      <c r="AA949" s="133"/>
    </row>
    <row r="950" spans="1:27" ht="15.75" customHeight="1" x14ac:dyDescent="0.25">
      <c r="A950" s="133"/>
      <c r="B950" s="133"/>
      <c r="C950" s="133"/>
      <c r="D950" s="133"/>
      <c r="E950" s="133"/>
      <c r="F950" s="133"/>
      <c r="G950" s="133"/>
      <c r="H950" s="133"/>
      <c r="I950" s="133"/>
      <c r="K950" s="133"/>
      <c r="L950" s="133"/>
      <c r="M950" s="133"/>
      <c r="N950" s="133"/>
      <c r="O950" s="133"/>
      <c r="P950" s="133"/>
      <c r="Q950" s="133"/>
      <c r="R950" s="133"/>
      <c r="S950" s="133"/>
      <c r="T950" s="133"/>
      <c r="U950" s="133"/>
      <c r="V950" s="133"/>
      <c r="W950" s="133"/>
      <c r="X950" s="133"/>
      <c r="Y950" s="133"/>
      <c r="Z950" s="133"/>
      <c r="AA950" s="133"/>
    </row>
    <row r="951" spans="1:27" ht="15.75" customHeight="1" x14ac:dyDescent="0.25">
      <c r="A951" s="133"/>
      <c r="B951" s="133"/>
      <c r="C951" s="133"/>
      <c r="D951" s="133"/>
      <c r="E951" s="133"/>
      <c r="F951" s="133"/>
      <c r="G951" s="133"/>
      <c r="H951" s="133"/>
      <c r="I951" s="133"/>
      <c r="K951" s="133"/>
      <c r="L951" s="133"/>
      <c r="M951" s="133"/>
      <c r="N951" s="133"/>
      <c r="O951" s="133"/>
      <c r="P951" s="133"/>
      <c r="Q951" s="133"/>
      <c r="R951" s="133"/>
      <c r="S951" s="133"/>
      <c r="T951" s="133"/>
      <c r="U951" s="133"/>
      <c r="V951" s="133"/>
      <c r="W951" s="133"/>
      <c r="X951" s="133"/>
      <c r="Y951" s="133"/>
      <c r="Z951" s="133"/>
      <c r="AA951" s="133"/>
    </row>
    <row r="952" spans="1:27" ht="15.75" customHeight="1" x14ac:dyDescent="0.25">
      <c r="A952" s="133"/>
      <c r="B952" s="133"/>
      <c r="C952" s="133"/>
      <c r="D952" s="133"/>
      <c r="E952" s="133"/>
      <c r="F952" s="133"/>
      <c r="G952" s="133"/>
      <c r="H952" s="133"/>
      <c r="I952" s="133"/>
      <c r="K952" s="133"/>
      <c r="L952" s="133"/>
      <c r="M952" s="133"/>
      <c r="N952" s="133"/>
      <c r="O952" s="133"/>
      <c r="P952" s="133"/>
      <c r="Q952" s="133"/>
      <c r="R952" s="133"/>
      <c r="S952" s="133"/>
      <c r="T952" s="133"/>
      <c r="U952" s="133"/>
      <c r="V952" s="133"/>
      <c r="W952" s="133"/>
      <c r="X952" s="133"/>
      <c r="Y952" s="133"/>
      <c r="Z952" s="133"/>
      <c r="AA952" s="133"/>
    </row>
    <row r="953" spans="1:27" ht="15.75" customHeight="1" x14ac:dyDescent="0.25">
      <c r="A953" s="133"/>
      <c r="B953" s="133"/>
      <c r="C953" s="133"/>
      <c r="D953" s="133"/>
      <c r="E953" s="133"/>
      <c r="F953" s="133"/>
      <c r="G953" s="133"/>
      <c r="H953" s="133"/>
      <c r="I953" s="133"/>
      <c r="K953" s="133"/>
      <c r="L953" s="133"/>
      <c r="M953" s="133"/>
      <c r="N953" s="133"/>
      <c r="O953" s="133"/>
      <c r="P953" s="133"/>
      <c r="Q953" s="133"/>
      <c r="R953" s="133"/>
      <c r="S953" s="133"/>
      <c r="T953" s="133"/>
      <c r="U953" s="133"/>
      <c r="V953" s="133"/>
      <c r="W953" s="133"/>
      <c r="X953" s="133"/>
      <c r="Y953" s="133"/>
      <c r="Z953" s="133"/>
      <c r="AA953" s="133"/>
    </row>
    <row r="954" spans="1:27" ht="15.75" customHeight="1" x14ac:dyDescent="0.25">
      <c r="A954" s="133"/>
      <c r="B954" s="133"/>
      <c r="C954" s="133"/>
      <c r="D954" s="133"/>
      <c r="E954" s="133"/>
      <c r="F954" s="133"/>
      <c r="G954" s="133"/>
      <c r="H954" s="133"/>
      <c r="I954" s="133"/>
      <c r="K954" s="133"/>
      <c r="L954" s="133"/>
      <c r="M954" s="133"/>
      <c r="N954" s="133"/>
      <c r="O954" s="133"/>
      <c r="P954" s="133"/>
      <c r="Q954" s="133"/>
      <c r="R954" s="133"/>
      <c r="S954" s="133"/>
      <c r="T954" s="133"/>
      <c r="U954" s="133"/>
      <c r="V954" s="133"/>
      <c r="W954" s="133"/>
      <c r="X954" s="133"/>
      <c r="Y954" s="133"/>
      <c r="Z954" s="133"/>
      <c r="AA954" s="133"/>
    </row>
    <row r="955" spans="1:27" ht="15.75" customHeight="1" x14ac:dyDescent="0.25">
      <c r="A955" s="133"/>
      <c r="B955" s="133"/>
      <c r="C955" s="133"/>
      <c r="D955" s="133"/>
      <c r="E955" s="133"/>
      <c r="F955" s="133"/>
      <c r="G955" s="133"/>
      <c r="H955" s="133"/>
      <c r="I955" s="133"/>
      <c r="K955" s="133"/>
      <c r="L955" s="133"/>
      <c r="M955" s="133"/>
      <c r="N955" s="133"/>
      <c r="O955" s="133"/>
      <c r="P955" s="133"/>
      <c r="Q955" s="133"/>
      <c r="R955" s="133"/>
      <c r="S955" s="133"/>
      <c r="T955" s="133"/>
      <c r="U955" s="133"/>
      <c r="V955" s="133"/>
      <c r="W955" s="133"/>
      <c r="X955" s="133"/>
      <c r="Y955" s="133"/>
      <c r="Z955" s="133"/>
      <c r="AA955" s="133"/>
    </row>
    <row r="956" spans="1:27" ht="15.75" customHeight="1" x14ac:dyDescent="0.25">
      <c r="A956" s="133"/>
      <c r="B956" s="133"/>
      <c r="C956" s="133"/>
      <c r="D956" s="133"/>
      <c r="E956" s="133"/>
      <c r="F956" s="133"/>
      <c r="G956" s="133"/>
      <c r="H956" s="133"/>
      <c r="I956" s="133"/>
      <c r="K956" s="133"/>
      <c r="L956" s="133"/>
      <c r="M956" s="133"/>
      <c r="N956" s="133"/>
      <c r="O956" s="133"/>
      <c r="P956" s="133"/>
      <c r="Q956" s="133"/>
      <c r="R956" s="133"/>
      <c r="S956" s="133"/>
      <c r="T956" s="133"/>
      <c r="U956" s="133"/>
      <c r="V956" s="133"/>
      <c r="W956" s="133"/>
      <c r="X956" s="133"/>
      <c r="Y956" s="133"/>
      <c r="Z956" s="133"/>
      <c r="AA956" s="133"/>
    </row>
    <row r="957" spans="1:27" ht="15.75" customHeight="1" x14ac:dyDescent="0.25">
      <c r="A957" s="133"/>
      <c r="B957" s="133"/>
      <c r="C957" s="133"/>
      <c r="D957" s="133"/>
      <c r="E957" s="133"/>
      <c r="F957" s="133"/>
      <c r="G957" s="133"/>
      <c r="H957" s="133"/>
      <c r="I957" s="133"/>
      <c r="K957" s="133"/>
      <c r="L957" s="133"/>
      <c r="M957" s="133"/>
      <c r="N957" s="133"/>
      <c r="O957" s="133"/>
      <c r="P957" s="133"/>
      <c r="Q957" s="133"/>
      <c r="R957" s="133"/>
      <c r="S957" s="133"/>
      <c r="T957" s="133"/>
      <c r="U957" s="133"/>
      <c r="V957" s="133"/>
      <c r="W957" s="133"/>
      <c r="X957" s="133"/>
      <c r="Y957" s="133"/>
      <c r="Z957" s="133"/>
      <c r="AA957" s="133"/>
    </row>
    <row r="958" spans="1:27" ht="15.75" customHeight="1" x14ac:dyDescent="0.25">
      <c r="A958" s="133"/>
      <c r="B958" s="133"/>
      <c r="C958" s="133"/>
      <c r="D958" s="133"/>
      <c r="E958" s="133"/>
      <c r="F958" s="133"/>
      <c r="G958" s="133"/>
      <c r="H958" s="133"/>
      <c r="I958" s="133"/>
      <c r="K958" s="133"/>
      <c r="L958" s="133"/>
      <c r="M958" s="133"/>
      <c r="N958" s="133"/>
      <c r="O958" s="133"/>
      <c r="P958" s="133"/>
      <c r="Q958" s="133"/>
      <c r="R958" s="133"/>
      <c r="S958" s="133"/>
      <c r="T958" s="133"/>
      <c r="U958" s="133"/>
      <c r="V958" s="133"/>
      <c r="W958" s="133"/>
      <c r="X958" s="133"/>
      <c r="Y958" s="133"/>
      <c r="Z958" s="133"/>
      <c r="AA958" s="133"/>
    </row>
    <row r="959" spans="1:27" ht="15.75" customHeight="1" x14ac:dyDescent="0.25">
      <c r="A959" s="133"/>
      <c r="B959" s="133"/>
      <c r="C959" s="133"/>
      <c r="D959" s="133"/>
      <c r="E959" s="133"/>
      <c r="F959" s="133"/>
      <c r="G959" s="133"/>
      <c r="H959" s="133"/>
      <c r="I959" s="133"/>
      <c r="K959" s="133"/>
      <c r="L959" s="133"/>
      <c r="M959" s="133"/>
      <c r="N959" s="133"/>
      <c r="O959" s="133"/>
      <c r="P959" s="133"/>
      <c r="Q959" s="133"/>
      <c r="R959" s="133"/>
      <c r="S959" s="133"/>
      <c r="T959" s="133"/>
      <c r="U959" s="133"/>
      <c r="V959" s="133"/>
      <c r="W959" s="133"/>
      <c r="X959" s="133"/>
      <c r="Y959" s="133"/>
      <c r="Z959" s="133"/>
      <c r="AA959" s="133"/>
    </row>
    <row r="960" spans="1:27" ht="15.75" customHeight="1" x14ac:dyDescent="0.25">
      <c r="A960" s="133"/>
      <c r="B960" s="133"/>
      <c r="C960" s="133"/>
      <c r="D960" s="133"/>
      <c r="E960" s="133"/>
      <c r="F960" s="133"/>
      <c r="G960" s="133"/>
      <c r="H960" s="133"/>
      <c r="I960" s="133"/>
      <c r="K960" s="133"/>
      <c r="L960" s="133"/>
      <c r="M960" s="133"/>
      <c r="N960" s="133"/>
      <c r="O960" s="133"/>
      <c r="P960" s="133"/>
      <c r="Q960" s="133"/>
      <c r="R960" s="133"/>
      <c r="S960" s="133"/>
      <c r="T960" s="133"/>
      <c r="U960" s="133"/>
      <c r="V960" s="133"/>
      <c r="W960" s="133"/>
      <c r="X960" s="133"/>
      <c r="Y960" s="133"/>
      <c r="Z960" s="133"/>
      <c r="AA960" s="133"/>
    </row>
    <row r="961" spans="1:27" ht="15.75" customHeight="1" x14ac:dyDescent="0.25">
      <c r="A961" s="133"/>
      <c r="B961" s="133"/>
      <c r="C961" s="133"/>
      <c r="D961" s="133"/>
      <c r="E961" s="133"/>
      <c r="F961" s="133"/>
      <c r="G961" s="133"/>
      <c r="H961" s="133"/>
      <c r="I961" s="133"/>
      <c r="K961" s="133"/>
      <c r="L961" s="133"/>
      <c r="M961" s="133"/>
      <c r="N961" s="133"/>
      <c r="O961" s="133"/>
      <c r="P961" s="133"/>
      <c r="Q961" s="133"/>
      <c r="R961" s="133"/>
      <c r="S961" s="133"/>
      <c r="T961" s="133"/>
      <c r="U961" s="133"/>
      <c r="V961" s="133"/>
      <c r="W961" s="133"/>
      <c r="X961" s="133"/>
      <c r="Y961" s="133"/>
      <c r="Z961" s="133"/>
      <c r="AA961" s="133"/>
    </row>
    <row r="962" spans="1:27" ht="15.75" customHeight="1" x14ac:dyDescent="0.25">
      <c r="A962" s="133"/>
      <c r="B962" s="133"/>
      <c r="C962" s="133"/>
      <c r="D962" s="133"/>
      <c r="E962" s="133"/>
      <c r="F962" s="133"/>
      <c r="G962" s="133"/>
      <c r="H962" s="133"/>
      <c r="I962" s="133"/>
      <c r="K962" s="133"/>
      <c r="L962" s="133"/>
      <c r="M962" s="133"/>
      <c r="N962" s="133"/>
      <c r="O962" s="133"/>
      <c r="P962" s="133"/>
      <c r="Q962" s="133"/>
      <c r="R962" s="133"/>
      <c r="S962" s="133"/>
      <c r="T962" s="133"/>
      <c r="U962" s="133"/>
      <c r="V962" s="133"/>
      <c r="W962" s="133"/>
      <c r="X962" s="133"/>
      <c r="Y962" s="133"/>
      <c r="Z962" s="133"/>
      <c r="AA962" s="133"/>
    </row>
    <row r="963" spans="1:27" ht="15.75" customHeight="1" x14ac:dyDescent="0.25">
      <c r="A963" s="133"/>
      <c r="B963" s="133"/>
      <c r="C963" s="133"/>
      <c r="D963" s="133"/>
      <c r="E963" s="133"/>
      <c r="F963" s="133"/>
      <c r="G963" s="133"/>
      <c r="H963" s="133"/>
      <c r="I963" s="133"/>
      <c r="K963" s="133"/>
      <c r="L963" s="133"/>
      <c r="M963" s="133"/>
      <c r="N963" s="133"/>
      <c r="O963" s="133"/>
      <c r="P963" s="133"/>
      <c r="Q963" s="133"/>
      <c r="R963" s="133"/>
      <c r="S963" s="133"/>
      <c r="T963" s="133"/>
      <c r="U963" s="133"/>
      <c r="V963" s="133"/>
      <c r="W963" s="133"/>
      <c r="X963" s="133"/>
      <c r="Y963" s="133"/>
      <c r="Z963" s="133"/>
      <c r="AA963" s="133"/>
    </row>
    <row r="964" spans="1:27" ht="15.75" customHeight="1" x14ac:dyDescent="0.25">
      <c r="A964" s="133"/>
      <c r="B964" s="133"/>
      <c r="C964" s="133"/>
      <c r="D964" s="133"/>
      <c r="E964" s="133"/>
      <c r="F964" s="133"/>
      <c r="G964" s="133"/>
      <c r="H964" s="133"/>
      <c r="I964" s="133"/>
      <c r="K964" s="133"/>
      <c r="L964" s="133"/>
      <c r="M964" s="133"/>
      <c r="N964" s="133"/>
      <c r="O964" s="133"/>
      <c r="P964" s="133"/>
      <c r="Q964" s="133"/>
      <c r="R964" s="133"/>
      <c r="S964" s="133"/>
      <c r="T964" s="133"/>
      <c r="U964" s="133"/>
      <c r="V964" s="133"/>
      <c r="W964" s="133"/>
      <c r="X964" s="133"/>
      <c r="Y964" s="133"/>
      <c r="Z964" s="133"/>
      <c r="AA964" s="133"/>
    </row>
    <row r="965" spans="1:27" ht="15.75" customHeight="1" x14ac:dyDescent="0.25">
      <c r="A965" s="133"/>
      <c r="B965" s="133"/>
      <c r="C965" s="133"/>
      <c r="D965" s="133"/>
      <c r="E965" s="133"/>
      <c r="F965" s="133"/>
      <c r="G965" s="133"/>
      <c r="H965" s="133"/>
      <c r="I965" s="133"/>
      <c r="K965" s="133"/>
      <c r="L965" s="133"/>
      <c r="M965" s="133"/>
      <c r="N965" s="133"/>
      <c r="O965" s="133"/>
      <c r="P965" s="133"/>
      <c r="Q965" s="133"/>
      <c r="R965" s="133"/>
      <c r="S965" s="133"/>
      <c r="T965" s="133"/>
      <c r="U965" s="133"/>
      <c r="V965" s="133"/>
      <c r="W965" s="133"/>
      <c r="X965" s="133"/>
      <c r="Y965" s="133"/>
      <c r="Z965" s="133"/>
      <c r="AA965" s="133"/>
    </row>
    <row r="966" spans="1:27" ht="15.75" customHeight="1" x14ac:dyDescent="0.25">
      <c r="A966" s="133"/>
      <c r="B966" s="133"/>
      <c r="C966" s="133"/>
      <c r="D966" s="133"/>
      <c r="E966" s="133"/>
      <c r="F966" s="133"/>
      <c r="G966" s="133"/>
      <c r="H966" s="133"/>
      <c r="I966" s="133"/>
      <c r="K966" s="133"/>
      <c r="L966" s="133"/>
      <c r="M966" s="133"/>
      <c r="N966" s="133"/>
      <c r="O966" s="133"/>
      <c r="P966" s="133"/>
      <c r="Q966" s="133"/>
      <c r="R966" s="133"/>
      <c r="S966" s="133"/>
      <c r="T966" s="133"/>
      <c r="U966" s="133"/>
      <c r="V966" s="133"/>
      <c r="W966" s="133"/>
      <c r="X966" s="133"/>
      <c r="Y966" s="133"/>
      <c r="Z966" s="133"/>
      <c r="AA966" s="133"/>
    </row>
    <row r="967" spans="1:27" ht="15.75" customHeight="1" x14ac:dyDescent="0.25">
      <c r="A967" s="133"/>
      <c r="B967" s="133"/>
      <c r="C967" s="133"/>
      <c r="D967" s="133"/>
      <c r="E967" s="133"/>
      <c r="F967" s="133"/>
      <c r="G967" s="133"/>
      <c r="H967" s="133"/>
      <c r="I967" s="133"/>
      <c r="K967" s="133"/>
      <c r="L967" s="133"/>
      <c r="M967" s="133"/>
      <c r="N967" s="133"/>
      <c r="O967" s="133"/>
      <c r="P967" s="133"/>
      <c r="Q967" s="133"/>
      <c r="R967" s="133"/>
      <c r="S967" s="133"/>
      <c r="T967" s="133"/>
      <c r="U967" s="133"/>
      <c r="V967" s="133"/>
      <c r="W967" s="133"/>
      <c r="X967" s="133"/>
      <c r="Y967" s="133"/>
      <c r="Z967" s="133"/>
      <c r="AA967" s="133"/>
    </row>
    <row r="968" spans="1:27" ht="15.75" customHeight="1" x14ac:dyDescent="0.25">
      <c r="A968" s="133"/>
      <c r="B968" s="133"/>
      <c r="C968" s="133"/>
      <c r="D968" s="133"/>
      <c r="E968" s="133"/>
      <c r="F968" s="133"/>
      <c r="G968" s="133"/>
      <c r="H968" s="133"/>
      <c r="I968" s="133"/>
      <c r="K968" s="133"/>
      <c r="L968" s="133"/>
      <c r="M968" s="133"/>
      <c r="N968" s="133"/>
      <c r="O968" s="133"/>
      <c r="P968" s="133"/>
      <c r="Q968" s="133"/>
      <c r="R968" s="133"/>
      <c r="S968" s="133"/>
      <c r="T968" s="133"/>
      <c r="U968" s="133"/>
      <c r="V968" s="133"/>
      <c r="W968" s="133"/>
      <c r="X968" s="133"/>
      <c r="Y968" s="133"/>
      <c r="Z968" s="133"/>
      <c r="AA968" s="133"/>
    </row>
    <row r="969" spans="1:27" ht="15.75" customHeight="1" x14ac:dyDescent="0.25">
      <c r="A969" s="133"/>
      <c r="B969" s="133"/>
      <c r="C969" s="133"/>
      <c r="D969" s="133"/>
      <c r="E969" s="133"/>
      <c r="F969" s="133"/>
      <c r="G969" s="133"/>
      <c r="H969" s="133"/>
      <c r="I969" s="133"/>
      <c r="K969" s="133"/>
      <c r="L969" s="133"/>
      <c r="M969" s="133"/>
      <c r="N969" s="133"/>
      <c r="O969" s="133"/>
      <c r="P969" s="133"/>
      <c r="Q969" s="133"/>
      <c r="R969" s="133"/>
      <c r="S969" s="133"/>
      <c r="T969" s="133"/>
      <c r="U969" s="133"/>
      <c r="V969" s="133"/>
      <c r="W969" s="133"/>
      <c r="X969" s="133"/>
      <c r="Y969" s="133"/>
      <c r="Z969" s="133"/>
      <c r="AA969" s="133"/>
    </row>
    <row r="970" spans="1:27" ht="15.75" customHeight="1" x14ac:dyDescent="0.25">
      <c r="A970" s="133"/>
      <c r="B970" s="133"/>
      <c r="C970" s="133"/>
      <c r="D970" s="133"/>
      <c r="E970" s="133"/>
      <c r="F970" s="133"/>
      <c r="G970" s="133"/>
      <c r="H970" s="133"/>
      <c r="I970" s="133"/>
      <c r="K970" s="133"/>
      <c r="L970" s="133"/>
      <c r="M970" s="133"/>
      <c r="N970" s="133"/>
      <c r="O970" s="133"/>
      <c r="P970" s="133"/>
      <c r="Q970" s="133"/>
      <c r="R970" s="133"/>
      <c r="S970" s="133"/>
      <c r="T970" s="133"/>
      <c r="U970" s="133"/>
      <c r="V970" s="133"/>
      <c r="W970" s="133"/>
      <c r="X970" s="133"/>
      <c r="Y970" s="133"/>
      <c r="Z970" s="133"/>
      <c r="AA970" s="133"/>
    </row>
    <row r="971" spans="1:27" ht="15.75" customHeight="1" x14ac:dyDescent="0.25">
      <c r="A971" s="133"/>
      <c r="B971" s="133"/>
      <c r="C971" s="133"/>
      <c r="D971" s="133"/>
      <c r="E971" s="133"/>
      <c r="F971" s="133"/>
      <c r="G971" s="133"/>
      <c r="H971" s="133"/>
      <c r="I971" s="133"/>
      <c r="K971" s="133"/>
      <c r="L971" s="133"/>
      <c r="M971" s="133"/>
      <c r="N971" s="133"/>
      <c r="O971" s="133"/>
      <c r="P971" s="133"/>
      <c r="Q971" s="133"/>
      <c r="R971" s="133"/>
      <c r="S971" s="133"/>
      <c r="T971" s="133"/>
      <c r="U971" s="133"/>
      <c r="V971" s="133"/>
      <c r="W971" s="133"/>
      <c r="X971" s="133"/>
      <c r="Y971" s="133"/>
      <c r="Z971" s="133"/>
      <c r="AA971" s="133"/>
    </row>
    <row r="972" spans="1:27" ht="15.75" customHeight="1" x14ac:dyDescent="0.25">
      <c r="A972" s="133"/>
      <c r="B972" s="133"/>
      <c r="C972" s="133"/>
      <c r="D972" s="133"/>
      <c r="E972" s="133"/>
      <c r="F972" s="133"/>
      <c r="G972" s="133"/>
      <c r="H972" s="133"/>
      <c r="I972" s="133"/>
      <c r="K972" s="133"/>
      <c r="L972" s="133"/>
      <c r="M972" s="133"/>
      <c r="N972" s="133"/>
      <c r="O972" s="133"/>
      <c r="P972" s="133"/>
      <c r="Q972" s="133"/>
      <c r="R972" s="133"/>
      <c r="S972" s="133"/>
      <c r="T972" s="133"/>
      <c r="U972" s="133"/>
      <c r="V972" s="133"/>
      <c r="W972" s="133"/>
      <c r="X972" s="133"/>
      <c r="Y972" s="133"/>
      <c r="Z972" s="133"/>
      <c r="AA972" s="133"/>
    </row>
    <row r="973" spans="1:27" ht="15.75" customHeight="1" x14ac:dyDescent="0.25">
      <c r="A973" s="133"/>
      <c r="B973" s="133"/>
      <c r="C973" s="133"/>
      <c r="D973" s="133"/>
      <c r="E973" s="133"/>
      <c r="F973" s="133"/>
      <c r="G973" s="133"/>
      <c r="H973" s="133"/>
      <c r="I973" s="133"/>
      <c r="K973" s="133"/>
      <c r="L973" s="133"/>
      <c r="M973" s="133"/>
      <c r="N973" s="133"/>
      <c r="O973" s="133"/>
      <c r="P973" s="133"/>
      <c r="Q973" s="133"/>
      <c r="R973" s="133"/>
      <c r="S973" s="133"/>
      <c r="T973" s="133"/>
      <c r="U973" s="133"/>
      <c r="V973" s="133"/>
      <c r="W973" s="133"/>
      <c r="X973" s="133"/>
      <c r="Y973" s="133"/>
      <c r="Z973" s="133"/>
      <c r="AA973" s="133"/>
    </row>
    <row r="974" spans="1:27" ht="15.75" customHeight="1" x14ac:dyDescent="0.25">
      <c r="A974" s="133"/>
      <c r="B974" s="133"/>
      <c r="C974" s="133"/>
      <c r="D974" s="133"/>
      <c r="E974" s="133"/>
      <c r="F974" s="133"/>
      <c r="G974" s="133"/>
      <c r="H974" s="133"/>
      <c r="I974" s="133"/>
      <c r="K974" s="133"/>
      <c r="L974" s="133"/>
      <c r="M974" s="133"/>
      <c r="N974" s="133"/>
      <c r="O974" s="133"/>
      <c r="P974" s="133"/>
      <c r="Q974" s="133"/>
      <c r="R974" s="133"/>
      <c r="S974" s="133"/>
      <c r="T974" s="133"/>
      <c r="U974" s="133"/>
      <c r="V974" s="133"/>
      <c r="W974" s="133"/>
      <c r="X974" s="133"/>
      <c r="Y974" s="133"/>
      <c r="Z974" s="133"/>
      <c r="AA974" s="133"/>
    </row>
    <row r="975" spans="1:27" ht="15.75" customHeight="1" x14ac:dyDescent="0.25">
      <c r="A975" s="133"/>
      <c r="B975" s="133"/>
      <c r="C975" s="133"/>
      <c r="D975" s="133"/>
      <c r="E975" s="133"/>
      <c r="F975" s="133"/>
      <c r="G975" s="133"/>
      <c r="H975" s="133"/>
      <c r="I975" s="133"/>
      <c r="K975" s="133"/>
      <c r="L975" s="133"/>
      <c r="M975" s="133"/>
      <c r="N975" s="133"/>
      <c r="O975" s="133"/>
      <c r="P975" s="133"/>
      <c r="Q975" s="133"/>
      <c r="R975" s="133"/>
      <c r="S975" s="133"/>
      <c r="T975" s="133"/>
      <c r="U975" s="133"/>
      <c r="V975" s="133"/>
      <c r="W975" s="133"/>
      <c r="X975" s="133"/>
      <c r="Y975" s="133"/>
      <c r="Z975" s="133"/>
      <c r="AA975" s="133"/>
    </row>
    <row r="976" spans="1:27" ht="15.75" customHeight="1" x14ac:dyDescent="0.25">
      <c r="A976" s="133"/>
      <c r="B976" s="133"/>
      <c r="C976" s="133"/>
      <c r="D976" s="133"/>
      <c r="E976" s="133"/>
      <c r="F976" s="133"/>
      <c r="G976" s="133"/>
      <c r="H976" s="133"/>
      <c r="I976" s="133"/>
      <c r="K976" s="133"/>
      <c r="L976" s="133"/>
      <c r="M976" s="133"/>
      <c r="N976" s="133"/>
      <c r="O976" s="133"/>
      <c r="P976" s="133"/>
      <c r="Q976" s="133"/>
      <c r="R976" s="133"/>
      <c r="S976" s="133"/>
      <c r="T976" s="133"/>
      <c r="U976" s="133"/>
      <c r="V976" s="133"/>
      <c r="W976" s="133"/>
      <c r="X976" s="133"/>
      <c r="Y976" s="133"/>
      <c r="Z976" s="133"/>
      <c r="AA976" s="133"/>
    </row>
    <row r="977" spans="1:27" ht="15.75" customHeight="1" x14ac:dyDescent="0.25">
      <c r="A977" s="133"/>
      <c r="B977" s="133"/>
      <c r="C977" s="133"/>
      <c r="D977" s="133"/>
      <c r="E977" s="133"/>
      <c r="F977" s="133"/>
      <c r="G977" s="133"/>
      <c r="H977" s="133"/>
      <c r="I977" s="133"/>
      <c r="K977" s="133"/>
      <c r="L977" s="133"/>
      <c r="M977" s="133"/>
      <c r="N977" s="133"/>
      <c r="O977" s="133"/>
      <c r="P977" s="133"/>
      <c r="Q977" s="133"/>
      <c r="R977" s="133"/>
      <c r="S977" s="133"/>
      <c r="T977" s="133"/>
      <c r="U977" s="133"/>
      <c r="V977" s="133"/>
      <c r="W977" s="133"/>
      <c r="X977" s="133"/>
      <c r="Y977" s="133"/>
      <c r="Z977" s="133"/>
      <c r="AA977" s="133"/>
    </row>
    <row r="978" spans="1:27" ht="15.75" customHeight="1" x14ac:dyDescent="0.25">
      <c r="A978" s="133"/>
      <c r="B978" s="133"/>
      <c r="C978" s="133"/>
      <c r="D978" s="133"/>
      <c r="E978" s="133"/>
      <c r="F978" s="133"/>
      <c r="G978" s="133"/>
      <c r="H978" s="133"/>
      <c r="I978" s="133"/>
      <c r="K978" s="133"/>
      <c r="L978" s="133"/>
      <c r="M978" s="133"/>
      <c r="N978" s="133"/>
      <c r="O978" s="133"/>
      <c r="P978" s="133"/>
      <c r="Q978" s="133"/>
      <c r="R978" s="133"/>
      <c r="S978" s="133"/>
      <c r="T978" s="133"/>
      <c r="U978" s="133"/>
      <c r="V978" s="133"/>
      <c r="W978" s="133"/>
      <c r="X978" s="133"/>
      <c r="Y978" s="133"/>
      <c r="Z978" s="133"/>
      <c r="AA978" s="133"/>
    </row>
    <row r="979" spans="1:27" ht="15.75" customHeight="1" x14ac:dyDescent="0.25">
      <c r="A979" s="133"/>
      <c r="B979" s="133"/>
      <c r="C979" s="133"/>
      <c r="D979" s="133"/>
      <c r="E979" s="133"/>
      <c r="F979" s="133"/>
      <c r="G979" s="133"/>
      <c r="H979" s="133"/>
      <c r="I979" s="133"/>
      <c r="K979" s="133"/>
      <c r="L979" s="133"/>
      <c r="M979" s="133"/>
      <c r="N979" s="133"/>
      <c r="O979" s="133"/>
      <c r="P979" s="133"/>
      <c r="Q979" s="133"/>
      <c r="R979" s="133"/>
      <c r="S979" s="133"/>
      <c r="T979" s="133"/>
      <c r="U979" s="133"/>
      <c r="V979" s="133"/>
      <c r="W979" s="133"/>
      <c r="X979" s="133"/>
      <c r="Y979" s="133"/>
      <c r="Z979" s="133"/>
      <c r="AA979" s="133"/>
    </row>
    <row r="980" spans="1:27" ht="15.75" customHeight="1" x14ac:dyDescent="0.25">
      <c r="A980" s="133"/>
      <c r="B980" s="133"/>
      <c r="C980" s="133"/>
      <c r="D980" s="133"/>
      <c r="E980" s="133"/>
      <c r="F980" s="133"/>
      <c r="G980" s="133"/>
      <c r="H980" s="133"/>
      <c r="I980" s="133"/>
      <c r="K980" s="133"/>
      <c r="L980" s="133"/>
      <c r="M980" s="133"/>
      <c r="N980" s="133"/>
      <c r="O980" s="133"/>
      <c r="P980" s="133"/>
      <c r="Q980" s="133"/>
      <c r="R980" s="133"/>
      <c r="S980" s="133"/>
      <c r="T980" s="133"/>
      <c r="U980" s="133"/>
      <c r="V980" s="133"/>
      <c r="W980" s="133"/>
      <c r="X980" s="133"/>
      <c r="Y980" s="133"/>
      <c r="Z980" s="133"/>
      <c r="AA980" s="133"/>
    </row>
    <row r="981" spans="1:27" ht="15.75" customHeight="1" x14ac:dyDescent="0.25">
      <c r="A981" s="133"/>
      <c r="B981" s="133"/>
      <c r="C981" s="133"/>
      <c r="D981" s="133"/>
      <c r="E981" s="133"/>
      <c r="F981" s="133"/>
      <c r="G981" s="133"/>
      <c r="H981" s="133"/>
      <c r="I981" s="133"/>
      <c r="K981" s="133"/>
      <c r="L981" s="133"/>
      <c r="M981" s="133"/>
      <c r="N981" s="133"/>
      <c r="O981" s="133"/>
      <c r="P981" s="133"/>
      <c r="Q981" s="133"/>
      <c r="R981" s="133"/>
      <c r="S981" s="133"/>
      <c r="T981" s="133"/>
      <c r="U981" s="133"/>
      <c r="V981" s="133"/>
      <c r="W981" s="133"/>
      <c r="X981" s="133"/>
      <c r="Y981" s="133"/>
      <c r="Z981" s="133"/>
      <c r="AA981" s="133"/>
    </row>
    <row r="982" spans="1:27" ht="15.75" customHeight="1" x14ac:dyDescent="0.25">
      <c r="A982" s="133"/>
      <c r="B982" s="133"/>
      <c r="C982" s="133"/>
      <c r="D982" s="133"/>
      <c r="E982" s="133"/>
      <c r="F982" s="133"/>
      <c r="G982" s="133"/>
      <c r="H982" s="133"/>
      <c r="I982" s="133"/>
      <c r="K982" s="133"/>
      <c r="L982" s="133"/>
      <c r="M982" s="133"/>
      <c r="N982" s="133"/>
      <c r="O982" s="133"/>
      <c r="P982" s="133"/>
      <c r="Q982" s="133"/>
      <c r="R982" s="133"/>
      <c r="S982" s="133"/>
      <c r="T982" s="133"/>
      <c r="U982" s="133"/>
      <c r="V982" s="133"/>
      <c r="W982" s="133"/>
      <c r="X982" s="133"/>
      <c r="Y982" s="133"/>
      <c r="Z982" s="133"/>
      <c r="AA982" s="133"/>
    </row>
    <row r="983" spans="1:27" ht="15.75" customHeight="1" x14ac:dyDescent="0.25">
      <c r="A983" s="133"/>
      <c r="B983" s="133"/>
      <c r="C983" s="133"/>
      <c r="D983" s="133"/>
      <c r="E983" s="133"/>
      <c r="F983" s="133"/>
      <c r="G983" s="133"/>
      <c r="H983" s="133"/>
      <c r="I983" s="133"/>
      <c r="K983" s="133"/>
      <c r="L983" s="133"/>
      <c r="M983" s="133"/>
      <c r="N983" s="133"/>
      <c r="O983" s="133"/>
      <c r="P983" s="133"/>
      <c r="Q983" s="133"/>
      <c r="R983" s="133"/>
      <c r="S983" s="133"/>
      <c r="T983" s="133"/>
      <c r="U983" s="133"/>
      <c r="V983" s="133"/>
      <c r="W983" s="133"/>
      <c r="X983" s="133"/>
      <c r="Y983" s="133"/>
      <c r="Z983" s="133"/>
      <c r="AA983" s="133"/>
    </row>
    <row r="984" spans="1:27" ht="15.75" customHeight="1" x14ac:dyDescent="0.25">
      <c r="A984" s="133"/>
      <c r="B984" s="133"/>
      <c r="C984" s="133"/>
      <c r="D984" s="133"/>
      <c r="E984" s="133"/>
      <c r="F984" s="133"/>
      <c r="G984" s="133"/>
      <c r="H984" s="133"/>
      <c r="I984" s="133"/>
      <c r="K984" s="133"/>
      <c r="L984" s="133"/>
      <c r="M984" s="133"/>
      <c r="N984" s="133"/>
      <c r="O984" s="133"/>
      <c r="P984" s="133"/>
      <c r="Q984" s="133"/>
      <c r="R984" s="133"/>
      <c r="S984" s="133"/>
      <c r="T984" s="133"/>
      <c r="U984" s="133"/>
      <c r="V984" s="133"/>
      <c r="W984" s="133"/>
      <c r="X984" s="133"/>
      <c r="Y984" s="133"/>
      <c r="Z984" s="133"/>
      <c r="AA984" s="133"/>
    </row>
    <row r="985" spans="1:27" ht="15.75" customHeight="1" x14ac:dyDescent="0.25">
      <c r="A985" s="133"/>
      <c r="B985" s="133"/>
      <c r="C985" s="133"/>
      <c r="D985" s="133"/>
      <c r="E985" s="133"/>
      <c r="F985" s="133"/>
      <c r="G985" s="133"/>
      <c r="H985" s="133"/>
      <c r="I985" s="133"/>
      <c r="K985" s="133"/>
      <c r="L985" s="133"/>
      <c r="M985" s="133"/>
      <c r="N985" s="133"/>
      <c r="O985" s="133"/>
      <c r="P985" s="133"/>
      <c r="Q985" s="133"/>
      <c r="R985" s="133"/>
      <c r="S985" s="133"/>
      <c r="T985" s="133"/>
      <c r="U985" s="133"/>
      <c r="V985" s="133"/>
      <c r="W985" s="133"/>
      <c r="X985" s="133"/>
      <c r="Y985" s="133"/>
      <c r="Z985" s="133"/>
      <c r="AA985" s="133"/>
    </row>
    <row r="986" spans="1:27" ht="15.75" customHeight="1" x14ac:dyDescent="0.25">
      <c r="A986" s="133"/>
      <c r="B986" s="133"/>
      <c r="C986" s="133"/>
      <c r="D986" s="133"/>
      <c r="E986" s="133"/>
      <c r="F986" s="133"/>
      <c r="G986" s="133"/>
      <c r="H986" s="133"/>
      <c r="I986" s="133"/>
      <c r="K986" s="133"/>
      <c r="L986" s="133"/>
      <c r="M986" s="133"/>
      <c r="N986" s="133"/>
      <c r="O986" s="133"/>
      <c r="P986" s="133"/>
      <c r="Q986" s="133"/>
      <c r="R986" s="133"/>
      <c r="S986" s="133"/>
      <c r="T986" s="133"/>
      <c r="U986" s="133"/>
      <c r="V986" s="133"/>
      <c r="W986" s="133"/>
      <c r="X986" s="133"/>
      <c r="Y986" s="133"/>
      <c r="Z986" s="133"/>
      <c r="AA986" s="133"/>
    </row>
    <row r="987" spans="1:27" ht="15.75" customHeight="1" x14ac:dyDescent="0.25">
      <c r="A987" s="133"/>
      <c r="B987" s="133"/>
      <c r="C987" s="133"/>
      <c r="D987" s="133"/>
      <c r="E987" s="133"/>
      <c r="F987" s="133"/>
      <c r="G987" s="133"/>
      <c r="H987" s="133"/>
      <c r="I987" s="133"/>
      <c r="K987" s="133"/>
      <c r="L987" s="133"/>
      <c r="M987" s="133"/>
      <c r="N987" s="133"/>
      <c r="O987" s="133"/>
      <c r="P987" s="133"/>
      <c r="Q987" s="133"/>
      <c r="R987" s="133"/>
      <c r="S987" s="133"/>
      <c r="T987" s="133"/>
      <c r="U987" s="133"/>
      <c r="V987" s="133"/>
      <c r="W987" s="133"/>
      <c r="X987" s="133"/>
      <c r="Y987" s="133"/>
      <c r="Z987" s="133"/>
      <c r="AA987" s="133"/>
    </row>
    <row r="988" spans="1:27" ht="15.75" customHeight="1" x14ac:dyDescent="0.25">
      <c r="A988" s="133"/>
      <c r="B988" s="133"/>
      <c r="C988" s="133"/>
      <c r="D988" s="133"/>
      <c r="E988" s="133"/>
      <c r="F988" s="133"/>
      <c r="G988" s="133"/>
      <c r="H988" s="133"/>
      <c r="I988" s="133"/>
      <c r="K988" s="133"/>
      <c r="L988" s="133"/>
      <c r="M988" s="133"/>
      <c r="N988" s="133"/>
      <c r="O988" s="133"/>
      <c r="P988" s="133"/>
      <c r="Q988" s="133"/>
      <c r="R988" s="133"/>
      <c r="S988" s="133"/>
      <c r="T988" s="133"/>
      <c r="U988" s="133"/>
      <c r="V988" s="133"/>
      <c r="W988" s="133"/>
      <c r="X988" s="133"/>
      <c r="Y988" s="133"/>
      <c r="Z988" s="133"/>
      <c r="AA988" s="133"/>
    </row>
    <row r="989" spans="1:27" ht="15.75" customHeight="1" x14ac:dyDescent="0.25">
      <c r="A989" s="133"/>
      <c r="B989" s="133"/>
      <c r="C989" s="133"/>
      <c r="D989" s="133"/>
      <c r="E989" s="133"/>
      <c r="F989" s="133"/>
      <c r="G989" s="133"/>
      <c r="H989" s="133"/>
      <c r="I989" s="133"/>
      <c r="K989" s="133"/>
      <c r="L989" s="133"/>
      <c r="M989" s="133"/>
      <c r="N989" s="133"/>
      <c r="O989" s="133"/>
      <c r="P989" s="133"/>
      <c r="Q989" s="133"/>
      <c r="R989" s="133"/>
      <c r="S989" s="133"/>
      <c r="T989" s="133"/>
      <c r="U989" s="133"/>
      <c r="V989" s="133"/>
      <c r="W989" s="133"/>
      <c r="X989" s="133"/>
      <c r="Y989" s="133"/>
      <c r="Z989" s="133"/>
      <c r="AA989" s="133"/>
    </row>
    <row r="990" spans="1:27" ht="15.75" customHeight="1" x14ac:dyDescent="0.25">
      <c r="A990" s="133"/>
      <c r="B990" s="133"/>
      <c r="C990" s="133"/>
      <c r="D990" s="133"/>
      <c r="E990" s="133"/>
      <c r="F990" s="133"/>
      <c r="G990" s="133"/>
      <c r="H990" s="133"/>
      <c r="I990" s="133"/>
      <c r="K990" s="133"/>
      <c r="L990" s="133"/>
      <c r="M990" s="133"/>
      <c r="N990" s="133"/>
      <c r="O990" s="133"/>
      <c r="P990" s="133"/>
      <c r="Q990" s="133"/>
      <c r="R990" s="133"/>
      <c r="S990" s="133"/>
      <c r="T990" s="133"/>
      <c r="U990" s="133"/>
      <c r="V990" s="133"/>
      <c r="W990" s="133"/>
      <c r="X990" s="133"/>
      <c r="Y990" s="133"/>
      <c r="Z990" s="133"/>
      <c r="AA990" s="133"/>
    </row>
    <row r="991" spans="1:27" ht="15.75" customHeight="1" x14ac:dyDescent="0.25">
      <c r="A991" s="133"/>
      <c r="B991" s="133"/>
      <c r="C991" s="133"/>
      <c r="D991" s="133"/>
      <c r="E991" s="133"/>
      <c r="F991" s="133"/>
      <c r="G991" s="133"/>
      <c r="H991" s="133"/>
      <c r="I991" s="133"/>
      <c r="K991" s="133"/>
      <c r="L991" s="133"/>
      <c r="M991" s="133"/>
      <c r="N991" s="133"/>
      <c r="O991" s="133"/>
      <c r="P991" s="133"/>
      <c r="Q991" s="133"/>
      <c r="R991" s="133"/>
      <c r="S991" s="133"/>
      <c r="T991" s="133"/>
      <c r="U991" s="133"/>
      <c r="V991" s="133"/>
      <c r="W991" s="133"/>
      <c r="X991" s="133"/>
      <c r="Y991" s="133"/>
      <c r="Z991" s="133"/>
      <c r="AA991" s="133"/>
    </row>
    <row r="992" spans="1:27" ht="15.75" customHeight="1" x14ac:dyDescent="0.25">
      <c r="A992" s="133"/>
      <c r="B992" s="133"/>
      <c r="C992" s="133"/>
      <c r="D992" s="133"/>
      <c r="E992" s="133"/>
      <c r="F992" s="133"/>
      <c r="G992" s="133"/>
      <c r="H992" s="133"/>
      <c r="I992" s="133"/>
      <c r="K992" s="133"/>
      <c r="L992" s="133"/>
      <c r="M992" s="133"/>
      <c r="N992" s="133"/>
      <c r="O992" s="133"/>
      <c r="P992" s="133"/>
      <c r="Q992" s="133"/>
      <c r="R992" s="133"/>
      <c r="S992" s="133"/>
      <c r="T992" s="133"/>
      <c r="U992" s="133"/>
      <c r="V992" s="133"/>
      <c r="W992" s="133"/>
      <c r="X992" s="133"/>
      <c r="Y992" s="133"/>
      <c r="Z992" s="133"/>
      <c r="AA992" s="133"/>
    </row>
    <row r="993" spans="1:27" ht="15.75" customHeight="1" x14ac:dyDescent="0.25">
      <c r="A993" s="133"/>
      <c r="B993" s="133"/>
      <c r="C993" s="133"/>
      <c r="D993" s="133"/>
      <c r="E993" s="133"/>
      <c r="F993" s="133"/>
      <c r="G993" s="133"/>
      <c r="H993" s="133"/>
      <c r="I993" s="133"/>
      <c r="K993" s="133"/>
      <c r="L993" s="133"/>
      <c r="M993" s="133"/>
      <c r="N993" s="133"/>
      <c r="O993" s="133"/>
      <c r="P993" s="133"/>
      <c r="Q993" s="133"/>
      <c r="R993" s="133"/>
      <c r="S993" s="133"/>
      <c r="T993" s="133"/>
      <c r="U993" s="133"/>
      <c r="V993" s="133"/>
      <c r="W993" s="133"/>
      <c r="X993" s="133"/>
      <c r="Y993" s="133"/>
      <c r="Z993" s="133"/>
      <c r="AA993" s="133"/>
    </row>
    <row r="994" spans="1:27" ht="15.75" customHeight="1" x14ac:dyDescent="0.25">
      <c r="A994" s="133"/>
      <c r="B994" s="133"/>
      <c r="C994" s="133"/>
      <c r="D994" s="133"/>
      <c r="E994" s="133"/>
      <c r="F994" s="133"/>
      <c r="G994" s="133"/>
      <c r="H994" s="133"/>
      <c r="I994" s="133"/>
      <c r="K994" s="133"/>
      <c r="L994" s="133"/>
      <c r="M994" s="133"/>
      <c r="N994" s="133"/>
      <c r="O994" s="133"/>
      <c r="P994" s="133"/>
      <c r="Q994" s="133"/>
      <c r="R994" s="133"/>
      <c r="S994" s="133"/>
      <c r="T994" s="133"/>
      <c r="U994" s="133"/>
      <c r="V994" s="133"/>
      <c r="W994" s="133"/>
      <c r="X994" s="133"/>
      <c r="Y994" s="133"/>
      <c r="Z994" s="133"/>
      <c r="AA994" s="133"/>
    </row>
    <row r="995" spans="1:27" ht="15.75" customHeight="1" x14ac:dyDescent="0.25">
      <c r="A995" s="133"/>
      <c r="B995" s="133"/>
      <c r="C995" s="133"/>
      <c r="D995" s="133"/>
      <c r="E995" s="133"/>
      <c r="F995" s="133"/>
      <c r="G995" s="133"/>
      <c r="H995" s="133"/>
      <c r="I995" s="133"/>
      <c r="K995" s="133"/>
      <c r="L995" s="133"/>
      <c r="M995" s="133"/>
      <c r="N995" s="133"/>
      <c r="O995" s="133"/>
      <c r="P995" s="133"/>
      <c r="Q995" s="133"/>
      <c r="R995" s="133"/>
      <c r="S995" s="133"/>
      <c r="T995" s="133"/>
      <c r="U995" s="133"/>
      <c r="V995" s="133"/>
      <c r="W995" s="133"/>
      <c r="X995" s="133"/>
      <c r="Y995" s="133"/>
      <c r="Z995" s="133"/>
      <c r="AA995" s="133"/>
    </row>
    <row r="996" spans="1:27" ht="15.75" customHeight="1" x14ac:dyDescent="0.25">
      <c r="A996" s="133"/>
      <c r="B996" s="133"/>
      <c r="C996" s="133"/>
      <c r="D996" s="133"/>
      <c r="E996" s="133"/>
      <c r="F996" s="133"/>
      <c r="G996" s="133"/>
      <c r="H996" s="133"/>
      <c r="I996" s="133"/>
      <c r="K996" s="133"/>
      <c r="L996" s="133"/>
      <c r="M996" s="133"/>
      <c r="N996" s="133"/>
      <c r="O996" s="133"/>
      <c r="P996" s="133"/>
      <c r="Q996" s="133"/>
      <c r="R996" s="133"/>
      <c r="S996" s="133"/>
      <c r="T996" s="133"/>
      <c r="U996" s="133"/>
      <c r="V996" s="133"/>
      <c r="W996" s="133"/>
      <c r="X996" s="133"/>
      <c r="Y996" s="133"/>
      <c r="Z996" s="133"/>
      <c r="AA996" s="133"/>
    </row>
    <row r="997" spans="1:27" ht="15.75" customHeight="1" x14ac:dyDescent="0.25">
      <c r="A997" s="133"/>
      <c r="B997" s="133"/>
      <c r="C997" s="133"/>
      <c r="D997" s="133"/>
      <c r="E997" s="133"/>
      <c r="F997" s="133"/>
      <c r="G997" s="133"/>
      <c r="H997" s="133"/>
      <c r="I997" s="133"/>
      <c r="K997" s="133"/>
      <c r="L997" s="133"/>
      <c r="M997" s="133"/>
      <c r="N997" s="133"/>
      <c r="O997" s="133"/>
      <c r="P997" s="133"/>
      <c r="Q997" s="133"/>
      <c r="R997" s="133"/>
      <c r="S997" s="133"/>
      <c r="T997" s="133"/>
      <c r="U997" s="133"/>
      <c r="V997" s="133"/>
      <c r="W997" s="133"/>
      <c r="X997" s="133"/>
      <c r="Y997" s="133"/>
      <c r="Z997" s="133"/>
      <c r="AA997" s="133"/>
    </row>
    <row r="998" spans="1:27" ht="15.75" customHeight="1" x14ac:dyDescent="0.25">
      <c r="A998" s="133"/>
      <c r="B998" s="133"/>
      <c r="C998" s="133"/>
      <c r="D998" s="133"/>
      <c r="E998" s="133"/>
      <c r="F998" s="133"/>
      <c r="G998" s="133"/>
      <c r="H998" s="133"/>
      <c r="I998" s="133"/>
      <c r="K998" s="133"/>
      <c r="L998" s="133"/>
      <c r="M998" s="133"/>
      <c r="N998" s="133"/>
      <c r="O998" s="133"/>
      <c r="P998" s="133"/>
      <c r="Q998" s="133"/>
      <c r="R998" s="133"/>
      <c r="S998" s="133"/>
      <c r="T998" s="133"/>
      <c r="U998" s="133"/>
      <c r="V998" s="133"/>
      <c r="W998" s="133"/>
      <c r="X998" s="133"/>
      <c r="Y998" s="133"/>
      <c r="Z998" s="133"/>
      <c r="AA998" s="133"/>
    </row>
    <row r="999" spans="1:27" ht="15.75" customHeight="1" x14ac:dyDescent="0.25">
      <c r="A999" s="133"/>
      <c r="B999" s="133"/>
      <c r="C999" s="133"/>
      <c r="D999" s="133"/>
      <c r="E999" s="133"/>
      <c r="F999" s="133"/>
      <c r="G999" s="133"/>
      <c r="H999" s="133"/>
      <c r="I999" s="133"/>
      <c r="K999" s="133"/>
      <c r="L999" s="133"/>
      <c r="M999" s="133"/>
      <c r="N999" s="133"/>
      <c r="O999" s="133"/>
      <c r="P999" s="133"/>
      <c r="Q999" s="133"/>
      <c r="R999" s="133"/>
      <c r="S999" s="133"/>
      <c r="T999" s="133"/>
      <c r="U999" s="133"/>
      <c r="V999" s="133"/>
      <c r="W999" s="133"/>
      <c r="X999" s="133"/>
      <c r="Y999" s="133"/>
      <c r="Z999" s="133"/>
      <c r="AA999" s="133"/>
    </row>
    <row r="1000" spans="1:27" ht="15.75" customHeight="1" x14ac:dyDescent="0.25">
      <c r="A1000" s="133"/>
      <c r="B1000" s="133"/>
      <c r="C1000" s="133"/>
      <c r="D1000" s="133"/>
      <c r="E1000" s="133"/>
      <c r="F1000" s="133"/>
      <c r="G1000" s="133"/>
      <c r="H1000" s="133"/>
      <c r="I1000" s="133"/>
      <c r="K1000" s="133"/>
      <c r="L1000" s="133"/>
      <c r="M1000" s="133"/>
      <c r="N1000" s="133"/>
      <c r="O1000" s="133"/>
      <c r="P1000" s="133"/>
      <c r="Q1000" s="133"/>
      <c r="R1000" s="133"/>
      <c r="S1000" s="133"/>
      <c r="T1000" s="133"/>
      <c r="U1000" s="133"/>
      <c r="V1000" s="133"/>
      <c r="W1000" s="133"/>
      <c r="X1000" s="133"/>
      <c r="Y1000" s="133"/>
      <c r="Z1000" s="133"/>
      <c r="AA1000" s="133"/>
    </row>
    <row r="1001" spans="1:27" ht="15.75" customHeight="1" x14ac:dyDescent="0.25">
      <c r="A1001" s="133"/>
      <c r="B1001" s="133"/>
      <c r="C1001" s="133"/>
      <c r="D1001" s="133"/>
      <c r="E1001" s="133"/>
      <c r="F1001" s="133"/>
      <c r="G1001" s="133"/>
      <c r="H1001" s="133"/>
      <c r="I1001" s="133"/>
      <c r="K1001" s="133"/>
      <c r="L1001" s="133"/>
      <c r="M1001" s="133"/>
      <c r="N1001" s="133"/>
      <c r="O1001" s="133"/>
      <c r="P1001" s="133"/>
      <c r="Q1001" s="133"/>
      <c r="R1001" s="133"/>
      <c r="S1001" s="133"/>
      <c r="T1001" s="133"/>
      <c r="U1001" s="133"/>
      <c r="V1001" s="133"/>
      <c r="W1001" s="133"/>
      <c r="X1001" s="133"/>
      <c r="Y1001" s="133"/>
      <c r="Z1001" s="133"/>
      <c r="AA1001" s="133"/>
    </row>
    <row r="1002" spans="1:27" ht="15.75" customHeight="1" x14ac:dyDescent="0.25">
      <c r="A1002" s="133"/>
      <c r="B1002" s="133"/>
      <c r="C1002" s="133"/>
      <c r="D1002" s="133"/>
      <c r="E1002" s="133"/>
      <c r="F1002" s="133"/>
      <c r="G1002" s="133"/>
      <c r="H1002" s="133"/>
      <c r="I1002" s="133"/>
      <c r="K1002" s="133"/>
      <c r="L1002" s="133"/>
      <c r="M1002" s="133"/>
      <c r="N1002" s="133"/>
      <c r="O1002" s="133"/>
      <c r="P1002" s="133"/>
      <c r="Q1002" s="133"/>
      <c r="R1002" s="133"/>
      <c r="S1002" s="133"/>
      <c r="T1002" s="133"/>
      <c r="U1002" s="133"/>
      <c r="V1002" s="133"/>
      <c r="W1002" s="133"/>
      <c r="X1002" s="133"/>
      <c r="Y1002" s="133"/>
      <c r="Z1002" s="133"/>
      <c r="AA1002" s="133"/>
    </row>
    <row r="1003" spans="1:27" ht="15.75" customHeight="1" x14ac:dyDescent="0.25">
      <c r="A1003" s="133"/>
      <c r="B1003" s="133"/>
      <c r="C1003" s="133"/>
      <c r="D1003" s="133"/>
      <c r="E1003" s="133"/>
      <c r="F1003" s="133"/>
      <c r="G1003" s="133"/>
      <c r="H1003" s="133"/>
      <c r="I1003" s="133"/>
      <c r="K1003" s="133"/>
      <c r="L1003" s="133"/>
      <c r="M1003" s="133"/>
      <c r="N1003" s="133"/>
      <c r="O1003" s="133"/>
      <c r="P1003" s="133"/>
      <c r="Q1003" s="133"/>
      <c r="R1003" s="133"/>
      <c r="S1003" s="133"/>
      <c r="T1003" s="133"/>
      <c r="U1003" s="133"/>
      <c r="V1003" s="133"/>
      <c r="W1003" s="133"/>
      <c r="X1003" s="133"/>
      <c r="Y1003" s="133"/>
      <c r="Z1003" s="133"/>
      <c r="AA1003" s="133"/>
    </row>
    <row r="1004" spans="1:27" ht="15.75" customHeight="1" x14ac:dyDescent="0.25">
      <c r="A1004" s="133"/>
      <c r="B1004" s="133"/>
      <c r="C1004" s="133"/>
      <c r="D1004" s="133"/>
      <c r="E1004" s="133"/>
      <c r="F1004" s="133"/>
      <c r="G1004" s="133"/>
      <c r="H1004" s="133"/>
      <c r="I1004" s="133"/>
      <c r="K1004" s="133"/>
      <c r="L1004" s="133"/>
      <c r="M1004" s="133"/>
      <c r="N1004" s="133"/>
      <c r="O1004" s="133"/>
      <c r="P1004" s="133"/>
      <c r="Q1004" s="133"/>
      <c r="R1004" s="133"/>
      <c r="S1004" s="133"/>
      <c r="T1004" s="133"/>
      <c r="U1004" s="133"/>
      <c r="V1004" s="133"/>
      <c r="W1004" s="133"/>
      <c r="X1004" s="133"/>
      <c r="Y1004" s="133"/>
      <c r="Z1004" s="133"/>
      <c r="AA1004" s="133"/>
    </row>
    <row r="1005" spans="1:27" ht="15.75" customHeight="1" x14ac:dyDescent="0.25">
      <c r="A1005" s="133"/>
      <c r="B1005" s="133"/>
      <c r="C1005" s="133"/>
      <c r="D1005" s="133"/>
      <c r="E1005" s="133"/>
      <c r="F1005" s="133"/>
      <c r="G1005" s="133"/>
      <c r="H1005" s="133"/>
      <c r="I1005" s="133"/>
      <c r="K1005" s="133"/>
      <c r="L1005" s="133"/>
      <c r="M1005" s="133"/>
      <c r="N1005" s="133"/>
      <c r="O1005" s="133"/>
      <c r="P1005" s="133"/>
      <c r="Q1005" s="133"/>
      <c r="R1005" s="133"/>
      <c r="S1005" s="133"/>
      <c r="T1005" s="133"/>
      <c r="U1005" s="133"/>
      <c r="V1005" s="133"/>
      <c r="W1005" s="133"/>
      <c r="X1005" s="133"/>
      <c r="Y1005" s="133"/>
      <c r="Z1005" s="133"/>
      <c r="AA1005" s="133"/>
    </row>
    <row r="1006" spans="1:27" ht="15.75" customHeight="1" x14ac:dyDescent="0.25">
      <c r="A1006" s="133"/>
      <c r="B1006" s="133"/>
      <c r="C1006" s="133"/>
      <c r="D1006" s="133"/>
      <c r="E1006" s="133"/>
      <c r="F1006" s="133"/>
      <c r="G1006" s="133"/>
      <c r="H1006" s="133"/>
      <c r="I1006" s="133"/>
      <c r="K1006" s="133"/>
      <c r="L1006" s="133"/>
      <c r="M1006" s="133"/>
      <c r="N1006" s="133"/>
      <c r="O1006" s="133"/>
      <c r="P1006" s="133"/>
      <c r="Q1006" s="133"/>
      <c r="R1006" s="133"/>
      <c r="S1006" s="133"/>
      <c r="T1006" s="133"/>
      <c r="U1006" s="133"/>
      <c r="V1006" s="133"/>
      <c r="W1006" s="133"/>
      <c r="X1006" s="133"/>
      <c r="Y1006" s="133"/>
      <c r="Z1006" s="133"/>
      <c r="AA1006" s="133"/>
    </row>
    <row r="1007" spans="1:27" ht="15.75" customHeight="1" x14ac:dyDescent="0.25">
      <c r="A1007" s="133"/>
      <c r="B1007" s="133"/>
      <c r="C1007" s="133"/>
      <c r="D1007" s="133"/>
      <c r="E1007" s="133"/>
      <c r="F1007" s="133"/>
      <c r="G1007" s="133"/>
      <c r="H1007" s="133"/>
      <c r="I1007" s="133"/>
      <c r="K1007" s="133"/>
      <c r="L1007" s="133"/>
      <c r="M1007" s="133"/>
      <c r="N1007" s="133"/>
      <c r="O1007" s="133"/>
      <c r="P1007" s="133"/>
      <c r="Q1007" s="133"/>
      <c r="R1007" s="133"/>
      <c r="S1007" s="133"/>
      <c r="T1007" s="133"/>
      <c r="U1007" s="133"/>
      <c r="V1007" s="133"/>
      <c r="W1007" s="133"/>
      <c r="X1007" s="133"/>
      <c r="Y1007" s="133"/>
      <c r="Z1007" s="133"/>
      <c r="AA1007" s="133"/>
    </row>
    <row r="1008" spans="1:27" ht="15.75" customHeight="1" x14ac:dyDescent="0.25">
      <c r="A1008" s="133"/>
      <c r="B1008" s="133"/>
      <c r="C1008" s="133"/>
      <c r="D1008" s="133"/>
      <c r="E1008" s="133"/>
      <c r="F1008" s="133"/>
      <c r="G1008" s="133"/>
      <c r="H1008" s="133"/>
      <c r="I1008" s="133"/>
      <c r="K1008" s="133"/>
      <c r="L1008" s="133"/>
      <c r="M1008" s="133"/>
      <c r="N1008" s="133"/>
      <c r="O1008" s="133"/>
      <c r="P1008" s="133"/>
      <c r="Q1008" s="133"/>
      <c r="R1008" s="133"/>
      <c r="S1008" s="133"/>
      <c r="T1008" s="133"/>
      <c r="U1008" s="133"/>
      <c r="V1008" s="133"/>
      <c r="W1008" s="133"/>
      <c r="X1008" s="133"/>
      <c r="Y1008" s="133"/>
      <c r="Z1008" s="133"/>
      <c r="AA1008" s="133"/>
    </row>
    <row r="1009" spans="1:27" ht="15.75" customHeight="1" x14ac:dyDescent="0.25">
      <c r="A1009" s="133"/>
      <c r="B1009" s="133"/>
      <c r="C1009" s="133"/>
      <c r="D1009" s="133"/>
      <c r="E1009" s="133"/>
      <c r="F1009" s="133"/>
      <c r="G1009" s="133"/>
      <c r="H1009" s="133"/>
      <c r="I1009" s="133"/>
      <c r="K1009" s="133"/>
      <c r="L1009" s="133"/>
      <c r="M1009" s="133"/>
      <c r="N1009" s="133"/>
      <c r="O1009" s="133"/>
      <c r="P1009" s="133"/>
      <c r="Q1009" s="133"/>
      <c r="R1009" s="133"/>
      <c r="S1009" s="133"/>
      <c r="T1009" s="133"/>
      <c r="U1009" s="133"/>
      <c r="V1009" s="133"/>
      <c r="W1009" s="133"/>
      <c r="X1009" s="133"/>
      <c r="Y1009" s="133"/>
      <c r="Z1009" s="133"/>
      <c r="AA1009" s="133"/>
    </row>
    <row r="1010" spans="1:27" ht="15.75" customHeight="1" x14ac:dyDescent="0.25">
      <c r="A1010" s="133"/>
      <c r="B1010" s="133"/>
      <c r="C1010" s="133"/>
      <c r="D1010" s="133"/>
      <c r="E1010" s="133"/>
      <c r="F1010" s="133"/>
      <c r="G1010" s="133"/>
      <c r="H1010" s="133"/>
      <c r="I1010" s="133"/>
      <c r="K1010" s="133"/>
      <c r="L1010" s="133"/>
      <c r="M1010" s="133"/>
      <c r="N1010" s="133"/>
      <c r="O1010" s="133"/>
      <c r="P1010" s="133"/>
      <c r="Q1010" s="133"/>
      <c r="R1010" s="133"/>
      <c r="S1010" s="133"/>
      <c r="T1010" s="133"/>
      <c r="U1010" s="133"/>
      <c r="V1010" s="133"/>
      <c r="W1010" s="133"/>
      <c r="X1010" s="133"/>
      <c r="Y1010" s="133"/>
      <c r="Z1010" s="133"/>
      <c r="AA1010" s="133"/>
    </row>
    <row r="1011" spans="1:27" ht="15.75" customHeight="1" x14ac:dyDescent="0.25">
      <c r="A1011" s="133"/>
      <c r="B1011" s="133"/>
      <c r="C1011" s="133"/>
      <c r="D1011" s="133"/>
      <c r="E1011" s="133"/>
      <c r="F1011" s="133"/>
      <c r="G1011" s="133"/>
      <c r="H1011" s="133"/>
      <c r="I1011" s="133"/>
      <c r="K1011" s="133"/>
      <c r="L1011" s="133"/>
      <c r="M1011" s="133"/>
      <c r="N1011" s="133"/>
      <c r="O1011" s="133"/>
      <c r="P1011" s="133"/>
      <c r="Q1011" s="133"/>
      <c r="R1011" s="133"/>
      <c r="S1011" s="133"/>
      <c r="T1011" s="133"/>
      <c r="U1011" s="133"/>
      <c r="V1011" s="133"/>
      <c r="W1011" s="133"/>
      <c r="X1011" s="133"/>
      <c r="Y1011" s="133"/>
      <c r="Z1011" s="133"/>
      <c r="AA1011" s="133"/>
    </row>
    <row r="1012" spans="1:27" ht="15.75" customHeight="1" x14ac:dyDescent="0.25">
      <c r="A1012" s="133"/>
      <c r="B1012" s="133"/>
      <c r="C1012" s="133"/>
      <c r="D1012" s="133"/>
      <c r="E1012" s="133"/>
      <c r="F1012" s="133"/>
      <c r="G1012" s="133"/>
      <c r="H1012" s="133"/>
      <c r="I1012" s="133"/>
      <c r="K1012" s="133"/>
      <c r="L1012" s="133"/>
      <c r="M1012" s="133"/>
      <c r="N1012" s="133"/>
      <c r="O1012" s="133"/>
      <c r="P1012" s="133"/>
      <c r="Q1012" s="133"/>
      <c r="R1012" s="133"/>
      <c r="S1012" s="133"/>
      <c r="T1012" s="133"/>
      <c r="U1012" s="133"/>
      <c r="V1012" s="133"/>
      <c r="W1012" s="133"/>
      <c r="X1012" s="133"/>
      <c r="Y1012" s="133"/>
      <c r="Z1012" s="133"/>
      <c r="AA1012" s="133"/>
    </row>
    <row r="1013" spans="1:27" ht="15.75" customHeight="1" x14ac:dyDescent="0.25">
      <c r="A1013" s="133"/>
      <c r="B1013" s="133"/>
      <c r="C1013" s="133"/>
      <c r="D1013" s="133"/>
      <c r="E1013" s="133"/>
      <c r="F1013" s="133"/>
      <c r="G1013" s="133"/>
      <c r="H1013" s="133"/>
      <c r="I1013" s="133"/>
      <c r="K1013" s="133"/>
      <c r="L1013" s="133"/>
      <c r="M1013" s="133"/>
      <c r="N1013" s="133"/>
      <c r="O1013" s="133"/>
      <c r="P1013" s="133"/>
      <c r="Q1013" s="133"/>
      <c r="R1013" s="133"/>
      <c r="S1013" s="133"/>
      <c r="T1013" s="133"/>
      <c r="U1013" s="133"/>
      <c r="V1013" s="133"/>
      <c r="W1013" s="133"/>
      <c r="X1013" s="133"/>
      <c r="Y1013" s="133"/>
      <c r="Z1013" s="133"/>
      <c r="AA1013" s="133"/>
    </row>
    <row r="1014" spans="1:27" ht="15.75" customHeight="1" x14ac:dyDescent="0.25">
      <c r="A1014" s="133"/>
      <c r="B1014" s="133"/>
      <c r="C1014" s="133"/>
      <c r="D1014" s="133"/>
      <c r="E1014" s="133"/>
      <c r="F1014" s="133"/>
      <c r="G1014" s="133"/>
      <c r="H1014" s="133"/>
      <c r="I1014" s="133"/>
      <c r="K1014" s="133"/>
      <c r="L1014" s="133"/>
      <c r="M1014" s="133"/>
      <c r="N1014" s="133"/>
      <c r="O1014" s="133"/>
      <c r="P1014" s="133"/>
      <c r="Q1014" s="133"/>
      <c r="R1014" s="133"/>
      <c r="S1014" s="133"/>
      <c r="T1014" s="133"/>
      <c r="U1014" s="133"/>
      <c r="V1014" s="133"/>
      <c r="W1014" s="133"/>
      <c r="X1014" s="133"/>
      <c r="Y1014" s="133"/>
      <c r="Z1014" s="133"/>
      <c r="AA1014" s="133"/>
    </row>
    <row r="1015" spans="1:27" ht="15.75" customHeight="1" x14ac:dyDescent="0.25">
      <c r="A1015" s="133"/>
      <c r="B1015" s="133"/>
      <c r="C1015" s="133"/>
      <c r="D1015" s="133"/>
      <c r="E1015" s="133"/>
      <c r="F1015" s="133"/>
      <c r="G1015" s="133"/>
      <c r="H1015" s="133"/>
      <c r="I1015" s="133"/>
      <c r="K1015" s="133"/>
      <c r="L1015" s="133"/>
      <c r="M1015" s="133"/>
      <c r="N1015" s="133"/>
      <c r="O1015" s="133"/>
      <c r="P1015" s="133"/>
      <c r="Q1015" s="133"/>
      <c r="R1015" s="133"/>
      <c r="S1015" s="133"/>
      <c r="T1015" s="133"/>
      <c r="U1015" s="133"/>
      <c r="V1015" s="133"/>
      <c r="W1015" s="133"/>
      <c r="X1015" s="133"/>
      <c r="Y1015" s="133"/>
      <c r="Z1015" s="133"/>
      <c r="AA1015" s="133"/>
    </row>
    <row r="1016" spans="1:27" ht="15.75" customHeight="1" x14ac:dyDescent="0.25">
      <c r="A1016" s="133"/>
      <c r="B1016" s="133"/>
      <c r="C1016" s="133"/>
      <c r="D1016" s="133"/>
      <c r="E1016" s="133"/>
      <c r="F1016" s="133"/>
      <c r="G1016" s="133"/>
      <c r="H1016" s="133"/>
      <c r="I1016" s="133"/>
      <c r="K1016" s="133"/>
      <c r="L1016" s="133"/>
      <c r="M1016" s="133"/>
      <c r="N1016" s="133"/>
      <c r="O1016" s="133"/>
      <c r="P1016" s="133"/>
      <c r="Q1016" s="133"/>
      <c r="R1016" s="133"/>
      <c r="S1016" s="133"/>
      <c r="T1016" s="133"/>
      <c r="U1016" s="133"/>
      <c r="V1016" s="133"/>
      <c r="W1016" s="133"/>
      <c r="X1016" s="133"/>
      <c r="Y1016" s="133"/>
      <c r="Z1016" s="133"/>
      <c r="AA1016" s="133"/>
    </row>
    <row r="1017" spans="1:27" ht="15.75" customHeight="1" x14ac:dyDescent="0.25">
      <c r="A1017" s="133"/>
      <c r="B1017" s="133"/>
      <c r="C1017" s="133"/>
      <c r="D1017" s="133"/>
      <c r="E1017" s="133"/>
      <c r="F1017" s="133"/>
      <c r="G1017" s="133"/>
      <c r="H1017" s="133"/>
      <c r="I1017" s="133"/>
      <c r="K1017" s="133"/>
      <c r="L1017" s="133"/>
      <c r="M1017" s="133"/>
      <c r="N1017" s="133"/>
      <c r="O1017" s="133"/>
      <c r="P1017" s="133"/>
      <c r="Q1017" s="133"/>
      <c r="R1017" s="133"/>
      <c r="S1017" s="133"/>
      <c r="T1017" s="133"/>
      <c r="U1017" s="133"/>
      <c r="V1017" s="133"/>
      <c r="W1017" s="133"/>
      <c r="X1017" s="133"/>
      <c r="Y1017" s="133"/>
      <c r="Z1017" s="133"/>
      <c r="AA1017" s="133"/>
    </row>
    <row r="1018" spans="1:27" ht="15.75" customHeight="1" x14ac:dyDescent="0.25">
      <c r="A1018" s="133"/>
      <c r="B1018" s="133"/>
      <c r="C1018" s="133"/>
      <c r="D1018" s="133"/>
      <c r="E1018" s="133"/>
      <c r="F1018" s="133"/>
      <c r="G1018" s="133"/>
      <c r="H1018" s="133"/>
      <c r="I1018" s="133"/>
      <c r="K1018" s="133"/>
      <c r="L1018" s="133"/>
      <c r="M1018" s="133"/>
      <c r="N1018" s="133"/>
      <c r="O1018" s="133"/>
      <c r="P1018" s="133"/>
      <c r="Q1018" s="133"/>
      <c r="R1018" s="133"/>
      <c r="S1018" s="133"/>
      <c r="T1018" s="133"/>
      <c r="U1018" s="133"/>
      <c r="V1018" s="133"/>
      <c r="W1018" s="133"/>
      <c r="X1018" s="133"/>
      <c r="Y1018" s="133"/>
      <c r="Z1018" s="133"/>
      <c r="AA1018" s="133"/>
    </row>
    <row r="1019" spans="1:27" ht="15.75" customHeight="1" x14ac:dyDescent="0.25">
      <c r="A1019" s="133"/>
      <c r="B1019" s="133"/>
      <c r="C1019" s="133"/>
      <c r="D1019" s="133"/>
      <c r="E1019" s="133"/>
      <c r="F1019" s="133"/>
      <c r="G1019" s="133"/>
      <c r="H1019" s="133"/>
      <c r="I1019" s="133"/>
      <c r="K1019" s="133"/>
      <c r="L1019" s="133"/>
      <c r="M1019" s="133"/>
      <c r="N1019" s="133"/>
      <c r="O1019" s="133"/>
      <c r="P1019" s="133"/>
      <c r="Q1019" s="133"/>
      <c r="R1019" s="133"/>
      <c r="S1019" s="133"/>
      <c r="T1019" s="133"/>
      <c r="U1019" s="133"/>
      <c r="V1019" s="133"/>
      <c r="W1019" s="133"/>
      <c r="X1019" s="133"/>
      <c r="Y1019" s="133"/>
      <c r="Z1019" s="133"/>
      <c r="AA1019" s="133"/>
    </row>
    <row r="1020" spans="1:27" ht="15.75" customHeight="1" x14ac:dyDescent="0.25">
      <c r="A1020" s="133"/>
      <c r="B1020" s="133"/>
      <c r="C1020" s="133"/>
      <c r="D1020" s="133"/>
      <c r="E1020" s="133"/>
      <c r="F1020" s="133"/>
      <c r="G1020" s="133"/>
      <c r="H1020" s="133"/>
      <c r="I1020" s="133"/>
      <c r="K1020" s="133"/>
      <c r="L1020" s="133"/>
      <c r="M1020" s="133"/>
      <c r="N1020" s="133"/>
      <c r="O1020" s="133"/>
      <c r="P1020" s="133"/>
      <c r="Q1020" s="133"/>
      <c r="R1020" s="133"/>
      <c r="S1020" s="133"/>
      <c r="T1020" s="133"/>
      <c r="U1020" s="133"/>
      <c r="V1020" s="133"/>
      <c r="W1020" s="133"/>
      <c r="X1020" s="133"/>
      <c r="Y1020" s="133"/>
      <c r="Z1020" s="133"/>
      <c r="AA1020" s="133"/>
    </row>
    <row r="1021" spans="1:27" ht="15.75" customHeight="1" x14ac:dyDescent="0.25">
      <c r="A1021" s="133"/>
      <c r="B1021" s="133"/>
      <c r="C1021" s="133"/>
      <c r="D1021" s="133"/>
      <c r="E1021" s="133"/>
      <c r="F1021" s="133"/>
      <c r="G1021" s="133"/>
      <c r="H1021" s="133"/>
      <c r="I1021" s="133"/>
      <c r="K1021" s="133"/>
      <c r="L1021" s="133"/>
      <c r="M1021" s="133"/>
      <c r="N1021" s="133"/>
      <c r="O1021" s="133"/>
      <c r="P1021" s="133"/>
      <c r="Q1021" s="133"/>
      <c r="R1021" s="133"/>
      <c r="S1021" s="133"/>
      <c r="T1021" s="133"/>
      <c r="U1021" s="133"/>
      <c r="V1021" s="133"/>
      <c r="W1021" s="133"/>
      <c r="X1021" s="133"/>
      <c r="Y1021" s="133"/>
      <c r="Z1021" s="133"/>
      <c r="AA1021" s="133"/>
    </row>
    <row r="1022" spans="1:27" ht="15.75" customHeight="1" x14ac:dyDescent="0.25">
      <c r="A1022" s="133"/>
      <c r="B1022" s="133"/>
      <c r="C1022" s="133"/>
      <c r="D1022" s="133"/>
      <c r="E1022" s="133"/>
      <c r="F1022" s="133"/>
      <c r="G1022" s="133"/>
      <c r="H1022" s="133"/>
      <c r="I1022" s="133"/>
      <c r="K1022" s="133"/>
      <c r="L1022" s="133"/>
      <c r="M1022" s="133"/>
      <c r="N1022" s="133"/>
      <c r="O1022" s="133"/>
      <c r="P1022" s="133"/>
      <c r="Q1022" s="133"/>
      <c r="R1022" s="133"/>
      <c r="S1022" s="133"/>
      <c r="T1022" s="133"/>
      <c r="U1022" s="133"/>
      <c r="V1022" s="133"/>
      <c r="W1022" s="133"/>
      <c r="X1022" s="133"/>
      <c r="Y1022" s="133"/>
      <c r="Z1022" s="133"/>
      <c r="AA1022" s="133"/>
    </row>
    <row r="1023" spans="1:27" ht="15.75" customHeight="1" x14ac:dyDescent="0.25">
      <c r="A1023" s="133"/>
      <c r="B1023" s="133"/>
      <c r="C1023" s="133"/>
      <c r="D1023" s="133"/>
      <c r="E1023" s="133"/>
      <c r="F1023" s="133"/>
      <c r="G1023" s="133"/>
      <c r="H1023" s="133"/>
      <c r="I1023" s="133"/>
      <c r="K1023" s="133"/>
      <c r="L1023" s="133"/>
      <c r="M1023" s="133"/>
      <c r="N1023" s="133"/>
      <c r="O1023" s="133"/>
      <c r="P1023" s="133"/>
      <c r="Q1023" s="133"/>
      <c r="R1023" s="133"/>
      <c r="S1023" s="133"/>
      <c r="T1023" s="133"/>
      <c r="U1023" s="133"/>
      <c r="V1023" s="133"/>
      <c r="W1023" s="133"/>
      <c r="X1023" s="133"/>
      <c r="Y1023" s="133"/>
      <c r="Z1023" s="133"/>
      <c r="AA1023" s="133"/>
    </row>
    <row r="1024" spans="1:27" ht="15.75" customHeight="1" x14ac:dyDescent="0.25">
      <c r="A1024" s="133"/>
      <c r="B1024" s="133"/>
      <c r="C1024" s="133"/>
      <c r="D1024" s="133"/>
      <c r="E1024" s="133"/>
      <c r="F1024" s="133"/>
      <c r="G1024" s="133"/>
      <c r="H1024" s="133"/>
      <c r="I1024" s="133"/>
      <c r="K1024" s="133"/>
      <c r="L1024" s="133"/>
      <c r="M1024" s="133"/>
      <c r="N1024" s="133"/>
      <c r="O1024" s="133"/>
      <c r="P1024" s="133"/>
      <c r="Q1024" s="133"/>
      <c r="R1024" s="133"/>
      <c r="S1024" s="133"/>
      <c r="T1024" s="133"/>
      <c r="U1024" s="133"/>
      <c r="V1024" s="133"/>
      <c r="W1024" s="133"/>
      <c r="X1024" s="133"/>
      <c r="Y1024" s="133"/>
      <c r="Z1024" s="133"/>
      <c r="AA1024" s="133"/>
    </row>
    <row r="1025" spans="1:27" ht="15.75" customHeight="1" x14ac:dyDescent="0.25">
      <c r="A1025" s="133"/>
      <c r="B1025" s="133"/>
      <c r="C1025" s="133"/>
      <c r="D1025" s="133"/>
      <c r="E1025" s="133"/>
      <c r="F1025" s="133"/>
      <c r="G1025" s="133"/>
      <c r="H1025" s="133"/>
      <c r="I1025" s="133"/>
      <c r="K1025" s="133"/>
      <c r="L1025" s="133"/>
      <c r="M1025" s="133"/>
      <c r="N1025" s="133"/>
      <c r="O1025" s="133"/>
      <c r="P1025" s="133"/>
      <c r="Q1025" s="133"/>
      <c r="R1025" s="133"/>
      <c r="S1025" s="133"/>
      <c r="T1025" s="133"/>
      <c r="U1025" s="133"/>
      <c r="V1025" s="133"/>
      <c r="W1025" s="133"/>
      <c r="X1025" s="133"/>
      <c r="Y1025" s="133"/>
      <c r="Z1025" s="133"/>
      <c r="AA1025" s="133"/>
    </row>
    <row r="1026" spans="1:27" ht="15.75" customHeight="1" x14ac:dyDescent="0.25">
      <c r="A1026" s="133"/>
      <c r="B1026" s="133"/>
      <c r="C1026" s="133"/>
      <c r="D1026" s="133"/>
      <c r="E1026" s="133"/>
      <c r="F1026" s="133"/>
      <c r="G1026" s="133"/>
      <c r="H1026" s="133"/>
      <c r="I1026" s="133"/>
      <c r="K1026" s="133"/>
      <c r="L1026" s="133"/>
      <c r="M1026" s="133"/>
      <c r="N1026" s="133"/>
      <c r="O1026" s="133"/>
      <c r="P1026" s="133"/>
      <c r="Q1026" s="133"/>
      <c r="R1026" s="133"/>
      <c r="S1026" s="133"/>
      <c r="T1026" s="133"/>
      <c r="U1026" s="133"/>
      <c r="V1026" s="133"/>
      <c r="W1026" s="133"/>
      <c r="X1026" s="133"/>
      <c r="Y1026" s="133"/>
      <c r="Z1026" s="133"/>
      <c r="AA1026" s="133"/>
    </row>
    <row r="1027" spans="1:27" ht="15.75" customHeight="1" x14ac:dyDescent="0.25">
      <c r="A1027" s="133"/>
      <c r="B1027" s="133"/>
      <c r="C1027" s="133"/>
      <c r="D1027" s="133"/>
      <c r="E1027" s="133"/>
      <c r="F1027" s="133"/>
      <c r="G1027" s="133"/>
      <c r="H1027" s="133"/>
      <c r="I1027" s="133"/>
      <c r="K1027" s="133"/>
      <c r="L1027" s="133"/>
      <c r="M1027" s="133"/>
      <c r="N1027" s="133"/>
      <c r="O1027" s="133"/>
      <c r="P1027" s="133"/>
      <c r="Q1027" s="133"/>
      <c r="R1027" s="133"/>
      <c r="S1027" s="133"/>
      <c r="T1027" s="133"/>
      <c r="U1027" s="133"/>
      <c r="V1027" s="133"/>
      <c r="W1027" s="133"/>
      <c r="X1027" s="133"/>
      <c r="Y1027" s="133"/>
      <c r="Z1027" s="133"/>
      <c r="AA1027" s="133"/>
    </row>
    <row r="1028" spans="1:27" ht="15.75" customHeight="1" x14ac:dyDescent="0.25">
      <c r="A1028" s="133"/>
      <c r="B1028" s="133"/>
      <c r="C1028" s="133"/>
      <c r="D1028" s="133"/>
      <c r="E1028" s="133"/>
      <c r="F1028" s="133"/>
      <c r="G1028" s="133"/>
      <c r="H1028" s="133"/>
      <c r="I1028" s="133"/>
      <c r="K1028" s="133"/>
      <c r="L1028" s="133"/>
      <c r="M1028" s="133"/>
      <c r="N1028" s="133"/>
      <c r="O1028" s="133"/>
      <c r="P1028" s="133"/>
      <c r="Q1028" s="133"/>
      <c r="R1028" s="133"/>
      <c r="S1028" s="133"/>
      <c r="T1028" s="133"/>
      <c r="U1028" s="133"/>
      <c r="V1028" s="133"/>
      <c r="W1028" s="133"/>
      <c r="X1028" s="133"/>
      <c r="Y1028" s="133"/>
      <c r="Z1028" s="133"/>
      <c r="AA1028" s="133"/>
    </row>
    <row r="1029" spans="1:27" ht="15.75" customHeight="1" x14ac:dyDescent="0.25">
      <c r="A1029" s="133"/>
      <c r="B1029" s="133"/>
      <c r="C1029" s="133"/>
      <c r="D1029" s="133"/>
      <c r="E1029" s="133"/>
      <c r="F1029" s="133"/>
      <c r="G1029" s="133"/>
      <c r="H1029" s="133"/>
      <c r="I1029" s="133"/>
      <c r="K1029" s="133"/>
      <c r="L1029" s="133"/>
      <c r="M1029" s="133"/>
      <c r="N1029" s="133"/>
      <c r="O1029" s="133"/>
      <c r="P1029" s="133"/>
      <c r="Q1029" s="133"/>
      <c r="R1029" s="133"/>
      <c r="S1029" s="133"/>
      <c r="T1029" s="133"/>
      <c r="U1029" s="133"/>
      <c r="V1029" s="133"/>
      <c r="W1029" s="133"/>
      <c r="X1029" s="133"/>
      <c r="Y1029" s="133"/>
      <c r="Z1029" s="133"/>
      <c r="AA1029" s="133"/>
    </row>
    <row r="1030" spans="1:27" ht="15.75" customHeight="1" x14ac:dyDescent="0.25">
      <c r="A1030" s="133"/>
      <c r="B1030" s="133"/>
      <c r="C1030" s="133"/>
      <c r="D1030" s="133"/>
      <c r="E1030" s="133"/>
      <c r="F1030" s="133"/>
      <c r="G1030" s="133"/>
      <c r="H1030" s="133"/>
      <c r="I1030" s="133"/>
      <c r="K1030" s="133"/>
      <c r="L1030" s="133"/>
      <c r="M1030" s="133"/>
      <c r="N1030" s="133"/>
      <c r="O1030" s="133"/>
      <c r="P1030" s="133"/>
      <c r="Q1030" s="133"/>
      <c r="R1030" s="133"/>
      <c r="S1030" s="133"/>
      <c r="T1030" s="133"/>
      <c r="U1030" s="133"/>
      <c r="V1030" s="133"/>
      <c r="W1030" s="133"/>
      <c r="X1030" s="133"/>
      <c r="Y1030" s="133"/>
      <c r="Z1030" s="133"/>
      <c r="AA1030" s="133"/>
    </row>
    <row r="1031" spans="1:27" ht="15.75" customHeight="1" x14ac:dyDescent="0.25">
      <c r="A1031" s="133"/>
      <c r="B1031" s="133"/>
      <c r="C1031" s="133"/>
      <c r="D1031" s="133"/>
      <c r="E1031" s="133"/>
      <c r="F1031" s="133"/>
      <c r="G1031" s="133"/>
      <c r="H1031" s="133"/>
      <c r="I1031" s="133"/>
      <c r="K1031" s="133"/>
      <c r="L1031" s="133"/>
      <c r="M1031" s="133"/>
      <c r="N1031" s="133"/>
      <c r="O1031" s="133"/>
      <c r="P1031" s="133"/>
      <c r="Q1031" s="133"/>
      <c r="R1031" s="133"/>
      <c r="S1031" s="133"/>
      <c r="T1031" s="133"/>
      <c r="U1031" s="133"/>
      <c r="V1031" s="133"/>
      <c r="W1031" s="133"/>
      <c r="X1031" s="133"/>
      <c r="Y1031" s="133"/>
      <c r="Z1031" s="133"/>
      <c r="AA1031" s="133"/>
    </row>
    <row r="1032" spans="1:27" ht="15.75" customHeight="1" x14ac:dyDescent="0.25">
      <c r="A1032" s="133"/>
      <c r="B1032" s="133"/>
      <c r="C1032" s="133"/>
      <c r="D1032" s="133"/>
      <c r="E1032" s="133"/>
      <c r="F1032" s="133"/>
      <c r="G1032" s="133"/>
      <c r="H1032" s="133"/>
      <c r="I1032" s="133"/>
      <c r="K1032" s="133"/>
      <c r="L1032" s="133"/>
      <c r="M1032" s="133"/>
      <c r="N1032" s="133"/>
      <c r="O1032" s="133"/>
      <c r="P1032" s="133"/>
      <c r="Q1032" s="133"/>
      <c r="R1032" s="133"/>
      <c r="S1032" s="133"/>
      <c r="T1032" s="133"/>
      <c r="U1032" s="133"/>
      <c r="V1032" s="133"/>
      <c r="W1032" s="133"/>
      <c r="X1032" s="133"/>
      <c r="Y1032" s="133"/>
      <c r="Z1032" s="133"/>
      <c r="AA1032" s="133"/>
    </row>
    <row r="1033" spans="1:27" ht="15.75" customHeight="1" x14ac:dyDescent="0.25">
      <c r="A1033" s="133"/>
      <c r="B1033" s="133"/>
      <c r="C1033" s="133"/>
      <c r="D1033" s="133"/>
      <c r="E1033" s="133"/>
      <c r="F1033" s="133"/>
      <c r="G1033" s="133"/>
      <c r="H1033" s="133"/>
      <c r="I1033" s="133"/>
      <c r="K1033" s="133"/>
      <c r="L1033" s="133"/>
      <c r="M1033" s="133"/>
      <c r="N1033" s="133"/>
      <c r="O1033" s="133"/>
      <c r="P1033" s="133"/>
      <c r="Q1033" s="133"/>
      <c r="R1033" s="133"/>
      <c r="S1033" s="133"/>
      <c r="T1033" s="133"/>
      <c r="U1033" s="133"/>
      <c r="V1033" s="133"/>
      <c r="W1033" s="133"/>
      <c r="X1033" s="133"/>
      <c r="Y1033" s="133"/>
      <c r="Z1033" s="133"/>
      <c r="AA1033" s="133"/>
    </row>
    <row r="1034" spans="1:27" ht="15.75" customHeight="1" x14ac:dyDescent="0.25">
      <c r="A1034" s="133"/>
      <c r="B1034" s="133"/>
      <c r="C1034" s="133"/>
      <c r="D1034" s="133"/>
      <c r="E1034" s="133"/>
      <c r="F1034" s="133"/>
      <c r="G1034" s="133"/>
      <c r="H1034" s="133"/>
      <c r="I1034" s="133"/>
      <c r="K1034" s="133"/>
      <c r="L1034" s="133"/>
      <c r="M1034" s="133"/>
      <c r="N1034" s="133"/>
      <c r="O1034" s="133"/>
      <c r="P1034" s="133"/>
      <c r="Q1034" s="133"/>
      <c r="R1034" s="133"/>
      <c r="S1034" s="133"/>
      <c r="T1034" s="133"/>
      <c r="U1034" s="133"/>
      <c r="V1034" s="133"/>
      <c r="W1034" s="133"/>
      <c r="X1034" s="133"/>
      <c r="Y1034" s="133"/>
      <c r="Z1034" s="133"/>
      <c r="AA1034" s="133"/>
    </row>
    <row r="1035" spans="1:27" ht="15.75" customHeight="1" x14ac:dyDescent="0.25">
      <c r="A1035" s="133"/>
      <c r="B1035" s="133"/>
      <c r="C1035" s="133"/>
      <c r="D1035" s="133"/>
      <c r="E1035" s="133"/>
      <c r="F1035" s="133"/>
      <c r="G1035" s="133"/>
      <c r="H1035" s="133"/>
      <c r="I1035" s="133"/>
      <c r="K1035" s="133"/>
      <c r="L1035" s="133"/>
      <c r="M1035" s="133"/>
      <c r="N1035" s="133"/>
      <c r="O1035" s="133"/>
      <c r="P1035" s="133"/>
      <c r="Q1035" s="133"/>
      <c r="R1035" s="133"/>
      <c r="S1035" s="133"/>
      <c r="T1035" s="133"/>
      <c r="U1035" s="133"/>
      <c r="V1035" s="133"/>
      <c r="W1035" s="133"/>
      <c r="X1035" s="133"/>
      <c r="Y1035" s="133"/>
      <c r="Z1035" s="133"/>
      <c r="AA1035" s="133"/>
    </row>
    <row r="1036" spans="1:27" ht="15.75" customHeight="1" x14ac:dyDescent="0.25">
      <c r="A1036" s="133"/>
      <c r="B1036" s="133"/>
      <c r="C1036" s="133"/>
      <c r="D1036" s="133"/>
      <c r="E1036" s="133"/>
      <c r="F1036" s="133"/>
      <c r="G1036" s="133"/>
      <c r="H1036" s="133"/>
      <c r="I1036" s="133"/>
      <c r="K1036" s="133"/>
      <c r="L1036" s="133"/>
      <c r="M1036" s="133"/>
      <c r="N1036" s="133"/>
      <c r="O1036" s="133"/>
      <c r="P1036" s="133"/>
      <c r="Q1036" s="133"/>
      <c r="R1036" s="133"/>
      <c r="S1036" s="133"/>
      <c r="T1036" s="133"/>
      <c r="U1036" s="133"/>
      <c r="V1036" s="133"/>
      <c r="W1036" s="133"/>
      <c r="X1036" s="133"/>
      <c r="Y1036" s="133"/>
      <c r="Z1036" s="133"/>
      <c r="AA1036" s="133"/>
    </row>
    <row r="1037" spans="1:27" ht="15.75" customHeight="1" x14ac:dyDescent="0.25">
      <c r="A1037" s="133"/>
      <c r="B1037" s="133"/>
      <c r="C1037" s="133"/>
      <c r="D1037" s="133"/>
      <c r="E1037" s="133"/>
      <c r="F1037" s="133"/>
      <c r="G1037" s="133"/>
      <c r="H1037" s="133"/>
      <c r="I1037" s="133"/>
      <c r="K1037" s="133"/>
      <c r="L1037" s="133"/>
      <c r="M1037" s="133"/>
      <c r="N1037" s="133"/>
      <c r="O1037" s="133"/>
      <c r="P1037" s="133"/>
      <c r="Q1037" s="133"/>
      <c r="R1037" s="133"/>
      <c r="S1037" s="133"/>
      <c r="T1037" s="133"/>
      <c r="U1037" s="133"/>
      <c r="V1037" s="133"/>
      <c r="W1037" s="133"/>
      <c r="X1037" s="133"/>
      <c r="Y1037" s="133"/>
      <c r="Z1037" s="133"/>
      <c r="AA1037" s="133"/>
    </row>
    <row r="1038" spans="1:27" ht="15.75" customHeight="1" x14ac:dyDescent="0.25">
      <c r="A1038" s="133"/>
      <c r="B1038" s="133"/>
      <c r="C1038" s="133"/>
      <c r="D1038" s="133"/>
      <c r="E1038" s="133"/>
      <c r="F1038" s="133"/>
      <c r="G1038" s="133"/>
      <c r="H1038" s="133"/>
      <c r="I1038" s="133"/>
      <c r="K1038" s="133"/>
      <c r="L1038" s="133"/>
      <c r="M1038" s="133"/>
      <c r="N1038" s="133"/>
      <c r="O1038" s="133"/>
      <c r="P1038" s="133"/>
      <c r="Q1038" s="133"/>
      <c r="R1038" s="133"/>
      <c r="S1038" s="133"/>
      <c r="T1038" s="133"/>
      <c r="U1038" s="133"/>
      <c r="V1038" s="133"/>
      <c r="W1038" s="133"/>
      <c r="X1038" s="133"/>
      <c r="Y1038" s="133"/>
      <c r="Z1038" s="133"/>
      <c r="AA1038" s="133"/>
    </row>
    <row r="1039" spans="1:27" ht="15.75" customHeight="1" x14ac:dyDescent="0.25">
      <c r="A1039" s="133"/>
      <c r="B1039" s="133"/>
      <c r="C1039" s="133"/>
      <c r="D1039" s="133"/>
      <c r="E1039" s="133"/>
      <c r="F1039" s="133"/>
      <c r="G1039" s="133"/>
      <c r="H1039" s="133"/>
      <c r="I1039" s="133"/>
      <c r="K1039" s="133"/>
      <c r="L1039" s="133"/>
      <c r="M1039" s="133"/>
      <c r="N1039" s="133"/>
      <c r="O1039" s="133"/>
      <c r="P1039" s="133"/>
      <c r="Q1039" s="133"/>
      <c r="R1039" s="133"/>
      <c r="S1039" s="133"/>
      <c r="T1039" s="133"/>
      <c r="U1039" s="133"/>
      <c r="V1039" s="133"/>
      <c r="W1039" s="133"/>
      <c r="X1039" s="133"/>
      <c r="Y1039" s="133"/>
      <c r="Z1039" s="133"/>
      <c r="AA1039" s="133"/>
    </row>
    <row r="1040" spans="1:27" ht="15.75" customHeight="1" x14ac:dyDescent="0.25">
      <c r="A1040" s="133"/>
      <c r="B1040" s="133"/>
      <c r="C1040" s="133"/>
      <c r="D1040" s="133"/>
      <c r="E1040" s="133"/>
      <c r="F1040" s="133"/>
      <c r="G1040" s="133"/>
      <c r="H1040" s="133"/>
      <c r="I1040" s="133"/>
      <c r="K1040" s="133"/>
      <c r="L1040" s="133"/>
      <c r="M1040" s="133"/>
      <c r="N1040" s="133"/>
      <c r="O1040" s="133"/>
      <c r="P1040" s="133"/>
      <c r="Q1040" s="133"/>
      <c r="R1040" s="133"/>
      <c r="S1040" s="133"/>
      <c r="T1040" s="133"/>
      <c r="U1040" s="133"/>
      <c r="V1040" s="133"/>
      <c r="W1040" s="133"/>
      <c r="X1040" s="133"/>
      <c r="Y1040" s="133"/>
      <c r="Z1040" s="133"/>
      <c r="AA1040" s="133"/>
    </row>
    <row r="1041" spans="1:27" ht="15.75" customHeight="1" x14ac:dyDescent="0.25">
      <c r="A1041" s="133"/>
      <c r="B1041" s="133"/>
      <c r="C1041" s="133"/>
      <c r="D1041" s="133"/>
      <c r="E1041" s="133"/>
      <c r="F1041" s="133"/>
      <c r="G1041" s="133"/>
      <c r="H1041" s="133"/>
      <c r="I1041" s="133"/>
      <c r="K1041" s="133"/>
      <c r="L1041" s="133"/>
      <c r="M1041" s="133"/>
      <c r="N1041" s="133"/>
      <c r="O1041" s="133"/>
      <c r="P1041" s="133"/>
      <c r="Q1041" s="133"/>
      <c r="R1041" s="133"/>
      <c r="S1041" s="133"/>
      <c r="T1041" s="133"/>
      <c r="U1041" s="133"/>
      <c r="V1041" s="133"/>
      <c r="W1041" s="133"/>
      <c r="X1041" s="133"/>
      <c r="Y1041" s="133"/>
      <c r="Z1041" s="133"/>
      <c r="AA1041" s="133"/>
    </row>
  </sheetData>
  <autoFilter ref="A1:AA28" xr:uid="{00000000-0001-0000-0500-000000000000}"/>
  <phoneticPr fontId="28" type="noConversion"/>
  <hyperlinks>
    <hyperlink ref="B55" r:id="rId1" xr:uid="{A0786BBC-4A9A-47EC-B649-CE920F480115}"/>
    <hyperlink ref="B62" r:id="rId2" xr:uid="{49B464B8-511D-4790-BFD0-BEDCE48684E0}"/>
    <hyperlink ref="B42" r:id="rId3" xr:uid="{E4AFDB58-0EEB-4EF0-B078-2FAE2DB09B8D}"/>
    <hyperlink ref="B67" r:id="rId4" xr:uid="{3AC9DED7-B6F9-4277-B3D1-06D102A8C1E2}"/>
    <hyperlink ref="B29" r:id="rId5" xr:uid="{96AB96EE-7453-4247-A70D-1E8EF062419A}"/>
    <hyperlink ref="B16" r:id="rId6" xr:uid="{370D9D82-D55D-406A-8042-20E379DB3D05}"/>
    <hyperlink ref="B43" r:id="rId7" xr:uid="{62FC5845-9846-4FAD-9BDA-F7C488A40B50}"/>
    <hyperlink ref="B31" r:id="rId8" xr:uid="{7932EAD2-101F-4D36-B58E-8F1FEF0E3C60}"/>
    <hyperlink ref="B75" r:id="rId9" xr:uid="{49BB83B8-597C-4FA4-A501-E7A6A649CF63}"/>
    <hyperlink ref="B61" r:id="rId10" xr:uid="{652B70E2-BED7-461F-8785-D21C946A7FC6}"/>
    <hyperlink ref="B86" r:id="rId11" xr:uid="{64995583-CF7B-4381-99BE-826A786D52A2}"/>
    <hyperlink ref="B58" r:id="rId12" xr:uid="{1F7A76A7-9EE1-43F1-ABD3-FEF67DD26DC0}"/>
    <hyperlink ref="B52" r:id="rId13" xr:uid="{47AECB8B-4125-415B-99F6-5E090CF982F6}"/>
    <hyperlink ref="B2" r:id="rId14" xr:uid="{2C1893F6-1B32-481F-837C-661A0F91BF26}"/>
    <hyperlink ref="B30" r:id="rId15" xr:uid="{C9544B0C-60DE-43B5-B0DD-8955ACDD20D1}"/>
    <hyperlink ref="B33" r:id="rId16" xr:uid="{E1273EF8-9907-4800-8A74-D3BC29D0C08F}"/>
    <hyperlink ref="B28" r:id="rId17" xr:uid="{A94F1512-578F-4236-8272-71E536380FAC}"/>
    <hyperlink ref="B65" r:id="rId18" xr:uid="{74A70BE2-3F33-405C-9645-2A222970BB16}"/>
    <hyperlink ref="B3" r:id="rId19" xr:uid="{1ABC9A5F-2F7A-4960-96B0-7AF3FFB08CC2}"/>
    <hyperlink ref="B54" r:id="rId20" xr:uid="{2F5116FA-611E-4EDB-A339-77D1A3B96154}"/>
    <hyperlink ref="B32" r:id="rId21" xr:uid="{8920011D-90FD-4B72-B9BE-4487E2EE0A4F}"/>
    <hyperlink ref="B63" r:id="rId22" xr:uid="{56E0B69C-6211-4EFF-AFF4-D1A794228FFE}"/>
    <hyperlink ref="B64" r:id="rId23" xr:uid="{0E3EC587-7E8B-4BC0-9302-54FA66086F32}"/>
    <hyperlink ref="B56" r:id="rId24" xr:uid="{2F45D844-4549-4CC8-B9B0-13FC6801AB73}"/>
    <hyperlink ref="B57" r:id="rId25" xr:uid="{DF5DF015-F4B2-4044-A56E-03F1C28CE0D0}"/>
    <hyperlink ref="B5" r:id="rId26" xr:uid="{FAFBA46C-7345-446B-8E63-1DB66ABA79E0}"/>
    <hyperlink ref="B68" r:id="rId27" xr:uid="{0709FCE0-BEA4-4695-B8DF-554045198CAD}"/>
    <hyperlink ref="B81" r:id="rId28" xr:uid="{3E47BBD7-F60B-420F-83DE-F29477F433C6}"/>
    <hyperlink ref="B6" r:id="rId29" xr:uid="{90A7CA80-0A75-453D-928D-FCC385F7A100}"/>
    <hyperlink ref="B13" r:id="rId30" xr:uid="{838E7644-4999-4B3A-9651-9B6076A890EB}"/>
    <hyperlink ref="B14" r:id="rId31" xr:uid="{112F743E-B6F4-4225-8678-ADA5728779E0}"/>
    <hyperlink ref="B15" r:id="rId32" xr:uid="{5DC01910-F418-41B9-BDFA-8C2678CB6DFC}"/>
    <hyperlink ref="B59" r:id="rId33" xr:uid="{DBF75A98-3BDF-47C1-B9E1-959844ED1718}"/>
    <hyperlink ref="B60" r:id="rId34" xr:uid="{E82EC875-3ADE-4457-A6D7-F989C844874D}"/>
    <hyperlink ref="B4" r:id="rId35" xr:uid="{365C28F1-A89D-4ADC-9936-BFA7EE8A0EB9}"/>
    <hyperlink ref="B34" r:id="rId36" xr:uid="{26D37268-5ED1-4F55-A5B4-2A411C0FA313}"/>
    <hyperlink ref="B7" r:id="rId37" xr:uid="{44660D4F-ECE2-4E9C-AAAF-3E0BCEFEE29E}"/>
    <hyperlink ref="B12" r:id="rId38" xr:uid="{1D21DEB7-0584-4F12-923A-82A00CDD5B80}"/>
    <hyperlink ref="B8" r:id="rId39" xr:uid="{E9C225F6-14F7-48C1-BF8D-8605232D2351}"/>
    <hyperlink ref="B11" r:id="rId40" xr:uid="{25A603AC-EFE3-43A2-9D49-7AE1B8BF9FFA}"/>
    <hyperlink ref="B66" r:id="rId41" xr:uid="{7ECE22D1-A88B-4336-9F80-52F7F18A5663}"/>
    <hyperlink ref="B9" r:id="rId42" xr:uid="{2E3837F6-8158-4506-8A89-86F98F20868F}"/>
    <hyperlink ref="B10" r:id="rId43" xr:uid="{09F6CE15-4127-4DB7-854E-9CA19223DC77}"/>
    <hyperlink ref="B35" r:id="rId44" xr:uid="{3ED831B4-1EAF-48B0-A125-B3F374FFEBA5}"/>
    <hyperlink ref="B36" r:id="rId45" xr:uid="{C8B19B55-D0AE-4061-92B6-C4A6897FC484}"/>
    <hyperlink ref="B37" r:id="rId46" xr:uid="{139A3AAA-067A-4098-98EA-9B96CAA7D8B7}"/>
    <hyperlink ref="B38" r:id="rId47" xr:uid="{8F65D4C2-8A02-4789-9B0F-F8641351F3AF}"/>
    <hyperlink ref="B45" r:id="rId48" xr:uid="{184C14DA-9B03-41F7-9C61-D9E9CEB2184F}"/>
    <hyperlink ref="B39" r:id="rId49" xr:uid="{59B88B32-6B1A-4742-A11F-948947AD9CE4}"/>
    <hyperlink ref="B49" r:id="rId50" xr:uid="{3B725A86-29DE-4CDD-A9D6-4B55E34F5CF0}"/>
    <hyperlink ref="B50" r:id="rId51" xr:uid="{EF706FED-83F1-49E1-A6C3-A10B56F1EDE1}"/>
    <hyperlink ref="B25" r:id="rId52" xr:uid="{B972F2D0-3BB5-41A4-9F5C-41E97B974780}"/>
    <hyperlink ref="B26" r:id="rId53" xr:uid="{36414B30-480D-49FA-8959-B155A4268D61}"/>
    <hyperlink ref="B27" r:id="rId54" xr:uid="{F79C949B-37C0-46E9-8196-8FC230915A66}"/>
    <hyperlink ref="B44" r:id="rId55" xr:uid="{D27A4DA3-3C2F-4C81-AC44-8182A9A1C452}"/>
    <hyperlink ref="B40" r:id="rId56" xr:uid="{27EA3381-AE90-45B8-A26F-41848B6BCF8D}"/>
    <hyperlink ref="B48" r:id="rId57" xr:uid="{283F9897-BB0F-4EC2-8670-3A1AD002593C}"/>
    <hyperlink ref="B51" r:id="rId58" xr:uid="{B9AF35DE-A321-44E9-8008-5CD104B90C9B}"/>
    <hyperlink ref="B19" r:id="rId59" xr:uid="{9394D0B8-EBD8-4E5E-8AFE-B4A2E8A64960}"/>
    <hyperlink ref="B20" r:id="rId60" xr:uid="{7A9BEF7E-68A7-4BF7-B8F5-932259847827}"/>
    <hyperlink ref="B21" r:id="rId61" xr:uid="{60A2B6C6-DA72-4628-B543-0A3C475C7921}"/>
    <hyperlink ref="B17" r:id="rId62" xr:uid="{C80B8EEF-A6C0-4B21-9716-5ECDC40919ED}"/>
    <hyperlink ref="B18" r:id="rId63" xr:uid="{AD5933D3-E63B-44DB-B8DF-4AE047CD5E13}"/>
    <hyperlink ref="B22" r:id="rId64" xr:uid="{98FAC527-2507-4DFA-8121-46E599DBA961}"/>
    <hyperlink ref="B23" r:id="rId65" xr:uid="{4A3C1D6F-768D-4398-8223-11F7FEB87EEC}"/>
    <hyperlink ref="B24" r:id="rId66" xr:uid="{C96D8C71-734C-4364-8A51-22FF6E5E509D}"/>
    <hyperlink ref="B88" r:id="rId67" xr:uid="{1D4AB3E8-BF8D-4401-932A-DA49E2A76C99}"/>
    <hyperlink ref="B89" r:id="rId68" xr:uid="{E043F4DA-B025-4F56-B6DE-239FA6A42294}"/>
    <hyperlink ref="B90" r:id="rId69" xr:uid="{56D51BDD-C4D9-4A2F-8E6D-693DE2357A8B}"/>
    <hyperlink ref="B91" r:id="rId70" xr:uid="{08E83DA4-4F9B-40DC-A7FE-D3D3376846FA}"/>
    <hyperlink ref="B93" r:id="rId71" xr:uid="{72FB400C-B7BA-4A2C-857B-B7712DA27A34}"/>
    <hyperlink ref="B94" r:id="rId72" xr:uid="{F538A2AF-ED10-4566-BB56-7EA1C6ABFA31}"/>
    <hyperlink ref="B95" r:id="rId73" xr:uid="{5FB2FFBD-59C9-4893-91E9-A3E167011DFB}"/>
    <hyperlink ref="B96" r:id="rId74" xr:uid="{1A93C40D-3177-4F1B-9AC4-4D21F7355FF0}"/>
    <hyperlink ref="B97" r:id="rId75" xr:uid="{408925A7-45DC-48EA-BF00-75EE4B1A5AC8}"/>
    <hyperlink ref="B98" r:id="rId76" xr:uid="{DA5D0B25-33B2-4D41-9C7D-4549D9A69600}"/>
    <hyperlink ref="B99" r:id="rId77" xr:uid="{810094A7-2266-4695-A09F-18E6710CDF06}"/>
    <hyperlink ref="B100" r:id="rId78" xr:uid="{ACB34E17-636C-44EF-B95D-A58DA6B60320}"/>
    <hyperlink ref="B101" r:id="rId79" xr:uid="{67928AEB-142C-46FE-8401-464670D6B7CE}"/>
    <hyperlink ref="B102" r:id="rId80" xr:uid="{96933420-8267-4A6F-9ABC-C8278835995E}"/>
    <hyperlink ref="B103" r:id="rId81" xr:uid="{2AC709FF-BDF3-4F28-A5A3-95C23CE31B0D}"/>
    <hyperlink ref="B104" r:id="rId82" xr:uid="{578DD7E9-D531-4495-AB5A-03174F0F5D9E}"/>
    <hyperlink ref="B105" r:id="rId83" xr:uid="{53114BE6-37BD-45F8-9F9E-11947E215D43}"/>
    <hyperlink ref="B109" r:id="rId84" xr:uid="{70B54C41-7575-43DA-9ED2-4D785A21A778}"/>
    <hyperlink ref="B110" r:id="rId85" xr:uid="{D347D334-DA3F-46D7-9C38-71A292DB5AD0}"/>
    <hyperlink ref="B111" r:id="rId86" xr:uid="{1611F04E-2F33-407B-BAE4-447FB605FDC5}"/>
    <hyperlink ref="B112" r:id="rId87" xr:uid="{D7029A49-2461-4081-A0A3-69EF82097535}"/>
    <hyperlink ref="B113" r:id="rId88" xr:uid="{517FE8F0-0004-40E8-8067-1CF5FCC46822}"/>
    <hyperlink ref="B115" r:id="rId89" xr:uid="{E3A65FF9-B782-438F-A935-02C82C1D1989}"/>
    <hyperlink ref="B116" r:id="rId90" xr:uid="{6FA56295-DCC1-44E3-8031-731CFAE18AB2}"/>
    <hyperlink ref="B117" r:id="rId91" xr:uid="{4A8E4E3C-45FC-4ADB-BCD1-BAFABE742051}"/>
    <hyperlink ref="B118" r:id="rId92" xr:uid="{BFF4F493-90DC-437F-AF99-A0ADEE4DEF31}"/>
    <hyperlink ref="B121" r:id="rId93" xr:uid="{D5E7163E-886A-4302-B7BF-CF340AFFDE39}"/>
    <hyperlink ref="B122" r:id="rId94" xr:uid="{D47640EB-C528-422E-B1E1-FF50D17B1503}"/>
    <hyperlink ref="B124" r:id="rId95" xr:uid="{A11E9455-4FDF-4F07-A59C-BFB601CDD0FE}"/>
    <hyperlink ref="B125" r:id="rId96" xr:uid="{DC4C4AB4-54D5-4DD9-BB09-3AC583D7BD02}"/>
    <hyperlink ref="B126" r:id="rId97" xr:uid="{60222DDA-AD88-44AB-8C88-AB744290484D}"/>
    <hyperlink ref="B127" r:id="rId98" xr:uid="{C602B291-23EB-4278-8A3E-EE6C6098E114}"/>
    <hyperlink ref="B128" r:id="rId99" xr:uid="{32D7A720-0AF3-4EF1-A84F-AE4519A17A23}"/>
    <hyperlink ref="B129" r:id="rId100" xr:uid="{B8009CFB-D3A9-43EB-AA59-B9805A6A6BBD}"/>
    <hyperlink ref="B130" r:id="rId101" xr:uid="{E0568321-0C33-49CD-8BCC-94CB5AFA67D6}"/>
    <hyperlink ref="B131" r:id="rId102" xr:uid="{CB3B4C07-EFCA-4436-B9F2-5DC3BFED6D6D}"/>
    <hyperlink ref="B132" r:id="rId103" xr:uid="{F2018AE6-A7A8-4646-B0FB-893CD568BD44}"/>
    <hyperlink ref="B134" r:id="rId104" xr:uid="{0BE3953A-81AC-42CC-A57A-C886A8CA00BE}"/>
    <hyperlink ref="B135" r:id="rId105" xr:uid="{77B7AAE0-5D37-4BEB-87F4-B24A0735EB3E}"/>
    <hyperlink ref="B138" r:id="rId106" xr:uid="{279BC8DE-0217-4E1B-B99A-00A272E7082D}"/>
    <hyperlink ref="B139" r:id="rId107" xr:uid="{3D3A7786-480D-4A92-AF2E-F9CF883171C1}"/>
    <hyperlink ref="B141" r:id="rId108" xr:uid="{FBF1B1DF-1F2B-4D8E-B948-D5F1349BAEF7}"/>
    <hyperlink ref="B143" r:id="rId109" xr:uid="{9BD65FF2-F556-44FE-8BCA-6278930FB283}"/>
    <hyperlink ref="B144" r:id="rId110" xr:uid="{AD48328C-37BA-4D5D-80E2-B10025AD055E}"/>
    <hyperlink ref="B145" r:id="rId111" xr:uid="{F1E5C8EF-E27F-46C3-9F37-A42B5B5EE7A2}"/>
    <hyperlink ref="B146" r:id="rId112" xr:uid="{D2A262DA-5B90-4EA5-AB4B-3760021FFE8D}"/>
    <hyperlink ref="B147" r:id="rId113" xr:uid="{CEBE4D72-FD87-484E-A1EF-7F376FB73CDB}"/>
    <hyperlink ref="B148" r:id="rId114" xr:uid="{7C3F8B9A-C548-4F2E-8A27-CF84D0F2AA6E}"/>
    <hyperlink ref="B149" r:id="rId115" xr:uid="{8D1134C4-7D16-4EFC-B6DF-0E2EE0B0E3E0}"/>
    <hyperlink ref="B150" r:id="rId116" xr:uid="{CF1C1B03-8883-4F76-BB51-75F5B63E4481}"/>
    <hyperlink ref="B151" r:id="rId117" xr:uid="{264E0DDB-37E8-47D0-BB64-D4293BD58CFA}"/>
    <hyperlink ref="B152" r:id="rId118" xr:uid="{9E6ED01C-0CD4-48E4-B5FD-0755BBC3FBA8}"/>
    <hyperlink ref="B153" r:id="rId119" xr:uid="{52E65047-FD1B-4D80-876F-B8B49FAD2EB8}"/>
    <hyperlink ref="B154" r:id="rId120" xr:uid="{10F0934B-FC2B-49DE-BE2C-18E9179E7993}"/>
    <hyperlink ref="B157" r:id="rId121" xr:uid="{16C785D4-0BB2-4D9E-A559-CDDB65E6797D}"/>
    <hyperlink ref="B160" r:id="rId122" xr:uid="{49135A84-7E55-4BD5-909B-19F2D266CAAB}"/>
    <hyperlink ref="B161" r:id="rId123" xr:uid="{ABFEF88C-A56A-4E52-8E14-8A80C73F4BA2}"/>
    <hyperlink ref="B164" r:id="rId124" xr:uid="{34292DF4-CB0C-492E-BF46-BBABAEBCBE00}"/>
    <hyperlink ref="B165" r:id="rId125" xr:uid="{157C20EF-D5B9-4E09-87FD-761A2BD93CA6}"/>
    <hyperlink ref="B166" r:id="rId126" xr:uid="{F4F8015C-7A7A-479F-A827-F3A25B4D0974}"/>
    <hyperlink ref="B83" r:id="rId127" xr:uid="{6081313B-481C-4426-B668-8E328D370BB7}"/>
    <hyperlink ref="B167" r:id="rId128" xr:uid="{36A13D43-38BE-464C-9AB5-146F57861146}"/>
    <hyperlink ref="B170" r:id="rId129" xr:uid="{A69A7F77-4C8C-4550-80BB-815885BC3F2B}"/>
    <hyperlink ref="B171" r:id="rId130" xr:uid="{DAC89524-CDC4-4613-9306-BA2A53740901}"/>
    <hyperlink ref="B172" r:id="rId131" xr:uid="{4220EF62-6384-4A30-A04F-216C77413E50}"/>
    <hyperlink ref="B175" r:id="rId132" xr:uid="{C9FC3F9D-0721-49BA-A12A-B58BF1724D20}"/>
    <hyperlink ref="B176" r:id="rId133" xr:uid="{CD65B93E-423B-4CE0-90E3-CF539D5DD032}"/>
    <hyperlink ref="B177" r:id="rId134" xr:uid="{12987011-6AE5-4E4F-A757-E8E6A006E7A8}"/>
    <hyperlink ref="B178" r:id="rId135" xr:uid="{C51A36DC-77D1-4225-828C-60AA64D22A31}"/>
    <hyperlink ref="B179" r:id="rId136" xr:uid="{81BF0ED5-AEE2-4492-9FC1-C8D871627A56}"/>
    <hyperlink ref="B180" r:id="rId137" xr:uid="{436F9C99-8B55-434B-96DE-88755A301B91}"/>
    <hyperlink ref="B78" r:id="rId138" xr:uid="{BA3AD6A0-2294-4E6A-9745-522D8A53835B}"/>
    <hyperlink ref="B79" r:id="rId139" xr:uid="{2354B259-D73B-4310-8E3C-9C86783FE65B}"/>
    <hyperlink ref="B80" r:id="rId140" xr:uid="{74419583-E6B4-4D70-ACD8-2423659A26FE}"/>
    <hyperlink ref="B71" r:id="rId141" xr:uid="{3A77B9AB-B4DD-4193-9878-AF7383B93434}"/>
    <hyperlink ref="B85" r:id="rId142" xr:uid="{DAD77692-6A1F-40A3-92BA-9BB4398E2B61}"/>
    <hyperlink ref="B70" r:id="rId143" xr:uid="{10E382C3-1B81-4F8C-AF2D-68F974D76162}"/>
    <hyperlink ref="B181" r:id="rId144" xr:uid="{0D215EEF-E910-4CA0-A77D-8125127F45BC}"/>
    <hyperlink ref="B182" r:id="rId145" xr:uid="{2F17E272-8C0A-4433-8F55-F54F7E991B7D}"/>
    <hyperlink ref="B184" r:id="rId146" xr:uid="{56CC5DFE-112A-45FE-9336-987ABB768E78}"/>
    <hyperlink ref="B186" r:id="rId147" xr:uid="{DB6597D4-0C49-42C3-BA23-DDBC7AC5F063}"/>
    <hyperlink ref="B187" r:id="rId148" xr:uid="{8B8F0AB7-6615-4F9F-9FBA-2CE007730EC1}"/>
    <hyperlink ref="B188" r:id="rId149" xr:uid="{16BE89B9-98C2-448E-BEA9-D1CAEDE1BA16}"/>
    <hyperlink ref="B189" r:id="rId150" xr:uid="{28E03765-B402-4220-9292-C47EB6EDC7AD}"/>
    <hyperlink ref="B190" r:id="rId151" xr:uid="{93939C28-7E99-4D4B-A150-37F579B41E5D}"/>
    <hyperlink ref="B191" r:id="rId152" xr:uid="{E2E61A6C-4A93-4243-A543-73B0B45C04BD}"/>
    <hyperlink ref="B192" r:id="rId153" xr:uid="{670073BF-7B84-4974-83DD-607C6E5A632B}"/>
    <hyperlink ref="B194" r:id="rId154" xr:uid="{691F6B95-54DF-4F8F-B9C7-88E3B95DFF9F}"/>
    <hyperlink ref="B196" r:id="rId155" xr:uid="{AE231752-D00F-47DB-8E72-D0977399F7FE}"/>
    <hyperlink ref="B108" r:id="rId156" xr:uid="{CBC034D7-61B8-4AA7-84AD-BCC53B083ED4}"/>
    <hyperlink ref="B159" r:id="rId157" xr:uid="{D5951107-742C-4391-A7AA-63E6F99646C3}"/>
    <hyperlink ref="B197" r:id="rId158" xr:uid="{615A0D68-7C8A-4FDB-9EE6-D16A6F490C41}"/>
    <hyperlink ref="B274" r:id="rId159" xr:uid="{82AA8C7B-E906-4B7B-9832-9492DA7872D7}"/>
    <hyperlink ref="B53" r:id="rId160" xr:uid="{BFBF5F0E-F3B6-4490-8C38-D83C7CA54130}"/>
    <hyperlink ref="B92" r:id="rId161" xr:uid="{ACA5110D-FFBE-4A80-BEB3-EC134F612D06}"/>
    <hyperlink ref="B136" r:id="rId162" xr:uid="{1BC7484A-2572-48C9-9F0C-01C28E2F089E}"/>
    <hyperlink ref="B137" r:id="rId163" xr:uid="{7ACA6F39-1764-4855-9555-42BEC2AE881E}"/>
    <hyperlink ref="B140" r:id="rId164" xr:uid="{34956507-4BED-4475-B63C-FD9035694905}"/>
    <hyperlink ref="B107" r:id="rId165" xr:uid="{F6774AFC-B8F5-43F6-9673-5841EC66CC47}"/>
    <hyperlink ref="B155" r:id="rId166" xr:uid="{0A659255-FA53-4D4B-834A-F640D659545D}"/>
    <hyperlink ref="B133" r:id="rId167" xr:uid="{487D9E8C-44F5-4D02-BB51-22B0A154157A}"/>
    <hyperlink ref="B119" r:id="rId168" xr:uid="{A6CD4FEB-E922-44D5-994C-82ADE1FA341E}"/>
    <hyperlink ref="B173" r:id="rId169" xr:uid="{5A813337-2236-4D4F-815A-AC88B2B41069}"/>
    <hyperlink ref="B46" r:id="rId170" xr:uid="{58D87D0F-C89B-4C17-A694-0462D7CA4662}"/>
    <hyperlink ref="B174" r:id="rId171" xr:uid="{7A4D2A13-447B-4174-9996-B2DE492D8ACA}"/>
    <hyperlink ref="B198" r:id="rId172" xr:uid="{E96C72F4-0A06-43F3-9054-7E45294A0F07}"/>
    <hyperlink ref="B199" r:id="rId173" xr:uid="{4ED1A8BF-2D0B-4155-9364-FE996782F979}"/>
    <hyperlink ref="B205" r:id="rId174" xr:uid="{5757ED47-7F22-48B5-895A-268DEE4C9E8F}"/>
    <hyperlink ref="B206" r:id="rId175" xr:uid="{57946C10-1F46-461D-B16E-E514B1200776}"/>
    <hyperlink ref="B207" r:id="rId176" xr:uid="{681FE216-EE91-4A3C-905F-34B8A4F03EC6}"/>
    <hyperlink ref="B208" r:id="rId177" xr:uid="{764C9439-42E7-4F6E-A31D-84F19A153DD9}"/>
    <hyperlink ref="B209" r:id="rId178" xr:uid="{F81207EC-A012-44B2-AD5F-417195D7056A}"/>
    <hyperlink ref="B210" r:id="rId179" xr:uid="{7CDEAAD1-D861-40A5-89F9-7EC2663F10A0}"/>
    <hyperlink ref="B201" r:id="rId180" xr:uid="{9A95362C-C340-4249-BCC3-42201D2A77E0}"/>
    <hyperlink ref="B211" r:id="rId181" xr:uid="{84608795-222E-4A30-A78B-D210E7DE507D}"/>
    <hyperlink ref="B212" r:id="rId182" xr:uid="{9AF29082-8FFF-4A0A-9432-87F753F5302F}"/>
    <hyperlink ref="B213" r:id="rId183" xr:uid="{22AC7559-AC33-4FF8-AEAF-03E604F04338}"/>
    <hyperlink ref="B214" r:id="rId184" xr:uid="{B2452B1C-7F2E-45AD-8034-72C59C05ACD4}"/>
    <hyperlink ref="B215" r:id="rId185" xr:uid="{A61AB9A8-789D-45A4-8136-E3888D0C6080}"/>
    <hyperlink ref="B216" r:id="rId186" xr:uid="{F3F9AA26-C660-4DB8-964A-21F258DAB24C}"/>
    <hyperlink ref="B217" r:id="rId187" xr:uid="{E0C2E662-6ECB-4CA4-832E-277E8ACAC703}"/>
    <hyperlink ref="B218" r:id="rId188" xr:uid="{2CCC0543-1573-494C-8497-63514D94B9AB}"/>
    <hyperlink ref="B219" r:id="rId189" xr:uid="{81DD0CFF-AC9E-4D14-B4DC-AD29802F6846}"/>
    <hyperlink ref="B220" r:id="rId190" xr:uid="{FE81D606-AC46-4168-A7DA-A882626D85FD}"/>
    <hyperlink ref="B221" r:id="rId191" xr:uid="{4CC35E2B-068A-45E5-BCEA-9C3308A70880}"/>
    <hyperlink ref="B223" r:id="rId192" xr:uid="{F0311F37-FEF5-4F71-AF91-0513FBF4FF52}"/>
    <hyperlink ref="B224" r:id="rId193" xr:uid="{5732EAAF-28E1-4E36-A0E0-27CCA4C6D3DD}"/>
    <hyperlink ref="B225" r:id="rId194" xr:uid="{81A10D7C-115D-4894-B6EF-A487BB923E02}"/>
    <hyperlink ref="B222" r:id="rId195" xr:uid="{8055D775-7DB8-43E0-83DE-F46AC10BD01C}"/>
    <hyperlink ref="B227" r:id="rId196" xr:uid="{E3DA91AF-2B88-43F6-BDA9-8770217E9D41}"/>
    <hyperlink ref="B228" r:id="rId197" xr:uid="{C29822A2-E267-42C9-B534-8B8BB49FC0D2}"/>
    <hyperlink ref="B169" r:id="rId198" xr:uid="{EC313FB3-69CE-4372-9B3A-66EF5FCD48EA}"/>
    <hyperlink ref="B168" r:id="rId199" xr:uid="{CA8DC6A1-A693-4D7D-91A1-9594A008DF9D}"/>
    <hyperlink ref="B238" r:id="rId200" xr:uid="{40D97E99-D2B3-4C0B-B077-07F5D6BB2DD1}"/>
    <hyperlink ref="B240" r:id="rId201" xr:uid="{3252E1E4-9455-4E6B-A015-0EB82886CDB3}"/>
    <hyperlink ref="B244" r:id="rId202" xr:uid="{C218722E-5D39-4A68-86E8-479D06BE4616}"/>
    <hyperlink ref="B245" r:id="rId203" xr:uid="{C4D8D213-1973-401B-87BA-81949EA223A5}"/>
    <hyperlink ref="B120" r:id="rId204" xr:uid="{44E492FA-CB2D-47B5-A706-D5FCFB63927B}"/>
    <hyperlink ref="B142" r:id="rId205" xr:uid="{E3D5863D-A7DE-4FEB-A7D6-54EFE92FB56D}"/>
    <hyperlink ref="B158" r:id="rId206" xr:uid="{D5951107-742C-4391-A7AA-63E6F99646C3}"/>
    <hyperlink ref="B246" r:id="rId207" xr:uid="{FFC80AE2-018A-4CC3-BE4D-06F0F4B724EA}"/>
    <hyperlink ref="B247" r:id="rId208" xr:uid="{4C2346F5-9F48-4282-B013-2CD663BE8BD3}"/>
    <hyperlink ref="B248" r:id="rId209" xr:uid="{9314A042-6E5A-4FAA-9F80-57AA26757D28}"/>
    <hyperlink ref="B249" r:id="rId210" xr:uid="{7AD93183-B1ED-43DB-B5B8-B41DD6387F9C}"/>
    <hyperlink ref="B250" r:id="rId211" xr:uid="{20537577-0B72-4AD8-8F31-9201A4A7E2A6}"/>
    <hyperlink ref="B251" r:id="rId212" xr:uid="{6480FB7E-3301-4A90-95B2-58686FE33470}"/>
    <hyperlink ref="B252" r:id="rId213" xr:uid="{8CD0ECE2-8E4B-458E-8741-29655F38A217}"/>
    <hyperlink ref="B253" r:id="rId214" xr:uid="{A79C07CB-6A67-4178-99C4-29861EE3A8C4}"/>
    <hyperlink ref="B162" r:id="rId215" xr:uid="{0195FCCC-B3C5-4E64-998B-3F44AF1DD9EC}"/>
    <hyperlink ref="B241" r:id="rId216" xr:uid="{659BF70B-11CD-4F3A-8B04-0350ECADF9F8}"/>
    <hyperlink ref="B156" r:id="rId217" xr:uid="{018E2B16-975B-40DF-A05A-7B9F0925E64D}"/>
    <hyperlink ref="B243" r:id="rId218" xr:uid="{778AC30F-9321-4861-B932-904B7DD6DA47}"/>
    <hyperlink ref="B47" r:id="rId219" xr:uid="{2F7D2D34-97A5-4180-921E-51A9A73183D3}"/>
    <hyperlink ref="B41" r:id="rId220" xr:uid="{271C8B33-3E47-4B9C-AB7A-8829810071E6}"/>
    <hyperlink ref="B254" r:id="rId221" xr:uid="{FB5944E6-7B2C-4409-A55E-DCC37B567803}"/>
    <hyperlink ref="B255" r:id="rId222" xr:uid="{7CEB6B81-7322-4D2F-AF6F-82831C6FBD5C}"/>
    <hyperlink ref="B256" r:id="rId223" xr:uid="{6076D5D6-9995-4F1A-BA72-6EA11B405B88}"/>
    <hyperlink ref="B257" r:id="rId224" xr:uid="{B04FF0EF-81AE-4F9E-B460-05ED57B62D4B}"/>
    <hyperlink ref="B258" r:id="rId225" xr:uid="{ED3CBC3C-CE13-4ECF-B1A3-2EE0D0611272}"/>
    <hyperlink ref="B259" r:id="rId226" xr:uid="{B61CCDBD-1B43-4B18-B345-EBB62355E376}"/>
    <hyperlink ref="B260" r:id="rId227" xr:uid="{A2082D3B-B2DE-4864-BFEF-93ADA03C6549}"/>
    <hyperlink ref="B261" r:id="rId228" xr:uid="{AB4C9E39-C340-4855-A9B5-D45FB26A9471}"/>
    <hyperlink ref="B106" r:id="rId229" xr:uid="{E841CD3E-6ED8-46EF-A99D-CB7D237663B8}"/>
    <hyperlink ref="B123" r:id="rId230" xr:uid="{1ABFA706-F4C7-42C6-A949-CF336795D7E4}"/>
    <hyperlink ref="B226" r:id="rId231" xr:uid="{503323C2-D9FA-4D37-A374-4CB995632301}"/>
  </hyperlinks>
  <pageMargins left="0.7" right="0.7" top="0.75" bottom="0.75" header="0" footer="0"/>
  <pageSetup orientation="portrait" r:id="rId232"/>
  <headerFooter>
    <oddHeader>&amp;L&amp;"Aptos"&amp;10&amp;K000000 Classification: Internal Use&amp;1#_x000D_</oddHeader>
  </headerFooter>
  <tableParts count="3">
    <tablePart r:id="rId233"/>
    <tablePart r:id="rId234"/>
    <tablePart r:id="rId23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54ED7-315F-42BD-AA12-411264317BBD}">
  <sheetPr>
    <tabColor rgb="FF00B0F0"/>
  </sheetPr>
  <dimension ref="A1:BV2"/>
  <sheetViews>
    <sheetView topLeftCell="G1" zoomScale="80" zoomScaleNormal="80" workbookViewId="0">
      <selection activeCell="BW22" sqref="BW22"/>
    </sheetView>
  </sheetViews>
  <sheetFormatPr defaultColWidth="8.85546875" defaultRowHeight="15" x14ac:dyDescent="0.25"/>
  <cols>
    <col min="1" max="5" width="8.85546875" style="105"/>
    <col min="6" max="6" width="23.5703125" style="105" customWidth="1"/>
    <col min="7" max="7" width="23.7109375" style="105" customWidth="1"/>
    <col min="8" max="26" width="8.85546875" style="105"/>
    <col min="27" max="27" width="18.85546875" style="105" customWidth="1"/>
    <col min="28" max="29" width="8.85546875" style="105"/>
    <col min="30" max="30" width="19.28515625" style="105" customWidth="1"/>
    <col min="31" max="45" width="8.85546875" style="105"/>
    <col min="46" max="46" width="13.85546875" style="105" bestFit="1" customWidth="1"/>
    <col min="47" max="16384" width="8.85546875" style="105"/>
  </cols>
  <sheetData>
    <row r="1" spans="1:74" ht="78.75" x14ac:dyDescent="0.25">
      <c r="A1" s="101" t="s">
        <v>0</v>
      </c>
      <c r="B1" s="101" t="s">
        <v>315</v>
      </c>
      <c r="C1" s="101" t="s">
        <v>316</v>
      </c>
      <c r="D1" s="101" t="s">
        <v>317</v>
      </c>
      <c r="E1" s="101" t="s">
        <v>318</v>
      </c>
      <c r="F1" s="102" t="s">
        <v>319</v>
      </c>
      <c r="G1" s="102" t="s">
        <v>320</v>
      </c>
      <c r="H1" s="101" t="s">
        <v>321</v>
      </c>
      <c r="I1" s="101" t="s">
        <v>322</v>
      </c>
      <c r="J1" s="101" t="s">
        <v>323</v>
      </c>
      <c r="K1" s="101" t="s">
        <v>324</v>
      </c>
      <c r="L1" s="101" t="s">
        <v>325</v>
      </c>
      <c r="M1" s="101" t="s">
        <v>326</v>
      </c>
      <c r="N1" s="101" t="s">
        <v>2</v>
      </c>
      <c r="O1" s="101" t="s">
        <v>327</v>
      </c>
      <c r="P1" s="101" t="s">
        <v>328</v>
      </c>
      <c r="Q1" s="101" t="s">
        <v>329</v>
      </c>
      <c r="R1" s="101" t="s">
        <v>330</v>
      </c>
      <c r="S1" s="101" t="s">
        <v>331</v>
      </c>
      <c r="T1" s="101" t="s">
        <v>332</v>
      </c>
      <c r="U1" s="101" t="s">
        <v>333</v>
      </c>
      <c r="V1" s="101" t="s">
        <v>334</v>
      </c>
      <c r="W1" s="101" t="s">
        <v>335</v>
      </c>
      <c r="X1" s="101" t="s">
        <v>336</v>
      </c>
      <c r="Y1" s="103" t="s">
        <v>337</v>
      </c>
      <c r="Z1" s="103" t="s">
        <v>338</v>
      </c>
      <c r="AA1" s="104" t="s">
        <v>1</v>
      </c>
      <c r="AB1" s="104" t="s">
        <v>2</v>
      </c>
      <c r="AC1" s="104" t="s">
        <v>3</v>
      </c>
      <c r="AD1" s="104" t="s">
        <v>4</v>
      </c>
      <c r="AE1" s="104" t="s">
        <v>11</v>
      </c>
      <c r="AF1" s="104" t="s">
        <v>37</v>
      </c>
      <c r="AG1" s="104" t="s">
        <v>38</v>
      </c>
      <c r="AH1" s="104" t="s">
        <v>39</v>
      </c>
      <c r="AI1" s="104" t="s">
        <v>5</v>
      </c>
      <c r="AJ1" s="104" t="s">
        <v>6</v>
      </c>
      <c r="AK1" s="104" t="s">
        <v>40</v>
      </c>
      <c r="AL1" s="104" t="s">
        <v>7</v>
      </c>
      <c r="AM1" s="104" t="s">
        <v>8</v>
      </c>
      <c r="AN1" s="104" t="s">
        <v>9</v>
      </c>
      <c r="AO1" s="104" t="s">
        <v>41</v>
      </c>
      <c r="AP1" s="104" t="s">
        <v>42</v>
      </c>
      <c r="AQ1" s="104" t="s">
        <v>43</v>
      </c>
      <c r="AR1" s="104" t="s">
        <v>10</v>
      </c>
      <c r="AS1" s="104" t="s">
        <v>12</v>
      </c>
      <c r="AT1" s="104" t="s">
        <v>339</v>
      </c>
      <c r="AU1" s="101" t="s">
        <v>340</v>
      </c>
      <c r="AV1" s="101" t="s">
        <v>341</v>
      </c>
      <c r="AW1" s="101" t="s">
        <v>342</v>
      </c>
      <c r="AX1" s="102" t="s">
        <v>343</v>
      </c>
      <c r="AY1" s="102" t="s">
        <v>344</v>
      </c>
      <c r="AZ1" s="101" t="s">
        <v>345</v>
      </c>
      <c r="BA1" s="101" t="s">
        <v>346</v>
      </c>
      <c r="BB1" s="101" t="s">
        <v>347</v>
      </c>
      <c r="BC1" s="101" t="s">
        <v>348</v>
      </c>
      <c r="BD1" s="101" t="s">
        <v>349</v>
      </c>
      <c r="BE1" s="101" t="s">
        <v>350</v>
      </c>
      <c r="BF1" s="101" t="s">
        <v>351</v>
      </c>
      <c r="BG1" s="101" t="s">
        <v>352</v>
      </c>
      <c r="BH1" s="101" t="s">
        <v>353</v>
      </c>
      <c r="BI1" s="101" t="s">
        <v>354</v>
      </c>
      <c r="BJ1" s="101" t="s">
        <v>355</v>
      </c>
      <c r="BK1" s="101" t="s">
        <v>356</v>
      </c>
      <c r="BL1" s="101" t="s">
        <v>357</v>
      </c>
      <c r="BM1" s="101" t="s">
        <v>358</v>
      </c>
      <c r="BN1" s="101" t="s">
        <v>359</v>
      </c>
      <c r="BO1" s="101" t="s">
        <v>360</v>
      </c>
      <c r="BP1" s="101" t="s">
        <v>361</v>
      </c>
      <c r="BQ1" s="103" t="s">
        <v>362</v>
      </c>
      <c r="BR1" s="103" t="s">
        <v>338</v>
      </c>
      <c r="BS1" s="103" t="s">
        <v>363</v>
      </c>
      <c r="BT1" s="103" t="s">
        <v>364</v>
      </c>
      <c r="BU1" s="103" t="s">
        <v>365</v>
      </c>
      <c r="BV1" s="103" t="s">
        <v>366</v>
      </c>
    </row>
    <row r="2" spans="1:74" ht="206.25" x14ac:dyDescent="0.25">
      <c r="A2" s="106" t="s">
        <v>367</v>
      </c>
      <c r="B2" s="107" t="s">
        <v>368</v>
      </c>
      <c r="C2" s="106" t="s">
        <v>369</v>
      </c>
      <c r="D2" s="106" t="s">
        <v>370</v>
      </c>
      <c r="E2" s="108" t="s">
        <v>371</v>
      </c>
      <c r="F2" s="144" t="s">
        <v>372</v>
      </c>
      <c r="G2" s="109" t="s">
        <v>372</v>
      </c>
      <c r="H2" s="110" t="s">
        <v>373</v>
      </c>
      <c r="I2" s="107" t="s">
        <v>374</v>
      </c>
      <c r="J2" s="106" t="s">
        <v>375</v>
      </c>
      <c r="K2" s="107" t="s">
        <v>374</v>
      </c>
      <c r="L2" s="106" t="s">
        <v>375</v>
      </c>
      <c r="M2" s="106" t="s">
        <v>376</v>
      </c>
      <c r="N2" s="106" t="s">
        <v>64</v>
      </c>
      <c r="O2" s="106" t="s">
        <v>377</v>
      </c>
      <c r="P2" s="106" t="s">
        <v>16</v>
      </c>
      <c r="Q2" s="106" t="s">
        <v>378</v>
      </c>
      <c r="R2" s="106" t="s">
        <v>16</v>
      </c>
      <c r="S2" s="106" t="s">
        <v>16</v>
      </c>
      <c r="T2" s="106" t="s">
        <v>16</v>
      </c>
      <c r="U2" s="106" t="s">
        <v>379</v>
      </c>
      <c r="V2" s="106" t="s">
        <v>380</v>
      </c>
      <c r="W2" s="106" t="s">
        <v>381</v>
      </c>
      <c r="X2" s="111" t="s">
        <v>47</v>
      </c>
      <c r="Y2" s="111" t="s">
        <v>16</v>
      </c>
      <c r="Z2" s="111" t="s">
        <v>16</v>
      </c>
      <c r="AA2" s="160" t="s">
        <v>171</v>
      </c>
      <c r="AB2" s="112" t="s">
        <v>64</v>
      </c>
      <c r="AC2" s="113" t="s">
        <v>172</v>
      </c>
      <c r="AD2" s="114">
        <v>3500006965</v>
      </c>
      <c r="AE2" s="115" t="s">
        <v>86</v>
      </c>
      <c r="AF2" s="116" t="s">
        <v>16</v>
      </c>
      <c r="AG2" s="117" t="s">
        <v>16</v>
      </c>
      <c r="AH2" s="118" t="s">
        <v>16</v>
      </c>
      <c r="AI2" s="113" t="s">
        <v>19</v>
      </c>
      <c r="AJ2" s="118" t="s">
        <v>87</v>
      </c>
      <c r="AK2" s="119" t="s">
        <v>16</v>
      </c>
      <c r="AL2" s="120" t="s">
        <v>382</v>
      </c>
      <c r="AM2" s="118" t="s">
        <v>16</v>
      </c>
      <c r="AN2" s="116" t="s">
        <v>16</v>
      </c>
      <c r="AO2" s="117" t="s">
        <v>16</v>
      </c>
      <c r="AP2" s="118" t="s">
        <v>16</v>
      </c>
      <c r="AQ2" s="116" t="s">
        <v>54</v>
      </c>
      <c r="AR2" s="117" t="s">
        <v>55</v>
      </c>
      <c r="AS2" s="121" t="s">
        <v>36</v>
      </c>
      <c r="AT2" s="121">
        <v>242600174</v>
      </c>
      <c r="AU2" s="122" t="s">
        <v>383</v>
      </c>
      <c r="AV2" s="122" t="s">
        <v>384</v>
      </c>
      <c r="AW2" s="123" t="s">
        <v>385</v>
      </c>
      <c r="AX2" s="124" t="s">
        <v>386</v>
      </c>
      <c r="AY2" s="145" t="s">
        <v>386</v>
      </c>
      <c r="AZ2" s="122">
        <v>940315</v>
      </c>
      <c r="BA2" s="123" t="s">
        <v>387</v>
      </c>
      <c r="BB2" s="106" t="s">
        <v>375</v>
      </c>
      <c r="BC2" s="123" t="s">
        <v>387</v>
      </c>
      <c r="BD2" s="106" t="s">
        <v>375</v>
      </c>
      <c r="BE2" s="123" t="s">
        <v>388</v>
      </c>
      <c r="BF2" s="122" t="s">
        <v>20</v>
      </c>
      <c r="BG2" s="122" t="s">
        <v>389</v>
      </c>
      <c r="BH2" s="106" t="s">
        <v>16</v>
      </c>
      <c r="BI2" s="122" t="s">
        <v>390</v>
      </c>
      <c r="BJ2" s="122" t="s">
        <v>391</v>
      </c>
      <c r="BK2" s="106" t="s">
        <v>16</v>
      </c>
      <c r="BL2" s="106" t="s">
        <v>16</v>
      </c>
      <c r="BM2" s="106" t="s">
        <v>392</v>
      </c>
      <c r="BN2" s="106" t="s">
        <v>380</v>
      </c>
      <c r="BO2" s="106" t="s">
        <v>381</v>
      </c>
      <c r="BP2" s="111" t="s">
        <v>47</v>
      </c>
      <c r="BQ2" s="125" t="s">
        <v>16</v>
      </c>
      <c r="BR2" s="111" t="s">
        <v>16</v>
      </c>
      <c r="BS2" s="126" t="s">
        <v>220</v>
      </c>
      <c r="BT2" s="127" t="s">
        <v>114</v>
      </c>
      <c r="BU2" s="126" t="s">
        <v>393</v>
      </c>
      <c r="BV2" s="128" t="s">
        <v>84</v>
      </c>
    </row>
  </sheetData>
  <hyperlinks>
    <hyperlink ref="F2" r:id="rId1" xr:uid="{7A5F5539-DA5D-4576-9CCF-C9212B2DB360}"/>
    <hyperlink ref="G2" r:id="rId2" xr:uid="{F5F8FABC-2A99-468E-888B-EC6FE54C4923}"/>
    <hyperlink ref="AA2" r:id="rId3" xr:uid="{AF65EAAF-A3B4-4529-ABD1-D2BB9B48905A}"/>
    <hyperlink ref="AY2" r:id="rId4" xr:uid="{26163655-1F77-4D38-A120-F8371C7F248A}"/>
  </hyperlinks>
  <pageMargins left="0.7" right="0.7" top="0.75" bottom="0.75" header="0.3" footer="0.3"/>
  <headerFooter>
    <oddHeader>&amp;L&amp;"Aptos"&amp;10&amp;K000000 Classification: Internal Use&amp;1#_x000D_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91541-DF1E-4928-9C5B-32D1F5C23F83}">
  <sheetPr>
    <tabColor rgb="FF00B0F0"/>
  </sheetPr>
  <dimension ref="A1:N113"/>
  <sheetViews>
    <sheetView workbookViewId="0">
      <selection activeCell="A12" sqref="A12"/>
    </sheetView>
  </sheetViews>
  <sheetFormatPr defaultRowHeight="15" x14ac:dyDescent="0.25"/>
  <cols>
    <col min="1" max="1" width="28.85546875" bestFit="1" customWidth="1"/>
    <col min="2" max="2" width="43.5703125" bestFit="1" customWidth="1"/>
    <col min="3" max="3" width="18.42578125" customWidth="1"/>
    <col min="4" max="4" width="15.28515625" bestFit="1" customWidth="1"/>
    <col min="5" max="5" width="29.5703125" bestFit="1" customWidth="1"/>
    <col min="6" max="6" width="29.5703125" customWidth="1"/>
    <col min="7" max="7" width="16.28515625" bestFit="1" customWidth="1"/>
    <col min="8" max="8" width="94.5703125" bestFit="1" customWidth="1"/>
  </cols>
  <sheetData>
    <row r="1" spans="1:14" s="36" customFormat="1" ht="19.899999999999999" customHeight="1" x14ac:dyDescent="0.25">
      <c r="A1" s="37" t="s">
        <v>0</v>
      </c>
      <c r="B1" s="37" t="s">
        <v>1</v>
      </c>
      <c r="C1" s="37" t="s">
        <v>2</v>
      </c>
      <c r="D1" s="37" t="s">
        <v>3</v>
      </c>
      <c r="E1" s="37" t="s">
        <v>394</v>
      </c>
      <c r="F1" s="37" t="s">
        <v>318</v>
      </c>
      <c r="G1" s="37" t="s">
        <v>11</v>
      </c>
      <c r="H1" s="37" t="s">
        <v>395</v>
      </c>
      <c r="I1" s="13"/>
      <c r="J1" s="13"/>
      <c r="K1" s="13"/>
      <c r="L1" s="13"/>
      <c r="M1" s="13"/>
      <c r="N1" s="13"/>
    </row>
    <row r="2" spans="1:14" x14ac:dyDescent="0.25">
      <c r="A2" t="s">
        <v>396</v>
      </c>
      <c r="H2" t="s">
        <v>397</v>
      </c>
    </row>
    <row r="3" spans="1:14" x14ac:dyDescent="0.25">
      <c r="A3" t="s">
        <v>398</v>
      </c>
      <c r="B3" s="87" t="s">
        <v>399</v>
      </c>
      <c r="C3" t="s">
        <v>400</v>
      </c>
      <c r="H3" t="s">
        <v>401</v>
      </c>
    </row>
    <row r="4" spans="1:14" x14ac:dyDescent="0.25">
      <c r="A4" t="s">
        <v>402</v>
      </c>
      <c r="B4" s="87" t="s">
        <v>399</v>
      </c>
      <c r="C4" t="s">
        <v>64</v>
      </c>
      <c r="H4" t="s">
        <v>401</v>
      </c>
    </row>
    <row r="5" spans="1:14" x14ac:dyDescent="0.25">
      <c r="A5" t="s">
        <v>403</v>
      </c>
      <c r="B5" s="87" t="s">
        <v>404</v>
      </c>
      <c r="C5" t="s">
        <v>405</v>
      </c>
      <c r="H5" t="s">
        <v>406</v>
      </c>
    </row>
    <row r="6" spans="1:14" x14ac:dyDescent="0.25">
      <c r="A6" t="s">
        <v>407</v>
      </c>
      <c r="B6" s="87" t="s">
        <v>408</v>
      </c>
      <c r="C6" t="s">
        <v>84</v>
      </c>
      <c r="H6" t="s">
        <v>409</v>
      </c>
    </row>
    <row r="7" spans="1:14" ht="18.75" x14ac:dyDescent="0.25">
      <c r="A7" t="s">
        <v>410</v>
      </c>
      <c r="B7" s="85" t="s">
        <v>197</v>
      </c>
      <c r="C7" s="32" t="s">
        <v>67</v>
      </c>
      <c r="D7" s="81" t="s">
        <v>198</v>
      </c>
      <c r="E7" s="89"/>
      <c r="F7" s="89"/>
      <c r="G7" s="89"/>
      <c r="H7" t="s">
        <v>411</v>
      </c>
    </row>
    <row r="8" spans="1:14" ht="18.75" x14ac:dyDescent="0.25">
      <c r="A8" t="s">
        <v>412</v>
      </c>
      <c r="B8" s="85" t="s">
        <v>197</v>
      </c>
      <c r="C8" s="32" t="s">
        <v>67</v>
      </c>
      <c r="D8" s="81" t="s">
        <v>413</v>
      </c>
      <c r="E8" s="89" t="s">
        <v>414</v>
      </c>
      <c r="F8" s="89"/>
      <c r="G8" s="89"/>
      <c r="H8" t="s">
        <v>419</v>
      </c>
    </row>
    <row r="9" spans="1:14" ht="18.75" x14ac:dyDescent="0.25">
      <c r="A9" t="s">
        <v>416</v>
      </c>
      <c r="B9" s="85" t="s">
        <v>197</v>
      </c>
      <c r="C9" s="32" t="s">
        <v>67</v>
      </c>
      <c r="D9" s="81" t="s">
        <v>417</v>
      </c>
      <c r="E9" s="89">
        <v>123456</v>
      </c>
      <c r="F9" s="89"/>
      <c r="G9" s="89"/>
      <c r="H9" t="s">
        <v>415</v>
      </c>
    </row>
    <row r="10" spans="1:14" ht="18.75" x14ac:dyDescent="0.25">
      <c r="A10" t="s">
        <v>1392</v>
      </c>
      <c r="B10" s="85" t="s">
        <v>197</v>
      </c>
      <c r="C10" s="32" t="s">
        <v>67</v>
      </c>
      <c r="D10" s="81" t="s">
        <v>418</v>
      </c>
      <c r="E10" s="89">
        <v>1234</v>
      </c>
      <c r="F10" s="89"/>
      <c r="G10" s="89"/>
      <c r="H10" t="s">
        <v>419</v>
      </c>
    </row>
    <row r="11" spans="1:14" ht="90" x14ac:dyDescent="0.25">
      <c r="A11" t="s">
        <v>420</v>
      </c>
      <c r="B11" s="87" t="s">
        <v>421</v>
      </c>
      <c r="C11" s="88" t="s">
        <v>150</v>
      </c>
      <c r="H11" s="86" t="s">
        <v>1711</v>
      </c>
    </row>
    <row r="12" spans="1:14" ht="18.75" x14ac:dyDescent="0.25">
      <c r="A12" t="s">
        <v>422</v>
      </c>
      <c r="B12" s="87"/>
      <c r="C12" s="88"/>
      <c r="H12" s="86" t="s">
        <v>423</v>
      </c>
    </row>
    <row r="13" spans="1:14" ht="18.75" x14ac:dyDescent="0.25">
      <c r="A13" t="s">
        <v>424</v>
      </c>
      <c r="B13" s="87" t="s">
        <v>425</v>
      </c>
      <c r="C13" s="88"/>
      <c r="H13" s="86" t="s">
        <v>426</v>
      </c>
    </row>
    <row r="14" spans="1:14" ht="45" x14ac:dyDescent="0.25">
      <c r="A14" t="s">
        <v>427</v>
      </c>
      <c r="B14" s="87" t="s">
        <v>408</v>
      </c>
      <c r="C14" t="s">
        <v>84</v>
      </c>
      <c r="H14" s="86" t="s">
        <v>428</v>
      </c>
    </row>
    <row r="15" spans="1:14" ht="18.75" x14ac:dyDescent="0.25">
      <c r="A15" t="s">
        <v>429</v>
      </c>
      <c r="B15" s="87" t="s">
        <v>430</v>
      </c>
      <c r="C15" s="88" t="s">
        <v>150</v>
      </c>
      <c r="H15" t="s">
        <v>431</v>
      </c>
    </row>
    <row r="16" spans="1:14" x14ac:dyDescent="0.25">
      <c r="A16" t="s">
        <v>432</v>
      </c>
      <c r="H16" s="86" t="s">
        <v>433</v>
      </c>
    </row>
    <row r="17" spans="1:8" x14ac:dyDescent="0.25">
      <c r="A17" t="s">
        <v>434</v>
      </c>
      <c r="B17" s="87" t="s">
        <v>217</v>
      </c>
      <c r="H17" s="86" t="s">
        <v>435</v>
      </c>
    </row>
    <row r="18" spans="1:8" x14ac:dyDescent="0.25">
      <c r="A18" t="s">
        <v>436</v>
      </c>
      <c r="B18" t="s">
        <v>437</v>
      </c>
      <c r="H18" s="86" t="s">
        <v>438</v>
      </c>
    </row>
    <row r="19" spans="1:8" ht="30" x14ac:dyDescent="0.25">
      <c r="A19" t="s">
        <v>439</v>
      </c>
      <c r="B19" s="87" t="s">
        <v>220</v>
      </c>
      <c r="H19" s="86" t="s">
        <v>440</v>
      </c>
    </row>
    <row r="20" spans="1:8" ht="30" x14ac:dyDescent="0.25">
      <c r="A20" t="s">
        <v>1805</v>
      </c>
      <c r="B20" s="87" t="s">
        <v>1804</v>
      </c>
      <c r="H20" s="86" t="s">
        <v>440</v>
      </c>
    </row>
    <row r="21" spans="1:8" x14ac:dyDescent="0.25">
      <c r="A21" t="s">
        <v>441</v>
      </c>
      <c r="H21" s="86" t="s">
        <v>442</v>
      </c>
    </row>
    <row r="22" spans="1:8" x14ac:dyDescent="0.25">
      <c r="A22" s="130" t="s">
        <v>443</v>
      </c>
      <c r="H22" s="86" t="s">
        <v>444</v>
      </c>
    </row>
    <row r="23" spans="1:8" x14ac:dyDescent="0.25">
      <c r="A23" s="130" t="s">
        <v>445</v>
      </c>
      <c r="H23" s="86" t="s">
        <v>446</v>
      </c>
    </row>
    <row r="24" spans="1:8" x14ac:dyDescent="0.25">
      <c r="A24" s="130" t="s">
        <v>447</v>
      </c>
      <c r="B24" s="87" t="s">
        <v>448</v>
      </c>
      <c r="C24" t="s">
        <v>64</v>
      </c>
      <c r="D24" t="s">
        <v>449</v>
      </c>
      <c r="H24" s="86" t="s">
        <v>450</v>
      </c>
    </row>
    <row r="25" spans="1:8" ht="30" x14ac:dyDescent="0.25">
      <c r="A25" s="130" t="s">
        <v>451</v>
      </c>
      <c r="G25" t="s">
        <v>452</v>
      </c>
      <c r="H25" s="86" t="s">
        <v>453</v>
      </c>
    </row>
    <row r="26" spans="1:8" ht="30" x14ac:dyDescent="0.25">
      <c r="A26" s="130" t="s">
        <v>454</v>
      </c>
      <c r="G26" t="s">
        <v>455</v>
      </c>
      <c r="H26" s="86" t="s">
        <v>456</v>
      </c>
    </row>
    <row r="27" spans="1:8" x14ac:dyDescent="0.25">
      <c r="A27" s="130" t="s">
        <v>457</v>
      </c>
      <c r="G27" t="s">
        <v>65</v>
      </c>
      <c r="H27" s="86" t="s">
        <v>458</v>
      </c>
    </row>
    <row r="28" spans="1:8" x14ac:dyDescent="0.25">
      <c r="A28" s="143" t="s">
        <v>459</v>
      </c>
      <c r="H28" s="86" t="s">
        <v>460</v>
      </c>
    </row>
    <row r="29" spans="1:8" x14ac:dyDescent="0.25">
      <c r="A29" s="143" t="s">
        <v>461</v>
      </c>
      <c r="H29" s="86" t="s">
        <v>462</v>
      </c>
    </row>
    <row r="30" spans="1:8" x14ac:dyDescent="0.25">
      <c r="A30" s="142" t="s">
        <v>463</v>
      </c>
      <c r="H30" s="86" t="s">
        <v>462</v>
      </c>
    </row>
    <row r="31" spans="1:8" x14ac:dyDescent="0.25">
      <c r="A31" s="142" t="s">
        <v>1677</v>
      </c>
      <c r="H31" s="86" t="s">
        <v>465</v>
      </c>
    </row>
    <row r="32" spans="1:8" x14ac:dyDescent="0.25">
      <c r="A32" s="143" t="s">
        <v>464</v>
      </c>
      <c r="H32" s="86" t="s">
        <v>465</v>
      </c>
    </row>
    <row r="33" spans="1:8" x14ac:dyDescent="0.25">
      <c r="A33" s="143" t="s">
        <v>466</v>
      </c>
      <c r="H33" s="86" t="s">
        <v>467</v>
      </c>
    </row>
    <row r="34" spans="1:8" x14ac:dyDescent="0.25">
      <c r="A34" s="130" t="s">
        <v>468</v>
      </c>
      <c r="H34" s="86" t="s">
        <v>469</v>
      </c>
    </row>
    <row r="35" spans="1:8" x14ac:dyDescent="0.25">
      <c r="A35" s="143" t="s">
        <v>470</v>
      </c>
      <c r="H35" s="86" t="s">
        <v>471</v>
      </c>
    </row>
    <row r="36" spans="1:8" ht="30" x14ac:dyDescent="0.25">
      <c r="A36" s="143" t="s">
        <v>1672</v>
      </c>
      <c r="H36" s="86" t="s">
        <v>1673</v>
      </c>
    </row>
    <row r="37" spans="1:8" x14ac:dyDescent="0.25">
      <c r="A37" s="130" t="s">
        <v>472</v>
      </c>
      <c r="H37" s="86" t="s">
        <v>473</v>
      </c>
    </row>
    <row r="38" spans="1:8" x14ac:dyDescent="0.25">
      <c r="A38" s="142" t="s">
        <v>474</v>
      </c>
      <c r="H38" s="86" t="s">
        <v>475</v>
      </c>
    </row>
    <row r="39" spans="1:8" x14ac:dyDescent="0.25">
      <c r="A39" s="141" t="s">
        <v>1639</v>
      </c>
      <c r="H39" s="86" t="s">
        <v>477</v>
      </c>
    </row>
    <row r="40" spans="1:8" x14ac:dyDescent="0.25">
      <c r="A40" s="142" t="s">
        <v>476</v>
      </c>
      <c r="H40" s="86" t="s">
        <v>477</v>
      </c>
    </row>
    <row r="41" spans="1:8" x14ac:dyDescent="0.25">
      <c r="A41" s="130" t="s">
        <v>478</v>
      </c>
      <c r="H41" s="86" t="s">
        <v>475</v>
      </c>
    </row>
    <row r="42" spans="1:8" x14ac:dyDescent="0.25">
      <c r="A42" s="141" t="s">
        <v>479</v>
      </c>
      <c r="H42" s="86" t="s">
        <v>477</v>
      </c>
    </row>
    <row r="43" spans="1:8" x14ac:dyDescent="0.25">
      <c r="A43" s="130" t="s">
        <v>480</v>
      </c>
      <c r="H43" s="86" t="s">
        <v>481</v>
      </c>
    </row>
    <row r="44" spans="1:8" x14ac:dyDescent="0.25">
      <c r="A44" t="s">
        <v>1438</v>
      </c>
      <c r="H44" t="s">
        <v>397</v>
      </c>
    </row>
    <row r="45" spans="1:8" x14ac:dyDescent="0.25">
      <c r="A45" t="s">
        <v>1439</v>
      </c>
      <c r="B45" s="87" t="s">
        <v>399</v>
      </c>
      <c r="C45" t="s">
        <v>400</v>
      </c>
      <c r="H45" t="s">
        <v>401</v>
      </c>
    </row>
    <row r="46" spans="1:8" x14ac:dyDescent="0.25">
      <c r="A46" t="s">
        <v>1440</v>
      </c>
      <c r="B46" s="87" t="s">
        <v>399</v>
      </c>
      <c r="C46" t="s">
        <v>64</v>
      </c>
      <c r="H46" t="s">
        <v>401</v>
      </c>
    </row>
    <row r="47" spans="1:8" x14ac:dyDescent="0.25">
      <c r="A47" t="s">
        <v>1441</v>
      </c>
      <c r="B47" s="87" t="s">
        <v>404</v>
      </c>
      <c r="C47" t="s">
        <v>405</v>
      </c>
      <c r="H47" t="s">
        <v>406</v>
      </c>
    </row>
    <row r="48" spans="1:8" ht="18.75" x14ac:dyDescent="0.25">
      <c r="A48" t="s">
        <v>558</v>
      </c>
      <c r="B48" s="87"/>
      <c r="C48" s="88"/>
      <c r="H48" s="86" t="s">
        <v>423</v>
      </c>
    </row>
    <row r="49" spans="1:8" ht="18.75" x14ac:dyDescent="0.25">
      <c r="A49" t="s">
        <v>568</v>
      </c>
      <c r="B49" s="87" t="s">
        <v>425</v>
      </c>
      <c r="C49" s="88"/>
      <c r="H49" s="86" t="s">
        <v>426</v>
      </c>
    </row>
    <row r="50" spans="1:8" ht="45" x14ac:dyDescent="0.25">
      <c r="A50" s="161" t="s">
        <v>1356</v>
      </c>
      <c r="B50" s="87" t="s">
        <v>408</v>
      </c>
      <c r="C50" t="s">
        <v>84</v>
      </c>
      <c r="H50" s="86" t="s">
        <v>428</v>
      </c>
    </row>
    <row r="51" spans="1:8" x14ac:dyDescent="0.25">
      <c r="A51" t="s">
        <v>1468</v>
      </c>
      <c r="B51" s="87" t="s">
        <v>408</v>
      </c>
      <c r="C51" t="s">
        <v>84</v>
      </c>
      <c r="H51" t="s">
        <v>409</v>
      </c>
    </row>
    <row r="52" spans="1:8" ht="18.75" x14ac:dyDescent="0.25">
      <c r="A52" t="s">
        <v>1476</v>
      </c>
      <c r="B52" s="87" t="s">
        <v>430</v>
      </c>
      <c r="C52" s="88" t="s">
        <v>150</v>
      </c>
      <c r="H52" t="s">
        <v>431</v>
      </c>
    </row>
    <row r="53" spans="1:8" x14ac:dyDescent="0.25">
      <c r="A53" s="139" t="s">
        <v>1473</v>
      </c>
      <c r="H53" s="86" t="s">
        <v>460</v>
      </c>
    </row>
    <row r="54" spans="1:8" x14ac:dyDescent="0.25">
      <c r="A54" s="139" t="s">
        <v>1476</v>
      </c>
      <c r="H54" s="86" t="s">
        <v>462</v>
      </c>
    </row>
    <row r="55" spans="1:8" x14ac:dyDescent="0.25">
      <c r="A55" s="140" t="s">
        <v>1579</v>
      </c>
      <c r="H55" s="86" t="s">
        <v>460</v>
      </c>
    </row>
    <row r="56" spans="1:8" x14ac:dyDescent="0.25">
      <c r="A56" s="140" t="s">
        <v>1580</v>
      </c>
      <c r="H56" s="86" t="s">
        <v>462</v>
      </c>
    </row>
    <row r="57" spans="1:8" x14ac:dyDescent="0.25">
      <c r="A57" s="140" t="s">
        <v>1404</v>
      </c>
      <c r="H57" s="86" t="s">
        <v>471</v>
      </c>
    </row>
    <row r="58" spans="1:8" x14ac:dyDescent="0.25">
      <c r="A58" s="140" t="s">
        <v>1403</v>
      </c>
      <c r="H58" s="86" t="s">
        <v>473</v>
      </c>
    </row>
    <row r="59" spans="1:8" x14ac:dyDescent="0.25">
      <c r="A59" s="140" t="s">
        <v>1401</v>
      </c>
      <c r="H59" s="86" t="s">
        <v>460</v>
      </c>
    </row>
    <row r="60" spans="1:8" x14ac:dyDescent="0.25">
      <c r="A60" s="140" t="s">
        <v>1581</v>
      </c>
      <c r="H60" s="86" t="s">
        <v>462</v>
      </c>
    </row>
    <row r="61" spans="1:8" x14ac:dyDescent="0.25">
      <c r="A61" s="140" t="s">
        <v>1402</v>
      </c>
      <c r="H61" s="86" t="s">
        <v>465</v>
      </c>
    </row>
    <row r="62" spans="1:8" x14ac:dyDescent="0.25">
      <c r="A62" s="140" t="s">
        <v>1405</v>
      </c>
      <c r="H62" s="86" t="s">
        <v>469</v>
      </c>
    </row>
    <row r="63" spans="1:8" x14ac:dyDescent="0.25">
      <c r="A63" s="140" t="s">
        <v>1406</v>
      </c>
      <c r="H63" s="86" t="s">
        <v>462</v>
      </c>
    </row>
    <row r="64" spans="1:8" x14ac:dyDescent="0.25">
      <c r="A64" s="140" t="s">
        <v>1407</v>
      </c>
      <c r="H64" s="86" t="s">
        <v>467</v>
      </c>
    </row>
    <row r="65" spans="1:8" x14ac:dyDescent="0.25">
      <c r="A65" s="140" t="s">
        <v>1408</v>
      </c>
      <c r="H65" s="86" t="s">
        <v>465</v>
      </c>
    </row>
    <row r="66" spans="1:8" x14ac:dyDescent="0.25">
      <c r="A66" s="140" t="s">
        <v>1409</v>
      </c>
      <c r="H66" s="86" t="s">
        <v>471</v>
      </c>
    </row>
    <row r="67" spans="1:8" x14ac:dyDescent="0.25">
      <c r="A67" s="140" t="s">
        <v>1410</v>
      </c>
      <c r="H67" s="86" t="s">
        <v>469</v>
      </c>
    </row>
    <row r="68" spans="1:8" x14ac:dyDescent="0.25">
      <c r="A68" s="140" t="s">
        <v>1471</v>
      </c>
      <c r="H68" s="86" t="s">
        <v>473</v>
      </c>
    </row>
    <row r="69" spans="1:8" x14ac:dyDescent="0.25">
      <c r="A69" s="140" t="s">
        <v>1582</v>
      </c>
      <c r="H69" s="86" t="s">
        <v>462</v>
      </c>
    </row>
    <row r="70" spans="1:8" x14ac:dyDescent="0.25">
      <c r="A70" s="140" t="s">
        <v>1472</v>
      </c>
      <c r="H70" s="86" t="s">
        <v>467</v>
      </c>
    </row>
    <row r="71" spans="1:8" x14ac:dyDescent="0.25">
      <c r="A71" s="141" t="s">
        <v>1649</v>
      </c>
      <c r="H71" s="86" t="s">
        <v>465</v>
      </c>
    </row>
    <row r="72" spans="1:8" x14ac:dyDescent="0.25">
      <c r="A72" s="142" t="s">
        <v>1660</v>
      </c>
      <c r="H72" t="s">
        <v>1659</v>
      </c>
    </row>
    <row r="73" spans="1:8" x14ac:dyDescent="0.25">
      <c r="A73" t="s">
        <v>1666</v>
      </c>
      <c r="H73" t="s">
        <v>465</v>
      </c>
    </row>
    <row r="74" spans="1:8" x14ac:dyDescent="0.25">
      <c r="A74" t="s">
        <v>1679</v>
      </c>
      <c r="H74" t="s">
        <v>1678</v>
      </c>
    </row>
    <row r="75" spans="1:8" x14ac:dyDescent="0.25">
      <c r="A75" t="s">
        <v>1681</v>
      </c>
      <c r="H75" t="s">
        <v>1680</v>
      </c>
    </row>
    <row r="76" spans="1:8" x14ac:dyDescent="0.25">
      <c r="A76" t="s">
        <v>1682</v>
      </c>
      <c r="H76" t="s">
        <v>1680</v>
      </c>
    </row>
    <row r="77" spans="1:8" x14ac:dyDescent="0.25">
      <c r="A77" t="s">
        <v>1683</v>
      </c>
      <c r="H77" t="s">
        <v>1680</v>
      </c>
    </row>
    <row r="78" spans="1:8" x14ac:dyDescent="0.25">
      <c r="A78" t="s">
        <v>1684</v>
      </c>
      <c r="H78" t="s">
        <v>1678</v>
      </c>
    </row>
    <row r="79" spans="1:8" x14ac:dyDescent="0.25">
      <c r="A79" t="s">
        <v>1685</v>
      </c>
      <c r="H79" t="s">
        <v>1678</v>
      </c>
    </row>
    <row r="80" spans="1:8" x14ac:dyDescent="0.25">
      <c r="A80" t="s">
        <v>1686</v>
      </c>
      <c r="H80" t="s">
        <v>1687</v>
      </c>
    </row>
    <row r="81" spans="1:8" x14ac:dyDescent="0.25">
      <c r="A81" t="s">
        <v>1688</v>
      </c>
      <c r="H81" t="s">
        <v>438</v>
      </c>
    </row>
    <row r="82" spans="1:8" x14ac:dyDescent="0.25">
      <c r="A82" t="s">
        <v>1689</v>
      </c>
      <c r="H82" t="s">
        <v>1678</v>
      </c>
    </row>
    <row r="83" spans="1:8" x14ac:dyDescent="0.25">
      <c r="A83" t="s">
        <v>1690</v>
      </c>
      <c r="H83" t="s">
        <v>438</v>
      </c>
    </row>
    <row r="84" spans="1:8" x14ac:dyDescent="0.25">
      <c r="A84" t="s">
        <v>1691</v>
      </c>
      <c r="H84" t="s">
        <v>1692</v>
      </c>
    </row>
    <row r="85" spans="1:8" x14ac:dyDescent="0.25">
      <c r="A85" t="s">
        <v>1693</v>
      </c>
      <c r="H85" t="s">
        <v>1694</v>
      </c>
    </row>
    <row r="86" spans="1:8" x14ac:dyDescent="0.25">
      <c r="A86" t="s">
        <v>1695</v>
      </c>
      <c r="H86" t="s">
        <v>438</v>
      </c>
    </row>
    <row r="87" spans="1:8" x14ac:dyDescent="0.25">
      <c r="A87" t="s">
        <v>1696</v>
      </c>
      <c r="H87" t="s">
        <v>1697</v>
      </c>
    </row>
    <row r="88" spans="1:8" x14ac:dyDescent="0.25">
      <c r="A88" t="s">
        <v>1698</v>
      </c>
      <c r="H88" t="s">
        <v>1692</v>
      </c>
    </row>
    <row r="89" spans="1:8" x14ac:dyDescent="0.25">
      <c r="A89" t="s">
        <v>1699</v>
      </c>
      <c r="H89" t="s">
        <v>1694</v>
      </c>
    </row>
    <row r="90" spans="1:8" x14ac:dyDescent="0.25">
      <c r="A90" t="s">
        <v>1700</v>
      </c>
      <c r="H90" t="s">
        <v>438</v>
      </c>
    </row>
    <row r="91" spans="1:8" x14ac:dyDescent="0.25">
      <c r="A91" t="s">
        <v>1701</v>
      </c>
      <c r="H91" t="s">
        <v>1702</v>
      </c>
    </row>
    <row r="92" spans="1:8" x14ac:dyDescent="0.25">
      <c r="A92" t="s">
        <v>1703</v>
      </c>
      <c r="H92" t="s">
        <v>1694</v>
      </c>
    </row>
    <row r="93" spans="1:8" x14ac:dyDescent="0.25">
      <c r="A93" t="s">
        <v>1704</v>
      </c>
      <c r="H93" t="s">
        <v>1694</v>
      </c>
    </row>
    <row r="94" spans="1:8" x14ac:dyDescent="0.25">
      <c r="A94" t="s">
        <v>1705</v>
      </c>
      <c r="H94" t="s">
        <v>1706</v>
      </c>
    </row>
    <row r="95" spans="1:8" x14ac:dyDescent="0.25">
      <c r="A95" t="s">
        <v>1708</v>
      </c>
      <c r="H95" t="s">
        <v>1707</v>
      </c>
    </row>
    <row r="96" spans="1:8" ht="90" x14ac:dyDescent="0.25">
      <c r="A96" t="s">
        <v>1712</v>
      </c>
      <c r="F96" s="86" t="s">
        <v>1722</v>
      </c>
      <c r="H96" t="s">
        <v>1694</v>
      </c>
    </row>
    <row r="113" spans="6:6" ht="90" x14ac:dyDescent="0.25">
      <c r="F113" s="86" t="s">
        <v>1713</v>
      </c>
    </row>
  </sheetData>
  <phoneticPr fontId="29" type="noConversion"/>
  <hyperlinks>
    <hyperlink ref="B3" r:id="rId1" xr:uid="{F3B168CA-C597-43E1-86B9-4E75B30876A7}"/>
    <hyperlink ref="B4" r:id="rId2" xr:uid="{EA82DEA9-5D2D-444C-90B3-096C37861BD0}"/>
    <hyperlink ref="B5" r:id="rId3" xr:uid="{F921A922-310A-4BBA-BCD1-EC286FB877D5}"/>
    <hyperlink ref="B6" r:id="rId4" xr:uid="{58D19984-FA31-4403-92FC-D99C45BEDD24}"/>
    <hyperlink ref="B7" r:id="rId5" xr:uid="{6796E2E6-1CF1-4379-A75D-B8BC884DEAB9}"/>
    <hyperlink ref="B8" r:id="rId6" xr:uid="{803DA518-F8EF-4E45-8718-F6F14BE97D55}"/>
    <hyperlink ref="B9" r:id="rId7" xr:uid="{07736B17-DD1F-4341-ABBD-E4A33802BF49}"/>
    <hyperlink ref="B10" r:id="rId8" xr:uid="{7367EE17-F17B-4A71-A13D-D3778CF39818}"/>
    <hyperlink ref="B11" r:id="rId9" xr:uid="{808D72D9-5467-470B-A5B0-E3BF1AD50988}"/>
    <hyperlink ref="B15" r:id="rId10" xr:uid="{7C5FFE50-032F-49BF-8BE0-BCEFDA8E1E88}"/>
    <hyperlink ref="B14" r:id="rId11" xr:uid="{2A1A72B5-931A-43A7-A63B-993B62771CFE}"/>
    <hyperlink ref="B17" r:id="rId12" xr:uid="{7506E268-E8E7-4303-BADD-C347FD27792F}"/>
    <hyperlink ref="B19" r:id="rId13" xr:uid="{5E8D0166-DDAC-40CD-9943-008233F5A3F4}"/>
    <hyperlink ref="B24" r:id="rId14" xr:uid="{FF871FB6-86AC-4238-B003-B3EBB5ECCD52}"/>
    <hyperlink ref="B45" r:id="rId15" xr:uid="{A13A31DA-2D67-4A30-A71E-7F28D0EB5991}"/>
    <hyperlink ref="B46" r:id="rId16" xr:uid="{30D23E84-A7EE-4E22-93B5-311D186B70F2}"/>
    <hyperlink ref="B47" r:id="rId17" xr:uid="{509C793E-F89D-4DE7-AB52-D1835A6E8D9B}"/>
    <hyperlink ref="B52" r:id="rId18" xr:uid="{AD2F8C9D-8FF8-42E1-BD8F-D1734FA1AD95}"/>
    <hyperlink ref="B50" r:id="rId19" xr:uid="{ED9103CC-CC06-4F27-85BC-051D5B1B5F0F}"/>
    <hyperlink ref="B51" r:id="rId20" xr:uid="{39EB15AF-0493-4966-B72A-F4C778A2C1EB}"/>
    <hyperlink ref="B20" r:id="rId21" xr:uid="{95C7C80D-A038-48DE-94ED-C57126BD11E3}"/>
  </hyperlinks>
  <pageMargins left="0.7" right="0.7" top="0.75" bottom="0.75" header="0.3" footer="0.3"/>
  <headerFooter>
    <oddHeader>&amp;L&amp;"Aptos"&amp;10&amp;K000000 Classification: Internal Use&amp;1#_x000D_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AB999"/>
  <sheetViews>
    <sheetView topLeftCell="B1" workbookViewId="0">
      <pane ySplit="1" topLeftCell="A2" activePane="bottomLeft" state="frozen"/>
      <selection pane="bottomLeft" activeCell="C8" sqref="C8"/>
    </sheetView>
  </sheetViews>
  <sheetFormatPr defaultColWidth="14.42578125" defaultRowHeight="15" customHeight="1" x14ac:dyDescent="0.25"/>
  <cols>
    <col min="1" max="1" width="34.85546875" customWidth="1"/>
    <col min="2" max="2" width="20.85546875" customWidth="1"/>
    <col min="3" max="3" width="23.7109375" customWidth="1"/>
    <col min="4" max="4" width="11.85546875" customWidth="1"/>
    <col min="5" max="5" width="13.85546875" customWidth="1"/>
    <col min="6" max="6" width="37.28515625" customWidth="1"/>
    <col min="7" max="7" width="32.85546875" customWidth="1"/>
    <col min="8" max="8" width="10.5703125" customWidth="1"/>
    <col min="9" max="9" width="18" customWidth="1"/>
    <col min="10" max="10" width="15.7109375" customWidth="1"/>
    <col min="11" max="11" width="20.7109375" customWidth="1"/>
    <col min="12" max="12" width="12.85546875" customWidth="1"/>
    <col min="13" max="13" width="13.28515625" customWidth="1"/>
    <col min="14" max="14" width="9.28515625" customWidth="1"/>
    <col min="15" max="15" width="20.85546875" customWidth="1"/>
    <col min="16" max="16" width="10.7109375" bestFit="1" customWidth="1"/>
    <col min="17" max="17" width="15.5703125" customWidth="1"/>
    <col min="18" max="18" width="12.140625" customWidth="1"/>
    <col min="19" max="19" width="12.28515625" customWidth="1"/>
    <col min="20" max="20" width="14.140625" customWidth="1"/>
    <col min="21" max="21" width="23.140625" customWidth="1"/>
    <col min="22" max="22" width="11" customWidth="1"/>
    <col min="23" max="23" width="8.7109375" customWidth="1"/>
    <col min="24" max="24" width="11.85546875" customWidth="1"/>
    <col min="25" max="25" width="55.7109375" customWidth="1"/>
    <col min="26" max="26" width="17.42578125" customWidth="1"/>
  </cols>
  <sheetData>
    <row r="1" spans="1:28" ht="14.25" customHeight="1" x14ac:dyDescent="0.25">
      <c r="A1" s="2" t="s">
        <v>0</v>
      </c>
      <c r="B1" s="2" t="s">
        <v>315</v>
      </c>
      <c r="C1" s="2" t="s">
        <v>316</v>
      </c>
      <c r="D1" s="2" t="s">
        <v>317</v>
      </c>
      <c r="E1" s="2" t="s">
        <v>318</v>
      </c>
      <c r="F1" s="2" t="s">
        <v>319</v>
      </c>
      <c r="G1" s="2" t="s">
        <v>320</v>
      </c>
      <c r="H1" s="2" t="s">
        <v>321</v>
      </c>
      <c r="I1" s="2" t="s">
        <v>322</v>
      </c>
      <c r="J1" s="2" t="s">
        <v>323</v>
      </c>
      <c r="K1" s="2" t="s">
        <v>324</v>
      </c>
      <c r="L1" s="2" t="s">
        <v>325</v>
      </c>
      <c r="M1" s="2" t="s">
        <v>326</v>
      </c>
      <c r="N1" s="2" t="s">
        <v>2</v>
      </c>
      <c r="O1" s="2" t="s">
        <v>327</v>
      </c>
      <c r="P1" s="2" t="s">
        <v>328</v>
      </c>
      <c r="Q1" s="2" t="s">
        <v>329</v>
      </c>
      <c r="R1" s="2" t="s">
        <v>330</v>
      </c>
      <c r="S1" s="2" t="s">
        <v>331</v>
      </c>
      <c r="T1" s="2" t="s">
        <v>332</v>
      </c>
      <c r="U1" s="2" t="s">
        <v>333</v>
      </c>
      <c r="V1" s="2" t="s">
        <v>334</v>
      </c>
      <c r="W1" s="2" t="s">
        <v>335</v>
      </c>
      <c r="X1" s="2" t="s">
        <v>336</v>
      </c>
      <c r="Y1" s="84" t="s">
        <v>337</v>
      </c>
      <c r="Z1" s="84" t="s">
        <v>338</v>
      </c>
      <c r="AA1" s="84" t="s">
        <v>483</v>
      </c>
    </row>
    <row r="2" spans="1:28" ht="14.25" customHeight="1" x14ac:dyDescent="0.25">
      <c r="A2" s="3" t="s">
        <v>484</v>
      </c>
      <c r="B2" s="3">
        <v>242597653</v>
      </c>
      <c r="C2" s="3" t="s">
        <v>485</v>
      </c>
      <c r="D2" s="3" t="s">
        <v>486</v>
      </c>
      <c r="E2" s="3" t="s">
        <v>487</v>
      </c>
      <c r="F2" s="58" t="s">
        <v>488</v>
      </c>
      <c r="G2" s="58" t="s">
        <v>488</v>
      </c>
      <c r="H2" s="3">
        <v>579427</v>
      </c>
      <c r="I2" s="3">
        <v>208000201</v>
      </c>
      <c r="J2" s="3" t="s">
        <v>375</v>
      </c>
      <c r="K2" s="3">
        <v>208000201</v>
      </c>
      <c r="L2" s="3" t="s">
        <v>375</v>
      </c>
      <c r="M2" s="3" t="s">
        <v>489</v>
      </c>
      <c r="N2" s="3" t="s">
        <v>13</v>
      </c>
      <c r="O2" s="3" t="s">
        <v>490</v>
      </c>
      <c r="P2" s="3" t="s">
        <v>16</v>
      </c>
      <c r="Q2" s="3" t="s">
        <v>491</v>
      </c>
      <c r="R2" s="3" t="s">
        <v>492</v>
      </c>
      <c r="S2" s="3" t="s">
        <v>16</v>
      </c>
      <c r="T2" s="3" t="s">
        <v>16</v>
      </c>
      <c r="U2" s="3" t="s">
        <v>493</v>
      </c>
      <c r="V2" s="3" t="s">
        <v>380</v>
      </c>
      <c r="W2" s="3" t="s">
        <v>381</v>
      </c>
      <c r="X2" s="4" t="s">
        <v>47</v>
      </c>
      <c r="Y2" s="4" t="s">
        <v>16</v>
      </c>
      <c r="Z2" s="4" t="s">
        <v>16</v>
      </c>
      <c r="AA2" t="str">
        <f t="shared" ref="AA2:AA65" si="0">IF(ISNA(MATCH(B2, AB:AB, 0)), "Not Matched", "Matched")</f>
        <v>Not Matched</v>
      </c>
      <c r="AB2" s="82">
        <v>242595537</v>
      </c>
    </row>
    <row r="3" spans="1:28" ht="14.25" customHeight="1" x14ac:dyDescent="0.25">
      <c r="A3" s="3" t="s">
        <v>494</v>
      </c>
      <c r="B3" s="3">
        <v>242597009</v>
      </c>
      <c r="C3" s="3" t="s">
        <v>495</v>
      </c>
      <c r="D3" s="3" t="s">
        <v>496</v>
      </c>
      <c r="E3" s="3" t="s">
        <v>497</v>
      </c>
      <c r="F3" s="58" t="s">
        <v>498</v>
      </c>
      <c r="G3" s="58" t="s">
        <v>498</v>
      </c>
      <c r="H3" s="3">
        <v>198827</v>
      </c>
      <c r="I3" s="3">
        <v>209000202</v>
      </c>
      <c r="J3" s="3" t="s">
        <v>375</v>
      </c>
      <c r="K3" s="3">
        <v>209000202</v>
      </c>
      <c r="L3" s="3" t="s">
        <v>375</v>
      </c>
      <c r="M3" s="3" t="s">
        <v>499</v>
      </c>
      <c r="N3" s="3" t="s">
        <v>13</v>
      </c>
      <c r="O3" s="3" t="s">
        <v>500</v>
      </c>
      <c r="P3" s="3" t="s">
        <v>16</v>
      </c>
      <c r="Q3" s="3" t="s">
        <v>501</v>
      </c>
      <c r="R3" s="3" t="s">
        <v>16</v>
      </c>
      <c r="S3" s="3" t="s">
        <v>16</v>
      </c>
      <c r="T3" s="3" t="s">
        <v>16</v>
      </c>
      <c r="U3" s="3" t="s">
        <v>502</v>
      </c>
      <c r="V3" s="3" t="s">
        <v>380</v>
      </c>
      <c r="W3" s="3" t="s">
        <v>381</v>
      </c>
      <c r="X3" s="4" t="s">
        <v>47</v>
      </c>
      <c r="Y3" s="4" t="s">
        <v>16</v>
      </c>
      <c r="Z3" s="4" t="s">
        <v>16</v>
      </c>
      <c r="AA3" t="str">
        <f t="shared" si="0"/>
        <v>Not Matched</v>
      </c>
      <c r="AB3" s="82">
        <v>242595545</v>
      </c>
    </row>
    <row r="4" spans="1:28" ht="14.25" customHeight="1" x14ac:dyDescent="0.25">
      <c r="A4" s="3" t="s">
        <v>503</v>
      </c>
      <c r="B4" s="3">
        <v>242598251</v>
      </c>
      <c r="C4" s="3" t="s">
        <v>504</v>
      </c>
      <c r="D4" s="3" t="s">
        <v>505</v>
      </c>
      <c r="E4" s="3" t="s">
        <v>506</v>
      </c>
      <c r="F4" s="58" t="s">
        <v>507</v>
      </c>
      <c r="G4" s="58" t="s">
        <v>507</v>
      </c>
      <c r="H4" s="3">
        <v>131885</v>
      </c>
      <c r="I4" s="3">
        <v>208000203</v>
      </c>
      <c r="J4" s="3" t="s">
        <v>375</v>
      </c>
      <c r="K4" s="3">
        <v>208000203</v>
      </c>
      <c r="L4" s="3" t="s">
        <v>375</v>
      </c>
      <c r="M4" s="3" t="s">
        <v>508</v>
      </c>
      <c r="N4" s="3" t="s">
        <v>13</v>
      </c>
      <c r="O4" s="3" t="s">
        <v>509</v>
      </c>
      <c r="P4" s="3" t="s">
        <v>16</v>
      </c>
      <c r="Q4" s="3" t="s">
        <v>510</v>
      </c>
      <c r="R4" s="3" t="s">
        <v>511</v>
      </c>
      <c r="S4" s="3" t="s">
        <v>16</v>
      </c>
      <c r="T4" s="3" t="s">
        <v>16</v>
      </c>
      <c r="U4" s="3" t="s">
        <v>512</v>
      </c>
      <c r="V4" s="3" t="s">
        <v>380</v>
      </c>
      <c r="W4" s="3" t="s">
        <v>381</v>
      </c>
      <c r="X4" s="4" t="s">
        <v>47</v>
      </c>
      <c r="Y4" s="4" t="s">
        <v>16</v>
      </c>
      <c r="Z4" s="4" t="s">
        <v>16</v>
      </c>
      <c r="AA4" t="str">
        <f t="shared" si="0"/>
        <v>Not Matched</v>
      </c>
      <c r="AB4" s="83">
        <v>242595561</v>
      </c>
    </row>
    <row r="5" spans="1:28" ht="14.25" customHeight="1" x14ac:dyDescent="0.25">
      <c r="A5" s="3" t="s">
        <v>367</v>
      </c>
      <c r="B5" s="3">
        <v>242598153</v>
      </c>
      <c r="C5" s="3" t="s">
        <v>513</v>
      </c>
      <c r="D5" s="3" t="s">
        <v>514</v>
      </c>
      <c r="E5" s="73" t="s">
        <v>515</v>
      </c>
      <c r="F5" s="59" t="s">
        <v>516</v>
      </c>
      <c r="G5" s="59" t="s">
        <v>516</v>
      </c>
      <c r="H5" s="5" t="s">
        <v>373</v>
      </c>
      <c r="I5" s="3">
        <v>208010211</v>
      </c>
      <c r="J5" s="3" t="s">
        <v>375</v>
      </c>
      <c r="K5" s="3">
        <v>208010211</v>
      </c>
      <c r="L5" s="3" t="s">
        <v>375</v>
      </c>
      <c r="M5" s="3" t="s">
        <v>517</v>
      </c>
      <c r="N5" s="3" t="s">
        <v>64</v>
      </c>
      <c r="O5" s="3" t="s">
        <v>518</v>
      </c>
      <c r="P5" s="3" t="s">
        <v>16</v>
      </c>
      <c r="Q5" s="3" t="s">
        <v>502</v>
      </c>
      <c r="R5" s="3" t="s">
        <v>16</v>
      </c>
      <c r="S5" s="3" t="s">
        <v>16</v>
      </c>
      <c r="T5" s="3" t="s">
        <v>16</v>
      </c>
      <c r="U5" s="3" t="s">
        <v>519</v>
      </c>
      <c r="V5" s="3" t="s">
        <v>380</v>
      </c>
      <c r="W5" s="3" t="s">
        <v>381</v>
      </c>
      <c r="X5" s="4" t="s">
        <v>47</v>
      </c>
      <c r="Y5" s="4" t="s">
        <v>16</v>
      </c>
      <c r="Z5" s="4" t="s">
        <v>16</v>
      </c>
      <c r="AA5" t="str">
        <f t="shared" si="0"/>
        <v>Not Matched</v>
      </c>
      <c r="AB5" s="82">
        <v>242595588</v>
      </c>
    </row>
    <row r="6" spans="1:28" ht="14.25" customHeight="1" x14ac:dyDescent="0.25">
      <c r="A6" s="3" t="s">
        <v>520</v>
      </c>
      <c r="B6" s="3">
        <v>242596398</v>
      </c>
      <c r="C6" s="3" t="s">
        <v>521</v>
      </c>
      <c r="D6" s="3" t="s">
        <v>522</v>
      </c>
      <c r="E6" s="132">
        <v>34515</v>
      </c>
      <c r="F6" s="59" t="s">
        <v>523</v>
      </c>
      <c r="G6" s="58" t="s">
        <v>523</v>
      </c>
      <c r="H6" s="5" t="s">
        <v>524</v>
      </c>
      <c r="I6" s="3">
        <v>208100205</v>
      </c>
      <c r="J6" s="3" t="s">
        <v>375</v>
      </c>
      <c r="K6" s="3">
        <v>208100205</v>
      </c>
      <c r="L6" s="3" t="s">
        <v>375</v>
      </c>
      <c r="M6" s="3" t="s">
        <v>525</v>
      </c>
      <c r="N6" s="3" t="s">
        <v>13</v>
      </c>
      <c r="O6" s="3" t="s">
        <v>526</v>
      </c>
      <c r="P6" s="3" t="s">
        <v>16</v>
      </c>
      <c r="Q6" s="3" t="s">
        <v>527</v>
      </c>
      <c r="R6" s="3" t="s">
        <v>16</v>
      </c>
      <c r="S6" s="3" t="s">
        <v>16</v>
      </c>
      <c r="T6" s="3" t="s">
        <v>16</v>
      </c>
      <c r="U6" s="3" t="s">
        <v>528</v>
      </c>
      <c r="V6" s="3" t="s">
        <v>380</v>
      </c>
      <c r="W6" s="3" t="s">
        <v>381</v>
      </c>
      <c r="X6" s="4" t="s">
        <v>47</v>
      </c>
      <c r="Y6" s="4" t="s">
        <v>16</v>
      </c>
      <c r="Z6" s="4" t="s">
        <v>16</v>
      </c>
      <c r="AA6" t="str">
        <f t="shared" si="0"/>
        <v>Matched</v>
      </c>
      <c r="AB6" s="82">
        <v>242595600</v>
      </c>
    </row>
    <row r="7" spans="1:28" ht="14.25" customHeight="1" x14ac:dyDescent="0.25">
      <c r="A7" s="3" t="s">
        <v>529</v>
      </c>
      <c r="B7" s="3">
        <v>242595863</v>
      </c>
      <c r="C7" s="3" t="s">
        <v>530</v>
      </c>
      <c r="D7" s="3" t="s">
        <v>531</v>
      </c>
      <c r="E7" s="3" t="s">
        <v>532</v>
      </c>
      <c r="F7" s="59" t="s">
        <v>533</v>
      </c>
      <c r="G7" s="59" t="s">
        <v>533</v>
      </c>
      <c r="H7" s="5" t="s">
        <v>534</v>
      </c>
      <c r="I7" s="3">
        <v>209000206</v>
      </c>
      <c r="J7" s="3" t="s">
        <v>375</v>
      </c>
      <c r="K7" s="3">
        <v>209000206</v>
      </c>
      <c r="L7" s="3" t="s">
        <v>375</v>
      </c>
      <c r="M7" s="3" t="s">
        <v>535</v>
      </c>
      <c r="N7" s="3" t="s">
        <v>13</v>
      </c>
      <c r="O7" s="3" t="s">
        <v>536</v>
      </c>
      <c r="P7" s="3" t="s">
        <v>16</v>
      </c>
      <c r="Q7" s="3" t="s">
        <v>537</v>
      </c>
      <c r="R7" s="3" t="s">
        <v>538</v>
      </c>
      <c r="S7" s="3" t="s">
        <v>16</v>
      </c>
      <c r="T7" s="3" t="s">
        <v>16</v>
      </c>
      <c r="U7" s="3" t="s">
        <v>539</v>
      </c>
      <c r="V7" s="3" t="s">
        <v>380</v>
      </c>
      <c r="W7" s="3" t="s">
        <v>381</v>
      </c>
      <c r="X7" s="4" t="s">
        <v>47</v>
      </c>
      <c r="Y7" s="4" t="s">
        <v>16</v>
      </c>
      <c r="Z7" s="4" t="s">
        <v>16</v>
      </c>
      <c r="AA7" t="str">
        <f t="shared" si="0"/>
        <v>Matched</v>
      </c>
      <c r="AB7" s="82">
        <v>242595618</v>
      </c>
    </row>
    <row r="8" spans="1:28" ht="14.25" customHeight="1" x14ac:dyDescent="0.25">
      <c r="A8" s="3" t="s">
        <v>540</v>
      </c>
      <c r="B8" s="3">
        <v>242598501</v>
      </c>
      <c r="C8" s="3" t="s">
        <v>541</v>
      </c>
      <c r="D8" s="3" t="s">
        <v>542</v>
      </c>
      <c r="E8" s="3" t="s">
        <v>543</v>
      </c>
      <c r="F8" s="59" t="s">
        <v>544</v>
      </c>
      <c r="G8" s="59" t="s">
        <v>544</v>
      </c>
      <c r="H8" s="3">
        <v>389478</v>
      </c>
      <c r="I8" s="3">
        <v>209000207</v>
      </c>
      <c r="J8" s="3" t="s">
        <v>375</v>
      </c>
      <c r="K8" s="3">
        <v>209000207</v>
      </c>
      <c r="L8" s="3" t="s">
        <v>375</v>
      </c>
      <c r="M8" s="3" t="s">
        <v>545</v>
      </c>
      <c r="N8" s="3" t="s">
        <v>13</v>
      </c>
      <c r="O8" s="3" t="s">
        <v>546</v>
      </c>
      <c r="P8" s="3" t="s">
        <v>16</v>
      </c>
      <c r="Q8" s="3" t="s">
        <v>547</v>
      </c>
      <c r="R8" s="3" t="s">
        <v>16</v>
      </c>
      <c r="S8" s="3" t="s">
        <v>16</v>
      </c>
      <c r="T8" s="3" t="s">
        <v>16</v>
      </c>
      <c r="U8" s="3" t="s">
        <v>548</v>
      </c>
      <c r="V8" s="3" t="s">
        <v>380</v>
      </c>
      <c r="W8" s="3" t="s">
        <v>381</v>
      </c>
      <c r="X8" s="4" t="s">
        <v>47</v>
      </c>
      <c r="Y8" s="6" t="s">
        <v>16</v>
      </c>
      <c r="Z8" s="4" t="s">
        <v>16</v>
      </c>
      <c r="AA8" t="str">
        <f t="shared" si="0"/>
        <v>Matched</v>
      </c>
      <c r="AB8" s="82">
        <v>242595626</v>
      </c>
    </row>
    <row r="9" spans="1:28" ht="14.25" customHeight="1" x14ac:dyDescent="0.25">
      <c r="A9" s="3" t="s">
        <v>549</v>
      </c>
      <c r="B9" s="7">
        <v>242600174</v>
      </c>
      <c r="C9" s="7" t="s">
        <v>383</v>
      </c>
      <c r="D9" s="7" t="s">
        <v>384</v>
      </c>
      <c r="E9" s="8" t="s">
        <v>385</v>
      </c>
      <c r="F9" s="9" t="s">
        <v>386</v>
      </c>
      <c r="G9" s="10" t="s">
        <v>386</v>
      </c>
      <c r="H9" s="7">
        <v>940315</v>
      </c>
      <c r="I9" s="7">
        <v>208007008</v>
      </c>
      <c r="J9" s="3" t="s">
        <v>375</v>
      </c>
      <c r="K9" s="7">
        <v>208007008</v>
      </c>
      <c r="L9" s="3" t="s">
        <v>375</v>
      </c>
      <c r="M9" s="7">
        <v>208007008</v>
      </c>
      <c r="N9" s="7" t="s">
        <v>20</v>
      </c>
      <c r="O9" s="7" t="s">
        <v>389</v>
      </c>
      <c r="P9" s="3" t="s">
        <v>16</v>
      </c>
      <c r="Q9" s="7" t="s">
        <v>390</v>
      </c>
      <c r="R9" s="7" t="s">
        <v>391</v>
      </c>
      <c r="S9" s="3" t="s">
        <v>16</v>
      </c>
      <c r="T9" s="3" t="s">
        <v>16</v>
      </c>
      <c r="U9" s="3" t="s">
        <v>392</v>
      </c>
      <c r="V9" s="3" t="s">
        <v>380</v>
      </c>
      <c r="W9" s="3" t="s">
        <v>381</v>
      </c>
      <c r="X9" s="4" t="s">
        <v>47</v>
      </c>
      <c r="Y9" s="6" t="s">
        <v>16</v>
      </c>
      <c r="Z9" s="4" t="s">
        <v>16</v>
      </c>
      <c r="AA9" t="str">
        <f t="shared" si="0"/>
        <v>Not Matched</v>
      </c>
      <c r="AB9" s="82">
        <v>242595634</v>
      </c>
    </row>
    <row r="10" spans="1:28" ht="14.25" customHeight="1" x14ac:dyDescent="0.25">
      <c r="A10" s="3" t="s">
        <v>550</v>
      </c>
      <c r="B10" s="3">
        <v>242600743</v>
      </c>
      <c r="C10" s="3" t="s">
        <v>551</v>
      </c>
      <c r="D10" s="3" t="s">
        <v>552</v>
      </c>
      <c r="E10" s="3" t="s">
        <v>553</v>
      </c>
      <c r="F10" s="59" t="s">
        <v>554</v>
      </c>
      <c r="G10" s="58" t="s">
        <v>554</v>
      </c>
      <c r="H10" s="3">
        <v>860598</v>
      </c>
      <c r="I10" s="3">
        <v>208000209</v>
      </c>
      <c r="J10" s="3" t="s">
        <v>375</v>
      </c>
      <c r="K10" s="3">
        <v>208000209</v>
      </c>
      <c r="L10" s="3" t="s">
        <v>375</v>
      </c>
      <c r="M10" s="3" t="s">
        <v>555</v>
      </c>
      <c r="N10" s="3" t="s">
        <v>13</v>
      </c>
      <c r="O10" s="3" t="s">
        <v>556</v>
      </c>
      <c r="P10" s="3" t="s">
        <v>16</v>
      </c>
      <c r="Q10" s="3" t="s">
        <v>557</v>
      </c>
      <c r="R10" s="3" t="s">
        <v>16</v>
      </c>
      <c r="S10" s="3" t="s">
        <v>16</v>
      </c>
      <c r="T10" s="3" t="s">
        <v>16</v>
      </c>
      <c r="U10" s="3" t="s">
        <v>557</v>
      </c>
      <c r="V10" s="3" t="s">
        <v>380</v>
      </c>
      <c r="W10" s="3" t="s">
        <v>381</v>
      </c>
      <c r="X10" s="4" t="s">
        <v>47</v>
      </c>
      <c r="Y10" s="4" t="s">
        <v>16</v>
      </c>
      <c r="Z10" s="4" t="s">
        <v>16</v>
      </c>
      <c r="AA10" t="str">
        <f t="shared" si="0"/>
        <v>Matched</v>
      </c>
      <c r="AB10" s="82">
        <v>242595464</v>
      </c>
    </row>
    <row r="11" spans="1:28" ht="14.25" customHeight="1" x14ac:dyDescent="0.25">
      <c r="A11" s="3" t="s">
        <v>558</v>
      </c>
      <c r="B11" s="3">
        <v>242601006</v>
      </c>
      <c r="C11" s="3" t="s">
        <v>559</v>
      </c>
      <c r="D11" s="3" t="s">
        <v>560</v>
      </c>
      <c r="E11" s="3" t="s">
        <v>561</v>
      </c>
      <c r="F11" s="58" t="s">
        <v>562</v>
      </c>
      <c r="G11" s="58" t="s">
        <v>562</v>
      </c>
      <c r="H11" s="3">
        <v>618237</v>
      </c>
      <c r="I11" s="3">
        <v>208000210</v>
      </c>
      <c r="J11" s="3" t="s">
        <v>375</v>
      </c>
      <c r="K11" s="3">
        <v>208000210</v>
      </c>
      <c r="L11" s="3" t="s">
        <v>375</v>
      </c>
      <c r="M11" s="3" t="s">
        <v>563</v>
      </c>
      <c r="N11" s="3" t="s">
        <v>13</v>
      </c>
      <c r="O11" s="3" t="s">
        <v>564</v>
      </c>
      <c r="P11" s="3" t="s">
        <v>16</v>
      </c>
      <c r="Q11" s="3" t="s">
        <v>565</v>
      </c>
      <c r="R11" s="3" t="s">
        <v>566</v>
      </c>
      <c r="S11" s="3" t="s">
        <v>16</v>
      </c>
      <c r="T11" s="3" t="s">
        <v>16</v>
      </c>
      <c r="U11" s="3" t="s">
        <v>567</v>
      </c>
      <c r="V11" s="3" t="s">
        <v>380</v>
      </c>
      <c r="W11" s="3" t="s">
        <v>381</v>
      </c>
      <c r="X11" s="4" t="s">
        <v>47</v>
      </c>
      <c r="Y11" s="4" t="s">
        <v>16</v>
      </c>
      <c r="Z11" s="4" t="s">
        <v>16</v>
      </c>
      <c r="AA11" t="str">
        <f t="shared" si="0"/>
        <v>Matched</v>
      </c>
      <c r="AB11" s="83">
        <v>242595669</v>
      </c>
    </row>
    <row r="12" spans="1:28" ht="14.25" customHeight="1" x14ac:dyDescent="0.25">
      <c r="A12" s="3" t="s">
        <v>568</v>
      </c>
      <c r="B12" s="3">
        <v>242600611</v>
      </c>
      <c r="C12" s="3" t="s">
        <v>569</v>
      </c>
      <c r="D12" s="3" t="s">
        <v>570</v>
      </c>
      <c r="E12" s="3" t="s">
        <v>571</v>
      </c>
      <c r="F12" s="58" t="s">
        <v>572</v>
      </c>
      <c r="G12" s="58" t="s">
        <v>572</v>
      </c>
      <c r="H12" s="3">
        <v>236709</v>
      </c>
      <c r="I12" s="3">
        <v>208000212</v>
      </c>
      <c r="J12" s="3" t="s">
        <v>375</v>
      </c>
      <c r="K12" s="3">
        <v>208000212</v>
      </c>
      <c r="L12" s="3" t="s">
        <v>375</v>
      </c>
      <c r="M12" s="3" t="s">
        <v>573</v>
      </c>
      <c r="N12" s="3" t="s">
        <v>13</v>
      </c>
      <c r="O12" s="3" t="s">
        <v>574</v>
      </c>
      <c r="P12" s="3" t="s">
        <v>16</v>
      </c>
      <c r="Q12" s="3" t="s">
        <v>575</v>
      </c>
      <c r="R12" s="3" t="s">
        <v>576</v>
      </c>
      <c r="S12" s="3" t="s">
        <v>16</v>
      </c>
      <c r="T12" s="3" t="s">
        <v>16</v>
      </c>
      <c r="U12" s="3" t="s">
        <v>539</v>
      </c>
      <c r="V12" s="3" t="s">
        <v>380</v>
      </c>
      <c r="W12" s="3" t="s">
        <v>381</v>
      </c>
      <c r="X12" s="4" t="s">
        <v>47</v>
      </c>
      <c r="Y12" s="4" t="s">
        <v>16</v>
      </c>
      <c r="Z12" s="4" t="s">
        <v>16</v>
      </c>
      <c r="AA12" t="str">
        <f t="shared" si="0"/>
        <v>Not Matched</v>
      </c>
      <c r="AB12" s="83">
        <v>242595685</v>
      </c>
    </row>
    <row r="13" spans="1:28" ht="14.25" customHeight="1" x14ac:dyDescent="0.25">
      <c r="A13" s="3" t="s">
        <v>577</v>
      </c>
      <c r="B13" s="3">
        <v>242601464</v>
      </c>
      <c r="C13" s="3" t="s">
        <v>578</v>
      </c>
      <c r="D13" s="3" t="s">
        <v>579</v>
      </c>
      <c r="E13" s="3" t="s">
        <v>580</v>
      </c>
      <c r="F13" s="58" t="s">
        <v>581</v>
      </c>
      <c r="G13" s="58" t="s">
        <v>581</v>
      </c>
      <c r="H13" s="3" t="s">
        <v>16</v>
      </c>
      <c r="I13" s="3">
        <v>209000001</v>
      </c>
      <c r="J13" s="3" t="s">
        <v>375</v>
      </c>
      <c r="K13" s="3">
        <v>209000001</v>
      </c>
      <c r="L13" s="5" t="s">
        <v>375</v>
      </c>
      <c r="M13" s="3" t="s">
        <v>582</v>
      </c>
      <c r="N13" s="3" t="s">
        <v>13</v>
      </c>
      <c r="O13" s="3" t="s">
        <v>583</v>
      </c>
      <c r="P13" s="3" t="s">
        <v>16</v>
      </c>
      <c r="Q13" s="3" t="s">
        <v>584</v>
      </c>
      <c r="R13" s="3" t="s">
        <v>585</v>
      </c>
      <c r="S13" s="3" t="s">
        <v>16</v>
      </c>
      <c r="T13" s="3" t="s">
        <v>16</v>
      </c>
      <c r="U13" s="3" t="s">
        <v>586</v>
      </c>
      <c r="V13" s="3" t="s">
        <v>380</v>
      </c>
      <c r="W13" s="3" t="s">
        <v>587</v>
      </c>
      <c r="X13" s="4" t="s">
        <v>47</v>
      </c>
      <c r="Y13" s="4" t="s">
        <v>16</v>
      </c>
      <c r="Z13" s="4" t="s">
        <v>16</v>
      </c>
      <c r="AA13" t="str">
        <f t="shared" si="0"/>
        <v>Not Matched</v>
      </c>
      <c r="AB13" s="83">
        <v>242595693</v>
      </c>
    </row>
    <row r="14" spans="1:28" ht="14.25" customHeight="1" x14ac:dyDescent="0.25">
      <c r="A14" s="3" t="s">
        <v>44</v>
      </c>
      <c r="B14" s="3">
        <v>242597653</v>
      </c>
      <c r="C14" s="3" t="s">
        <v>485</v>
      </c>
      <c r="D14" s="3" t="s">
        <v>486</v>
      </c>
      <c r="E14" s="3" t="s">
        <v>487</v>
      </c>
      <c r="F14" s="58" t="s">
        <v>488</v>
      </c>
      <c r="G14" s="58" t="s">
        <v>488</v>
      </c>
      <c r="H14" s="3">
        <v>123456</v>
      </c>
      <c r="I14" s="3">
        <v>208000201</v>
      </c>
      <c r="J14" s="3" t="s">
        <v>375</v>
      </c>
      <c r="K14" s="3">
        <v>208000201</v>
      </c>
      <c r="L14" s="3" t="s">
        <v>375</v>
      </c>
      <c r="M14" s="3" t="s">
        <v>489</v>
      </c>
      <c r="N14" s="3" t="s">
        <v>13</v>
      </c>
      <c r="O14" s="3" t="s">
        <v>490</v>
      </c>
      <c r="P14" s="3" t="s">
        <v>16</v>
      </c>
      <c r="Q14" s="3" t="s">
        <v>491</v>
      </c>
      <c r="R14" s="3" t="s">
        <v>492</v>
      </c>
      <c r="S14" s="3" t="s">
        <v>16</v>
      </c>
      <c r="T14" s="3" t="s">
        <v>16</v>
      </c>
      <c r="U14" s="3" t="s">
        <v>493</v>
      </c>
      <c r="V14" s="3" t="s">
        <v>380</v>
      </c>
      <c r="W14" s="3" t="s">
        <v>381</v>
      </c>
      <c r="X14" s="4" t="s">
        <v>47</v>
      </c>
      <c r="Y14" s="4" t="s">
        <v>16</v>
      </c>
      <c r="Z14" s="4" t="s">
        <v>16</v>
      </c>
      <c r="AA14" t="str">
        <f t="shared" si="0"/>
        <v>Not Matched</v>
      </c>
      <c r="AB14" s="83">
        <v>242595723</v>
      </c>
    </row>
    <row r="15" spans="1:28" ht="14.25" customHeight="1" x14ac:dyDescent="0.25">
      <c r="A15" s="3" t="s">
        <v>110</v>
      </c>
      <c r="B15" s="3">
        <v>242597475</v>
      </c>
      <c r="C15" s="3" t="s">
        <v>588</v>
      </c>
      <c r="D15" s="3" t="s">
        <v>589</v>
      </c>
      <c r="E15" s="11" t="s">
        <v>590</v>
      </c>
      <c r="F15" s="3" t="s">
        <v>482</v>
      </c>
      <c r="G15" s="3" t="s">
        <v>482</v>
      </c>
      <c r="H15" s="5" t="s">
        <v>591</v>
      </c>
      <c r="I15" s="3">
        <v>208000078</v>
      </c>
      <c r="J15" s="3" t="s">
        <v>375</v>
      </c>
      <c r="K15" s="3">
        <v>208000078</v>
      </c>
      <c r="L15" s="3" t="s">
        <v>375</v>
      </c>
      <c r="M15" s="3" t="s">
        <v>592</v>
      </c>
      <c r="N15" s="3" t="s">
        <v>13</v>
      </c>
      <c r="O15" s="3" t="s">
        <v>490</v>
      </c>
      <c r="P15" s="3" t="s">
        <v>16</v>
      </c>
      <c r="Q15" s="3" t="s">
        <v>491</v>
      </c>
      <c r="R15" s="3" t="s">
        <v>492</v>
      </c>
      <c r="S15" s="3" t="s">
        <v>16</v>
      </c>
      <c r="T15" s="3" t="s">
        <v>16</v>
      </c>
      <c r="U15" s="3" t="s">
        <v>493</v>
      </c>
      <c r="V15" s="3" t="s">
        <v>380</v>
      </c>
      <c r="W15" s="3" t="s">
        <v>381</v>
      </c>
      <c r="X15" s="4" t="s">
        <v>47</v>
      </c>
      <c r="Y15" s="4" t="s">
        <v>16</v>
      </c>
      <c r="Z15" s="4" t="s">
        <v>16</v>
      </c>
      <c r="AA15" t="str">
        <f t="shared" si="0"/>
        <v>Matched</v>
      </c>
      <c r="AB15" s="83">
        <v>242595731</v>
      </c>
    </row>
    <row r="16" spans="1:28" ht="14.25" customHeight="1" x14ac:dyDescent="0.25">
      <c r="A16" s="3" t="s">
        <v>111</v>
      </c>
      <c r="B16" s="3">
        <v>242599222</v>
      </c>
      <c r="C16" s="3" t="s">
        <v>593</v>
      </c>
      <c r="D16" s="3" t="s">
        <v>594</v>
      </c>
      <c r="E16" s="11" t="s">
        <v>595</v>
      </c>
      <c r="F16" s="58" t="s">
        <v>50</v>
      </c>
      <c r="G16" s="58" t="s">
        <v>50</v>
      </c>
      <c r="H16" s="5" t="s">
        <v>596</v>
      </c>
      <c r="I16" s="3">
        <v>208000065</v>
      </c>
      <c r="J16" s="3" t="s">
        <v>375</v>
      </c>
      <c r="K16" s="3">
        <v>208000065</v>
      </c>
      <c r="L16" s="3" t="s">
        <v>375</v>
      </c>
      <c r="M16" s="3" t="s">
        <v>597</v>
      </c>
      <c r="N16" s="3" t="s">
        <v>13</v>
      </c>
      <c r="O16" s="3" t="s">
        <v>490</v>
      </c>
      <c r="P16" s="3" t="s">
        <v>16</v>
      </c>
      <c r="Q16" s="3" t="s">
        <v>491</v>
      </c>
      <c r="R16" s="3" t="s">
        <v>492</v>
      </c>
      <c r="S16" s="3" t="s">
        <v>16</v>
      </c>
      <c r="T16" s="3" t="s">
        <v>16</v>
      </c>
      <c r="U16" s="3" t="s">
        <v>493</v>
      </c>
      <c r="V16" s="3" t="s">
        <v>380</v>
      </c>
      <c r="W16" s="3" t="s">
        <v>381</v>
      </c>
      <c r="X16" s="4" t="s">
        <v>47</v>
      </c>
      <c r="Y16" s="4" t="s">
        <v>16</v>
      </c>
      <c r="Z16" s="4" t="s">
        <v>16</v>
      </c>
      <c r="AA16" t="str">
        <f t="shared" si="0"/>
        <v>Not Matched</v>
      </c>
      <c r="AB16" s="83">
        <v>242595740</v>
      </c>
    </row>
    <row r="17" spans="1:28" ht="14.25" customHeight="1" x14ac:dyDescent="0.25">
      <c r="A17" s="3" t="s">
        <v>598</v>
      </c>
      <c r="B17" s="3">
        <v>242601294</v>
      </c>
      <c r="C17" s="3" t="s">
        <v>599</v>
      </c>
      <c r="D17" s="3" t="s">
        <v>600</v>
      </c>
      <c r="E17" s="11" t="s">
        <v>601</v>
      </c>
      <c r="F17" s="58" t="s">
        <v>602</v>
      </c>
      <c r="G17" s="58" t="s">
        <v>602</v>
      </c>
      <c r="H17" s="3" t="s">
        <v>16</v>
      </c>
      <c r="I17" s="3">
        <v>208007916</v>
      </c>
      <c r="J17" s="3" t="s">
        <v>375</v>
      </c>
      <c r="K17" s="3">
        <v>208007916</v>
      </c>
      <c r="L17" s="3" t="s">
        <v>375</v>
      </c>
      <c r="M17" s="3" t="s">
        <v>603</v>
      </c>
      <c r="N17" s="3" t="s">
        <v>13</v>
      </c>
      <c r="O17" s="5" t="s">
        <v>604</v>
      </c>
      <c r="P17" s="3" t="s">
        <v>16</v>
      </c>
      <c r="Q17" s="3" t="s">
        <v>584</v>
      </c>
      <c r="R17" s="3" t="s">
        <v>585</v>
      </c>
      <c r="S17" s="3" t="s">
        <v>16</v>
      </c>
      <c r="T17" s="3" t="s">
        <v>16</v>
      </c>
      <c r="U17" s="3" t="s">
        <v>586</v>
      </c>
      <c r="V17" s="3" t="s">
        <v>380</v>
      </c>
      <c r="W17" s="3" t="s">
        <v>587</v>
      </c>
      <c r="X17" s="3" t="s">
        <v>47</v>
      </c>
      <c r="Y17" s="3" t="s">
        <v>605</v>
      </c>
      <c r="Z17" s="4" t="s">
        <v>16</v>
      </c>
      <c r="AA17" t="str">
        <f t="shared" si="0"/>
        <v>Matched</v>
      </c>
      <c r="AB17" s="83">
        <v>242596720</v>
      </c>
    </row>
    <row r="18" spans="1:28" ht="14.25" customHeight="1" x14ac:dyDescent="0.25">
      <c r="A18" s="13" t="s">
        <v>1819</v>
      </c>
      <c r="B18" s="13">
        <v>242595561</v>
      </c>
      <c r="C18" s="13" t="s">
        <v>606</v>
      </c>
      <c r="D18" s="13" t="s">
        <v>607</v>
      </c>
      <c r="E18" s="14" t="s">
        <v>608</v>
      </c>
      <c r="F18" s="59" t="s">
        <v>609</v>
      </c>
      <c r="G18" s="58" t="s">
        <v>609</v>
      </c>
      <c r="H18" s="13" t="s">
        <v>16</v>
      </c>
      <c r="I18" s="15" t="s">
        <v>610</v>
      </c>
      <c r="J18" s="16" t="s">
        <v>375</v>
      </c>
      <c r="K18" s="15" t="s">
        <v>1822</v>
      </c>
      <c r="L18" s="16" t="s">
        <v>375</v>
      </c>
      <c r="M18" s="15" t="s">
        <v>611</v>
      </c>
      <c r="N18" s="13" t="s">
        <v>13</v>
      </c>
      <c r="O18" s="13" t="s">
        <v>612</v>
      </c>
      <c r="P18" s="13" t="s">
        <v>16</v>
      </c>
      <c r="Q18" s="17" t="s">
        <v>613</v>
      </c>
      <c r="R18" s="3" t="s">
        <v>16</v>
      </c>
      <c r="S18" s="3" t="s">
        <v>16</v>
      </c>
      <c r="T18" s="3" t="s">
        <v>16</v>
      </c>
      <c r="U18" s="18" t="s">
        <v>528</v>
      </c>
      <c r="V18" s="3" t="s">
        <v>380</v>
      </c>
      <c r="W18" s="13" t="s">
        <v>614</v>
      </c>
      <c r="X18" s="13" t="s">
        <v>47</v>
      </c>
      <c r="Y18" s="13" t="s">
        <v>16</v>
      </c>
      <c r="Z18" s="4" t="s">
        <v>16</v>
      </c>
      <c r="AA18" t="str">
        <f t="shared" si="0"/>
        <v>Matched</v>
      </c>
      <c r="AB18" s="83">
        <v>242595782</v>
      </c>
    </row>
    <row r="19" spans="1:28" ht="14.25" customHeight="1" x14ac:dyDescent="0.25">
      <c r="A19" s="13" t="s">
        <v>615</v>
      </c>
      <c r="B19" s="13">
        <v>242595464</v>
      </c>
      <c r="C19" s="13" t="s">
        <v>616</v>
      </c>
      <c r="D19" s="13" t="s">
        <v>617</v>
      </c>
      <c r="E19" s="19" t="s">
        <v>618</v>
      </c>
      <c r="F19" s="59" t="s">
        <v>619</v>
      </c>
      <c r="G19" s="58" t="s">
        <v>619</v>
      </c>
      <c r="H19" s="13" t="s">
        <v>16</v>
      </c>
      <c r="I19" s="15" t="s">
        <v>620</v>
      </c>
      <c r="J19" s="16" t="s">
        <v>375</v>
      </c>
      <c r="K19" s="15" t="s">
        <v>620</v>
      </c>
      <c r="L19" s="16" t="s">
        <v>375</v>
      </c>
      <c r="M19" s="15" t="s">
        <v>621</v>
      </c>
      <c r="N19" s="13" t="s">
        <v>13</v>
      </c>
      <c r="O19" s="13" t="s">
        <v>622</v>
      </c>
      <c r="P19" s="13" t="s">
        <v>16</v>
      </c>
      <c r="Q19" s="17" t="s">
        <v>623</v>
      </c>
      <c r="R19" s="3" t="s">
        <v>16</v>
      </c>
      <c r="S19" s="3" t="s">
        <v>16</v>
      </c>
      <c r="T19" s="3" t="s">
        <v>16</v>
      </c>
      <c r="U19" s="18" t="s">
        <v>557</v>
      </c>
      <c r="V19" s="3" t="s">
        <v>380</v>
      </c>
      <c r="W19" s="13" t="s">
        <v>614</v>
      </c>
      <c r="X19" s="13" t="s">
        <v>47</v>
      </c>
      <c r="Y19" s="135" t="s">
        <v>624</v>
      </c>
      <c r="Z19" s="20" t="s">
        <v>625</v>
      </c>
      <c r="AA19" t="str">
        <f t="shared" si="0"/>
        <v>Matched</v>
      </c>
      <c r="AB19" s="83">
        <v>242595791</v>
      </c>
    </row>
    <row r="20" spans="1:28" ht="14.25" customHeight="1" x14ac:dyDescent="0.25">
      <c r="A20" s="13" t="s">
        <v>626</v>
      </c>
      <c r="B20" s="13">
        <v>242596720</v>
      </c>
      <c r="C20" s="13" t="s">
        <v>627</v>
      </c>
      <c r="D20" s="13" t="s">
        <v>628</v>
      </c>
      <c r="E20" s="19" t="s">
        <v>629</v>
      </c>
      <c r="F20" s="59" t="s">
        <v>630</v>
      </c>
      <c r="G20" s="58" t="s">
        <v>630</v>
      </c>
      <c r="H20" s="13" t="s">
        <v>16</v>
      </c>
      <c r="I20" s="15" t="s">
        <v>631</v>
      </c>
      <c r="J20" s="16" t="s">
        <v>375</v>
      </c>
      <c r="K20" s="15" t="s">
        <v>631</v>
      </c>
      <c r="L20" s="16" t="s">
        <v>375</v>
      </c>
      <c r="M20" s="15" t="s">
        <v>632</v>
      </c>
      <c r="N20" s="13" t="s">
        <v>13</v>
      </c>
      <c r="O20" s="13" t="s">
        <v>633</v>
      </c>
      <c r="P20" s="13" t="s">
        <v>16</v>
      </c>
      <c r="Q20" s="17" t="s">
        <v>634</v>
      </c>
      <c r="R20" s="3" t="s">
        <v>16</v>
      </c>
      <c r="S20" s="3" t="s">
        <v>16</v>
      </c>
      <c r="T20" s="3" t="s">
        <v>16</v>
      </c>
      <c r="U20" s="18" t="s">
        <v>635</v>
      </c>
      <c r="V20" s="3" t="s">
        <v>380</v>
      </c>
      <c r="W20" s="13" t="s">
        <v>614</v>
      </c>
      <c r="X20" s="13" t="s">
        <v>47</v>
      </c>
      <c r="Y20" s="134" t="s">
        <v>636</v>
      </c>
      <c r="Z20" s="20" t="s">
        <v>637</v>
      </c>
      <c r="AA20" t="str">
        <f t="shared" si="0"/>
        <v>Matched</v>
      </c>
      <c r="AB20" s="83">
        <v>242596428</v>
      </c>
    </row>
    <row r="21" spans="1:28" ht="14.25" customHeight="1" x14ac:dyDescent="0.25">
      <c r="A21" s="13" t="s">
        <v>638</v>
      </c>
      <c r="B21" s="13">
        <v>242596428</v>
      </c>
      <c r="C21" s="13" t="s">
        <v>639</v>
      </c>
      <c r="D21" s="13" t="s">
        <v>640</v>
      </c>
      <c r="E21" s="19" t="s">
        <v>641</v>
      </c>
      <c r="F21" s="59" t="s">
        <v>642</v>
      </c>
      <c r="G21" s="58" t="s">
        <v>642</v>
      </c>
      <c r="H21" s="13" t="s">
        <v>16</v>
      </c>
      <c r="I21" s="15" t="s">
        <v>643</v>
      </c>
      <c r="J21" s="16" t="s">
        <v>375</v>
      </c>
      <c r="K21" s="15" t="s">
        <v>643</v>
      </c>
      <c r="L21" s="16" t="s">
        <v>375</v>
      </c>
      <c r="M21" s="15" t="s">
        <v>644</v>
      </c>
      <c r="N21" s="13" t="s">
        <v>13</v>
      </c>
      <c r="O21" s="13" t="s">
        <v>645</v>
      </c>
      <c r="P21" s="13" t="s">
        <v>16</v>
      </c>
      <c r="Q21" s="17" t="s">
        <v>646</v>
      </c>
      <c r="R21" s="3" t="s">
        <v>16</v>
      </c>
      <c r="S21" s="3" t="s">
        <v>16</v>
      </c>
      <c r="T21" s="3" t="s">
        <v>16</v>
      </c>
      <c r="U21" s="18" t="s">
        <v>493</v>
      </c>
      <c r="V21" s="3" t="s">
        <v>380</v>
      </c>
      <c r="W21" s="13" t="s">
        <v>614</v>
      </c>
      <c r="X21" s="13" t="s">
        <v>47</v>
      </c>
      <c r="Y21" s="134" t="s">
        <v>647</v>
      </c>
      <c r="Z21" s="20" t="s">
        <v>648</v>
      </c>
      <c r="AA21" t="str">
        <f t="shared" si="0"/>
        <v>Matched</v>
      </c>
      <c r="AB21" s="82">
        <v>242595910</v>
      </c>
    </row>
    <row r="22" spans="1:28" ht="14.25" customHeight="1" x14ac:dyDescent="0.25">
      <c r="A22" s="13" t="s">
        <v>649</v>
      </c>
      <c r="B22" s="13">
        <v>242598951</v>
      </c>
      <c r="C22" s="13" t="s">
        <v>650</v>
      </c>
      <c r="D22" s="13" t="s">
        <v>651</v>
      </c>
      <c r="E22" s="19" t="s">
        <v>652</v>
      </c>
      <c r="F22" s="58" t="s">
        <v>653</v>
      </c>
      <c r="G22" s="58" t="s">
        <v>653</v>
      </c>
      <c r="H22" s="13" t="s">
        <v>16</v>
      </c>
      <c r="I22" s="15" t="s">
        <v>654</v>
      </c>
      <c r="J22" s="16" t="s">
        <v>375</v>
      </c>
      <c r="K22" s="15" t="s">
        <v>654</v>
      </c>
      <c r="L22" s="16" t="s">
        <v>375</v>
      </c>
      <c r="M22" s="15" t="s">
        <v>655</v>
      </c>
      <c r="N22" s="13" t="s">
        <v>13</v>
      </c>
      <c r="O22" s="13" t="s">
        <v>656</v>
      </c>
      <c r="P22" s="13" t="s">
        <v>16</v>
      </c>
      <c r="Q22" s="17" t="s">
        <v>657</v>
      </c>
      <c r="R22" s="3" t="s">
        <v>16</v>
      </c>
      <c r="S22" s="3" t="s">
        <v>16</v>
      </c>
      <c r="T22" s="3" t="s">
        <v>16</v>
      </c>
      <c r="U22" s="18" t="s">
        <v>658</v>
      </c>
      <c r="V22" s="3" t="s">
        <v>380</v>
      </c>
      <c r="W22" s="13" t="s">
        <v>614</v>
      </c>
      <c r="X22" s="13" t="s">
        <v>47</v>
      </c>
      <c r="Y22" s="134" t="s">
        <v>659</v>
      </c>
      <c r="Z22" s="20" t="s">
        <v>660</v>
      </c>
      <c r="AA22" t="str">
        <f t="shared" si="0"/>
        <v>Matched</v>
      </c>
      <c r="AB22" s="83">
        <v>242595928</v>
      </c>
    </row>
    <row r="23" spans="1:28" ht="14.25" customHeight="1" x14ac:dyDescent="0.25">
      <c r="A23" s="13" t="s">
        <v>661</v>
      </c>
      <c r="B23" s="13">
        <v>242595863</v>
      </c>
      <c r="C23" s="13" t="s">
        <v>662</v>
      </c>
      <c r="D23" s="13" t="s">
        <v>663</v>
      </c>
      <c r="E23" s="19" t="s">
        <v>532</v>
      </c>
      <c r="F23" s="59" t="s">
        <v>664</v>
      </c>
      <c r="G23" s="58" t="s">
        <v>664</v>
      </c>
      <c r="H23" s="13" t="s">
        <v>16</v>
      </c>
      <c r="I23" s="15" t="s">
        <v>665</v>
      </c>
      <c r="J23" s="16" t="s">
        <v>375</v>
      </c>
      <c r="K23" s="15" t="s">
        <v>665</v>
      </c>
      <c r="L23" s="16" t="s">
        <v>375</v>
      </c>
      <c r="M23" s="15" t="s">
        <v>666</v>
      </c>
      <c r="N23" s="13" t="s">
        <v>13</v>
      </c>
      <c r="O23" s="13" t="s">
        <v>667</v>
      </c>
      <c r="P23" s="13" t="s">
        <v>16</v>
      </c>
      <c r="Q23" s="17" t="s">
        <v>668</v>
      </c>
      <c r="R23" s="3" t="s">
        <v>16</v>
      </c>
      <c r="S23" s="3" t="s">
        <v>16</v>
      </c>
      <c r="T23" s="3" t="s">
        <v>16</v>
      </c>
      <c r="U23" s="18" t="s">
        <v>539</v>
      </c>
      <c r="V23" s="3" t="s">
        <v>380</v>
      </c>
      <c r="W23" s="13" t="s">
        <v>614</v>
      </c>
      <c r="X23" s="13" t="s">
        <v>47</v>
      </c>
      <c r="Y23" s="134" t="s">
        <v>669</v>
      </c>
      <c r="Z23" s="20" t="s">
        <v>670</v>
      </c>
      <c r="AA23" t="str">
        <f t="shared" si="0"/>
        <v>Matched</v>
      </c>
      <c r="AB23" s="83">
        <v>242595936</v>
      </c>
    </row>
    <row r="24" spans="1:28" ht="14.25" customHeight="1" x14ac:dyDescent="0.25">
      <c r="A24" s="13" t="s">
        <v>1820</v>
      </c>
      <c r="B24" s="13">
        <v>242597866</v>
      </c>
      <c r="C24" s="13" t="s">
        <v>671</v>
      </c>
      <c r="D24" s="13" t="s">
        <v>672</v>
      </c>
      <c r="E24" s="14" t="s">
        <v>673</v>
      </c>
      <c r="F24" s="59" t="s">
        <v>674</v>
      </c>
      <c r="G24" s="58" t="s">
        <v>674</v>
      </c>
      <c r="H24" s="13" t="s">
        <v>16</v>
      </c>
      <c r="I24" s="14" t="s">
        <v>1823</v>
      </c>
      <c r="J24" s="16" t="s">
        <v>375</v>
      </c>
      <c r="K24" s="14" t="s">
        <v>1823</v>
      </c>
      <c r="L24" s="16" t="s">
        <v>375</v>
      </c>
      <c r="M24" s="15" t="s">
        <v>675</v>
      </c>
      <c r="N24" s="13" t="s">
        <v>13</v>
      </c>
      <c r="O24" s="13" t="s">
        <v>676</v>
      </c>
      <c r="P24" s="13" t="s">
        <v>16</v>
      </c>
      <c r="Q24" s="17" t="s">
        <v>677</v>
      </c>
      <c r="R24" s="3" t="s">
        <v>16</v>
      </c>
      <c r="S24" s="3" t="s">
        <v>16</v>
      </c>
      <c r="T24" s="3" t="s">
        <v>16</v>
      </c>
      <c r="U24" s="18" t="s">
        <v>548</v>
      </c>
      <c r="V24" s="3" t="s">
        <v>380</v>
      </c>
      <c r="W24" s="13" t="s">
        <v>614</v>
      </c>
      <c r="X24" s="13" t="s">
        <v>47</v>
      </c>
      <c r="Y24" s="12" t="s">
        <v>678</v>
      </c>
      <c r="Z24" s="4" t="s">
        <v>16</v>
      </c>
      <c r="AA24" t="str">
        <f t="shared" si="0"/>
        <v>Not Matched</v>
      </c>
      <c r="AB24" s="83">
        <v>242595952</v>
      </c>
    </row>
    <row r="25" spans="1:28" ht="14.25" customHeight="1" x14ac:dyDescent="0.25">
      <c r="A25" s="13" t="s">
        <v>679</v>
      </c>
      <c r="B25" s="13">
        <v>242601308</v>
      </c>
      <c r="C25" s="13" t="s">
        <v>680</v>
      </c>
      <c r="D25" s="13" t="s">
        <v>681</v>
      </c>
      <c r="E25" s="14" t="s">
        <v>682</v>
      </c>
      <c r="F25" s="58" t="s">
        <v>683</v>
      </c>
      <c r="G25" s="58" t="s">
        <v>683</v>
      </c>
      <c r="H25" s="13" t="s">
        <v>16</v>
      </c>
      <c r="I25" s="15" t="s">
        <v>684</v>
      </c>
      <c r="J25" s="16" t="s">
        <v>375</v>
      </c>
      <c r="K25" s="15" t="s">
        <v>684</v>
      </c>
      <c r="L25" s="16" t="s">
        <v>375</v>
      </c>
      <c r="M25" s="15" t="s">
        <v>685</v>
      </c>
      <c r="N25" s="13" t="s">
        <v>13</v>
      </c>
      <c r="O25" s="13" t="s">
        <v>686</v>
      </c>
      <c r="P25" s="13" t="s">
        <v>16</v>
      </c>
      <c r="Q25" s="17" t="s">
        <v>687</v>
      </c>
      <c r="R25" s="3" t="s">
        <v>16</v>
      </c>
      <c r="S25" s="3" t="s">
        <v>16</v>
      </c>
      <c r="T25" s="3" t="s">
        <v>16</v>
      </c>
      <c r="U25" s="18" t="s">
        <v>557</v>
      </c>
      <c r="V25" s="3" t="s">
        <v>380</v>
      </c>
      <c r="W25" s="13" t="s">
        <v>614</v>
      </c>
      <c r="X25" s="13" t="s">
        <v>47</v>
      </c>
      <c r="Y25" s="12" t="s">
        <v>688</v>
      </c>
      <c r="Z25" s="4" t="s">
        <v>16</v>
      </c>
      <c r="AA25" t="str">
        <f t="shared" si="0"/>
        <v>Matched</v>
      </c>
      <c r="AB25" s="83">
        <v>242595961</v>
      </c>
    </row>
    <row r="26" spans="1:28" ht="14.25" customHeight="1" x14ac:dyDescent="0.25">
      <c r="A26" s="13" t="s">
        <v>689</v>
      </c>
      <c r="B26" s="13">
        <v>242600387</v>
      </c>
      <c r="C26" s="13" t="s">
        <v>690</v>
      </c>
      <c r="D26" s="13" t="s">
        <v>691</v>
      </c>
      <c r="E26" s="14" t="s">
        <v>692</v>
      </c>
      <c r="F26" s="58" t="s">
        <v>693</v>
      </c>
      <c r="G26" s="58" t="s">
        <v>693</v>
      </c>
      <c r="H26" s="13" t="s">
        <v>16</v>
      </c>
      <c r="I26" s="15" t="s">
        <v>694</v>
      </c>
      <c r="J26" s="16" t="s">
        <v>375</v>
      </c>
      <c r="K26" s="15" t="s">
        <v>694</v>
      </c>
      <c r="L26" s="16" t="s">
        <v>375</v>
      </c>
      <c r="M26" s="15" t="s">
        <v>695</v>
      </c>
      <c r="N26" s="13" t="s">
        <v>13</v>
      </c>
      <c r="O26" s="13" t="s">
        <v>696</v>
      </c>
      <c r="P26" s="13" t="s">
        <v>16</v>
      </c>
      <c r="Q26" s="17" t="s">
        <v>697</v>
      </c>
      <c r="R26" s="3" t="s">
        <v>16</v>
      </c>
      <c r="S26" s="3" t="s">
        <v>16</v>
      </c>
      <c r="T26" s="3" t="s">
        <v>16</v>
      </c>
      <c r="U26" s="18" t="s">
        <v>698</v>
      </c>
      <c r="V26" s="3" t="s">
        <v>380</v>
      </c>
      <c r="W26" s="13" t="s">
        <v>614</v>
      </c>
      <c r="X26" s="13" t="s">
        <v>47</v>
      </c>
      <c r="Y26" s="3" t="s">
        <v>699</v>
      </c>
      <c r="Z26" s="20" t="s">
        <v>700</v>
      </c>
      <c r="AA26" t="str">
        <f t="shared" si="0"/>
        <v>Matched</v>
      </c>
      <c r="AB26" s="82">
        <v>242595979</v>
      </c>
    </row>
    <row r="27" spans="1:28" ht="14.25" customHeight="1" x14ac:dyDescent="0.25">
      <c r="A27" s="13" t="s">
        <v>1455</v>
      </c>
      <c r="B27" s="13">
        <v>242597238</v>
      </c>
      <c r="C27" s="13" t="s">
        <v>701</v>
      </c>
      <c r="D27" s="13" t="s">
        <v>702</v>
      </c>
      <c r="E27" s="19" t="s">
        <v>703</v>
      </c>
      <c r="F27" s="59" t="s">
        <v>704</v>
      </c>
      <c r="G27" s="58" t="s">
        <v>704</v>
      </c>
      <c r="H27" s="13" t="s">
        <v>16</v>
      </c>
      <c r="I27" s="15" t="s">
        <v>705</v>
      </c>
      <c r="J27" s="16" t="s">
        <v>375</v>
      </c>
      <c r="K27" s="15" t="s">
        <v>705</v>
      </c>
      <c r="L27" s="16" t="s">
        <v>375</v>
      </c>
      <c r="M27" s="15" t="s">
        <v>706</v>
      </c>
      <c r="N27" s="13" t="s">
        <v>13</v>
      </c>
      <c r="O27" s="13" t="s">
        <v>707</v>
      </c>
      <c r="P27" s="13" t="s">
        <v>16</v>
      </c>
      <c r="Q27" s="17" t="s">
        <v>708</v>
      </c>
      <c r="R27" s="3" t="s">
        <v>16</v>
      </c>
      <c r="S27" s="3" t="s">
        <v>16</v>
      </c>
      <c r="T27" s="3" t="s">
        <v>16</v>
      </c>
      <c r="U27" s="18" t="s">
        <v>512</v>
      </c>
      <c r="V27" s="3" t="s">
        <v>380</v>
      </c>
      <c r="W27" s="13" t="s">
        <v>614</v>
      </c>
      <c r="X27" s="13" t="s">
        <v>47</v>
      </c>
      <c r="Y27" s="134" t="s">
        <v>709</v>
      </c>
      <c r="Z27" s="4" t="s">
        <v>16</v>
      </c>
      <c r="AA27" t="str">
        <f t="shared" si="0"/>
        <v>Matched</v>
      </c>
      <c r="AB27" s="83">
        <v>242597050</v>
      </c>
    </row>
    <row r="28" spans="1:28" ht="14.25" customHeight="1" x14ac:dyDescent="0.25">
      <c r="A28" s="13" t="s">
        <v>1354</v>
      </c>
      <c r="B28" s="13">
        <v>242596614</v>
      </c>
      <c r="C28" s="13" t="s">
        <v>710</v>
      </c>
      <c r="D28" s="13" t="s">
        <v>711</v>
      </c>
      <c r="E28" s="19" t="s">
        <v>712</v>
      </c>
      <c r="F28" s="59" t="s">
        <v>713</v>
      </c>
      <c r="G28" s="58" t="s">
        <v>713</v>
      </c>
      <c r="H28" s="13" t="s">
        <v>16</v>
      </c>
      <c r="I28" s="15"/>
      <c r="J28" s="16" t="s">
        <v>375</v>
      </c>
      <c r="K28" s="15"/>
      <c r="L28" s="16" t="s">
        <v>375</v>
      </c>
      <c r="M28" s="15" t="s">
        <v>714</v>
      </c>
      <c r="N28" s="13" t="s">
        <v>13</v>
      </c>
      <c r="O28" s="13" t="s">
        <v>715</v>
      </c>
      <c r="P28" s="13" t="s">
        <v>16</v>
      </c>
      <c r="Q28" s="17" t="s">
        <v>623</v>
      </c>
      <c r="R28" s="3" t="s">
        <v>16</v>
      </c>
      <c r="S28" s="3" t="s">
        <v>16</v>
      </c>
      <c r="T28" s="3" t="s">
        <v>16</v>
      </c>
      <c r="U28" s="18" t="s">
        <v>557</v>
      </c>
      <c r="V28" s="3" t="s">
        <v>380</v>
      </c>
      <c r="W28" s="13" t="s">
        <v>614</v>
      </c>
      <c r="X28" s="13" t="s">
        <v>47</v>
      </c>
      <c r="Y28" s="134" t="s">
        <v>716</v>
      </c>
      <c r="Z28" s="21" t="s">
        <v>717</v>
      </c>
      <c r="AA28" t="str">
        <f t="shared" si="0"/>
        <v>Not Matched</v>
      </c>
      <c r="AB28" s="83">
        <v>242595863</v>
      </c>
    </row>
    <row r="29" spans="1:28" ht="14.25" customHeight="1" x14ac:dyDescent="0.25">
      <c r="A29" s="13" t="s">
        <v>1538</v>
      </c>
      <c r="B29" s="13">
        <v>242596606</v>
      </c>
      <c r="C29" s="13" t="s">
        <v>718</v>
      </c>
      <c r="D29" s="13" t="s">
        <v>719</v>
      </c>
      <c r="E29" s="14" t="s">
        <v>720</v>
      </c>
      <c r="F29" s="59" t="s">
        <v>721</v>
      </c>
      <c r="G29" s="58" t="s">
        <v>721</v>
      </c>
      <c r="H29" s="13" t="s">
        <v>16</v>
      </c>
      <c r="I29" s="15" t="s">
        <v>1759</v>
      </c>
      <c r="J29" s="16" t="s">
        <v>375</v>
      </c>
      <c r="K29" s="15" t="s">
        <v>1759</v>
      </c>
      <c r="L29" s="16" t="s">
        <v>375</v>
      </c>
      <c r="M29" s="15" t="s">
        <v>722</v>
      </c>
      <c r="N29" s="13" t="s">
        <v>13</v>
      </c>
      <c r="O29" s="13" t="s">
        <v>723</v>
      </c>
      <c r="P29" s="13" t="s">
        <v>16</v>
      </c>
      <c r="Q29" s="17" t="s">
        <v>724</v>
      </c>
      <c r="R29" s="3" t="s">
        <v>16</v>
      </c>
      <c r="S29" s="3" t="s">
        <v>16</v>
      </c>
      <c r="T29" s="3" t="s">
        <v>16</v>
      </c>
      <c r="U29" s="18" t="s">
        <v>502</v>
      </c>
      <c r="V29" s="3" t="s">
        <v>380</v>
      </c>
      <c r="W29" s="13" t="s">
        <v>614</v>
      </c>
      <c r="X29" s="13" t="s">
        <v>47</v>
      </c>
      <c r="Y29" s="12" t="s">
        <v>725</v>
      </c>
      <c r="Z29" s="21" t="s">
        <v>726</v>
      </c>
      <c r="AA29" t="str">
        <f t="shared" si="0"/>
        <v>Not Matched</v>
      </c>
      <c r="AB29" s="83">
        <v>242595995</v>
      </c>
    </row>
    <row r="30" spans="1:28" ht="14.25" customHeight="1" x14ac:dyDescent="0.25">
      <c r="A30" s="13" t="s">
        <v>1821</v>
      </c>
      <c r="B30" s="13">
        <v>242595685</v>
      </c>
      <c r="C30" s="13" t="s">
        <v>727</v>
      </c>
      <c r="D30" s="13" t="s">
        <v>728</v>
      </c>
      <c r="E30" s="14" t="s">
        <v>729</v>
      </c>
      <c r="F30" s="59" t="s">
        <v>730</v>
      </c>
      <c r="G30" s="58" t="s">
        <v>730</v>
      </c>
      <c r="H30" s="13" t="s">
        <v>16</v>
      </c>
      <c r="I30" s="15" t="s">
        <v>1763</v>
      </c>
      <c r="J30" s="16" t="s">
        <v>375</v>
      </c>
      <c r="K30" s="15" t="s">
        <v>1762</v>
      </c>
      <c r="L30" s="16" t="s">
        <v>375</v>
      </c>
      <c r="M30" s="15" t="s">
        <v>731</v>
      </c>
      <c r="N30" s="13" t="s">
        <v>13</v>
      </c>
      <c r="O30" s="13" t="s">
        <v>732</v>
      </c>
      <c r="P30" s="13" t="s">
        <v>16</v>
      </c>
      <c r="Q30" s="17" t="s">
        <v>646</v>
      </c>
      <c r="R30" s="3" t="s">
        <v>16</v>
      </c>
      <c r="S30" s="3" t="s">
        <v>16</v>
      </c>
      <c r="T30" s="3" t="s">
        <v>16</v>
      </c>
      <c r="U30" s="18" t="s">
        <v>493</v>
      </c>
      <c r="V30" s="3" t="s">
        <v>380</v>
      </c>
      <c r="W30" s="13" t="s">
        <v>614</v>
      </c>
      <c r="X30" s="13" t="s">
        <v>47</v>
      </c>
      <c r="Y30" s="12" t="s">
        <v>733</v>
      </c>
      <c r="Z30" s="21" t="s">
        <v>734</v>
      </c>
      <c r="AA30" t="str">
        <f t="shared" si="0"/>
        <v>Matched</v>
      </c>
      <c r="AB30" s="82">
        <v>242596002</v>
      </c>
    </row>
    <row r="31" spans="1:28" ht="14.25" customHeight="1" x14ac:dyDescent="0.25">
      <c r="A31" s="13" t="s">
        <v>1458</v>
      </c>
      <c r="B31" s="13">
        <v>242595693</v>
      </c>
      <c r="C31" s="13" t="s">
        <v>735</v>
      </c>
      <c r="D31" s="13" t="s">
        <v>736</v>
      </c>
      <c r="E31" s="14" t="s">
        <v>737</v>
      </c>
      <c r="F31" s="59" t="s">
        <v>738</v>
      </c>
      <c r="G31" s="58" t="s">
        <v>738</v>
      </c>
      <c r="H31" s="13" t="s">
        <v>16</v>
      </c>
      <c r="I31" s="15" t="s">
        <v>739</v>
      </c>
      <c r="J31" s="16" t="s">
        <v>375</v>
      </c>
      <c r="K31" s="15" t="s">
        <v>739</v>
      </c>
      <c r="L31" s="16" t="s">
        <v>375</v>
      </c>
      <c r="M31" s="15" t="s">
        <v>740</v>
      </c>
      <c r="N31" s="13" t="s">
        <v>13</v>
      </c>
      <c r="O31" s="13" t="s">
        <v>741</v>
      </c>
      <c r="P31" s="13" t="s">
        <v>16</v>
      </c>
      <c r="Q31" s="17" t="s">
        <v>623</v>
      </c>
      <c r="R31" s="3" t="s">
        <v>16</v>
      </c>
      <c r="S31" s="3" t="s">
        <v>16</v>
      </c>
      <c r="T31" s="3" t="s">
        <v>16</v>
      </c>
      <c r="U31" s="18" t="s">
        <v>557</v>
      </c>
      <c r="V31" s="3" t="s">
        <v>380</v>
      </c>
      <c r="W31" s="13" t="s">
        <v>614</v>
      </c>
      <c r="X31" s="13" t="s">
        <v>47</v>
      </c>
      <c r="Y31" s="12" t="s">
        <v>742</v>
      </c>
      <c r="Z31" s="21" t="s">
        <v>743</v>
      </c>
      <c r="AA31" t="str">
        <f t="shared" si="0"/>
        <v>Matched</v>
      </c>
      <c r="AB31" s="83">
        <v>242596398</v>
      </c>
    </row>
    <row r="32" spans="1:28" ht="14.25" customHeight="1" x14ac:dyDescent="0.25">
      <c r="A32" s="13" t="s">
        <v>744</v>
      </c>
      <c r="B32" s="13">
        <v>242597424</v>
      </c>
      <c r="C32" s="13" t="s">
        <v>745</v>
      </c>
      <c r="D32" s="13" t="s">
        <v>746</v>
      </c>
      <c r="E32" s="14" t="s">
        <v>747</v>
      </c>
      <c r="F32" s="58" t="s">
        <v>748</v>
      </c>
      <c r="G32" s="58" t="s">
        <v>748</v>
      </c>
      <c r="H32" s="13" t="s">
        <v>16</v>
      </c>
      <c r="I32" s="15" t="s">
        <v>749</v>
      </c>
      <c r="J32" s="16" t="s">
        <v>375</v>
      </c>
      <c r="K32" s="15" t="s">
        <v>749</v>
      </c>
      <c r="L32" s="16" t="s">
        <v>375</v>
      </c>
      <c r="M32" s="15" t="s">
        <v>750</v>
      </c>
      <c r="N32" s="13" t="s">
        <v>13</v>
      </c>
      <c r="O32" s="13" t="s">
        <v>751</v>
      </c>
      <c r="P32" s="13" t="s">
        <v>16</v>
      </c>
      <c r="Q32" s="17" t="s">
        <v>752</v>
      </c>
      <c r="R32" s="3" t="s">
        <v>16</v>
      </c>
      <c r="S32" s="3" t="s">
        <v>16</v>
      </c>
      <c r="T32" s="3" t="s">
        <v>16</v>
      </c>
      <c r="U32" s="18" t="s">
        <v>753</v>
      </c>
      <c r="V32" s="3" t="s">
        <v>380</v>
      </c>
      <c r="W32" s="13" t="s">
        <v>614</v>
      </c>
      <c r="X32" s="13" t="s">
        <v>47</v>
      </c>
      <c r="Y32" s="12" t="s">
        <v>754</v>
      </c>
      <c r="Z32" s="21" t="s">
        <v>755</v>
      </c>
      <c r="AA32" t="str">
        <f t="shared" si="0"/>
        <v>Not Matched</v>
      </c>
      <c r="AB32" s="83">
        <v>242596029</v>
      </c>
    </row>
    <row r="33" spans="1:28" ht="14.25" customHeight="1" x14ac:dyDescent="0.25">
      <c r="A33" s="13" t="s">
        <v>756</v>
      </c>
      <c r="B33" s="13">
        <v>242597432</v>
      </c>
      <c r="C33" s="13" t="s">
        <v>757</v>
      </c>
      <c r="D33" s="13" t="s">
        <v>758</v>
      </c>
      <c r="E33" s="14" t="s">
        <v>759</v>
      </c>
      <c r="F33" s="58" t="s">
        <v>760</v>
      </c>
      <c r="G33" s="58" t="s">
        <v>760</v>
      </c>
      <c r="H33" s="13" t="s">
        <v>16</v>
      </c>
      <c r="I33" s="15" t="s">
        <v>761</v>
      </c>
      <c r="J33" s="16" t="s">
        <v>375</v>
      </c>
      <c r="K33" s="15" t="s">
        <v>761</v>
      </c>
      <c r="L33" s="16" t="s">
        <v>375</v>
      </c>
      <c r="M33" s="15" t="s">
        <v>762</v>
      </c>
      <c r="N33" s="13" t="s">
        <v>13</v>
      </c>
      <c r="O33" s="13" t="s">
        <v>763</v>
      </c>
      <c r="P33" s="13" t="s">
        <v>16</v>
      </c>
      <c r="Q33" s="17" t="s">
        <v>764</v>
      </c>
      <c r="R33" s="3" t="s">
        <v>16</v>
      </c>
      <c r="S33" s="3" t="s">
        <v>16</v>
      </c>
      <c r="T33" s="3" t="s">
        <v>16</v>
      </c>
      <c r="U33" s="18" t="s">
        <v>528</v>
      </c>
      <c r="V33" s="3" t="s">
        <v>380</v>
      </c>
      <c r="W33" s="13" t="s">
        <v>614</v>
      </c>
      <c r="X33" s="13" t="s">
        <v>47</v>
      </c>
      <c r="Y33" s="12" t="s">
        <v>765</v>
      </c>
      <c r="Z33" s="21" t="s">
        <v>766</v>
      </c>
      <c r="AA33" t="str">
        <f t="shared" si="0"/>
        <v>Not Matched</v>
      </c>
      <c r="AB33" s="83">
        <v>242596037</v>
      </c>
    </row>
    <row r="34" spans="1:28" ht="14.25" customHeight="1" x14ac:dyDescent="0.25">
      <c r="A34" s="13" t="s">
        <v>767</v>
      </c>
      <c r="B34" s="13">
        <v>242595928</v>
      </c>
      <c r="C34" s="13" t="s">
        <v>768</v>
      </c>
      <c r="D34" s="13" t="s">
        <v>769</v>
      </c>
      <c r="E34" s="14" t="s">
        <v>770</v>
      </c>
      <c r="F34" s="58" t="s">
        <v>771</v>
      </c>
      <c r="G34" s="58" t="s">
        <v>771</v>
      </c>
      <c r="H34" s="13" t="s">
        <v>16</v>
      </c>
      <c r="I34" s="15" t="s">
        <v>772</v>
      </c>
      <c r="J34" s="16" t="s">
        <v>375</v>
      </c>
      <c r="K34" s="15" t="s">
        <v>772</v>
      </c>
      <c r="L34" s="16" t="s">
        <v>375</v>
      </c>
      <c r="M34" s="15" t="s">
        <v>773</v>
      </c>
      <c r="N34" s="13" t="s">
        <v>13</v>
      </c>
      <c r="O34" s="13" t="s">
        <v>774</v>
      </c>
      <c r="P34" s="13" t="s">
        <v>16</v>
      </c>
      <c r="Q34" s="17" t="s">
        <v>764</v>
      </c>
      <c r="R34" s="3" t="s">
        <v>16</v>
      </c>
      <c r="S34" s="3" t="s">
        <v>16</v>
      </c>
      <c r="T34" s="3" t="s">
        <v>16</v>
      </c>
      <c r="U34" s="18" t="s">
        <v>528</v>
      </c>
      <c r="V34" s="3" t="s">
        <v>380</v>
      </c>
      <c r="W34" s="13" t="s">
        <v>614</v>
      </c>
      <c r="X34" s="13" t="s">
        <v>47</v>
      </c>
      <c r="Y34" s="12" t="s">
        <v>775</v>
      </c>
      <c r="Z34" s="21" t="s">
        <v>776</v>
      </c>
      <c r="AA34" t="str">
        <f t="shared" si="0"/>
        <v>Matched</v>
      </c>
      <c r="AB34" s="83">
        <v>242596053</v>
      </c>
    </row>
    <row r="35" spans="1:28" ht="14.25" customHeight="1" x14ac:dyDescent="0.25">
      <c r="A35" s="13" t="s">
        <v>777</v>
      </c>
      <c r="B35" s="13">
        <v>242599800</v>
      </c>
      <c r="C35" s="13" t="s">
        <v>778</v>
      </c>
      <c r="D35" s="13" t="s">
        <v>779</v>
      </c>
      <c r="E35" s="19" t="s">
        <v>780</v>
      </c>
      <c r="F35" s="58" t="s">
        <v>781</v>
      </c>
      <c r="G35" s="58" t="s">
        <v>781</v>
      </c>
      <c r="H35" s="13" t="s">
        <v>16</v>
      </c>
      <c r="I35" s="15" t="s">
        <v>782</v>
      </c>
      <c r="J35" s="16" t="s">
        <v>375</v>
      </c>
      <c r="K35" s="15" t="s">
        <v>782</v>
      </c>
      <c r="L35" s="16" t="s">
        <v>375</v>
      </c>
      <c r="M35" s="15" t="s">
        <v>783</v>
      </c>
      <c r="N35" s="13" t="s">
        <v>13</v>
      </c>
      <c r="O35" s="13" t="s">
        <v>784</v>
      </c>
      <c r="P35" s="13" t="s">
        <v>16</v>
      </c>
      <c r="Q35" s="17" t="s">
        <v>785</v>
      </c>
      <c r="R35" s="3" t="s">
        <v>16</v>
      </c>
      <c r="S35" s="3" t="s">
        <v>16</v>
      </c>
      <c r="T35" s="3" t="s">
        <v>16</v>
      </c>
      <c r="U35" s="18" t="s">
        <v>392</v>
      </c>
      <c r="V35" s="3" t="s">
        <v>380</v>
      </c>
      <c r="W35" s="13" t="s">
        <v>614</v>
      </c>
      <c r="X35" s="13" t="s">
        <v>47</v>
      </c>
      <c r="Y35" s="134" t="s">
        <v>786</v>
      </c>
      <c r="Z35" s="21" t="s">
        <v>787</v>
      </c>
      <c r="AA35" t="str">
        <f t="shared" si="0"/>
        <v>Matched</v>
      </c>
      <c r="AB35" s="82">
        <v>242598501</v>
      </c>
    </row>
    <row r="36" spans="1:28" ht="14.25" customHeight="1" x14ac:dyDescent="0.25">
      <c r="A36" s="13" t="s">
        <v>788</v>
      </c>
      <c r="B36" s="13">
        <v>242601138</v>
      </c>
      <c r="C36" s="13" t="s">
        <v>789</v>
      </c>
      <c r="D36" s="13" t="s">
        <v>790</v>
      </c>
      <c r="E36" s="19" t="s">
        <v>791</v>
      </c>
      <c r="F36" s="58" t="s">
        <v>792</v>
      </c>
      <c r="G36" s="58" t="s">
        <v>792</v>
      </c>
      <c r="H36" s="13" t="s">
        <v>16</v>
      </c>
      <c r="I36" s="15" t="s">
        <v>793</v>
      </c>
      <c r="J36" s="16" t="s">
        <v>375</v>
      </c>
      <c r="K36" s="15" t="s">
        <v>793</v>
      </c>
      <c r="L36" s="16" t="s">
        <v>375</v>
      </c>
      <c r="M36" s="15" t="s">
        <v>794</v>
      </c>
      <c r="N36" s="13" t="s">
        <v>13</v>
      </c>
      <c r="O36" s="13" t="s">
        <v>795</v>
      </c>
      <c r="P36" s="13" t="s">
        <v>16</v>
      </c>
      <c r="Q36" s="17" t="s">
        <v>796</v>
      </c>
      <c r="R36" s="3" t="s">
        <v>16</v>
      </c>
      <c r="S36" s="3" t="s">
        <v>16</v>
      </c>
      <c r="T36" s="3" t="s">
        <v>16</v>
      </c>
      <c r="U36" s="18" t="s">
        <v>567</v>
      </c>
      <c r="V36" s="3" t="s">
        <v>380</v>
      </c>
      <c r="W36" s="13" t="s">
        <v>614</v>
      </c>
      <c r="X36" s="13" t="s">
        <v>47</v>
      </c>
      <c r="Y36" s="134" t="s">
        <v>797</v>
      </c>
      <c r="Z36" s="21" t="s">
        <v>798</v>
      </c>
      <c r="AA36" t="str">
        <f t="shared" si="0"/>
        <v>Matched</v>
      </c>
      <c r="AB36" s="83">
        <v>242595758</v>
      </c>
    </row>
    <row r="37" spans="1:28" ht="14.25" customHeight="1" x14ac:dyDescent="0.25">
      <c r="A37" s="13" t="s">
        <v>799</v>
      </c>
      <c r="B37" s="13">
        <v>242601120</v>
      </c>
      <c r="C37" s="13" t="s">
        <v>800</v>
      </c>
      <c r="D37" s="13" t="s">
        <v>801</v>
      </c>
      <c r="E37" s="14" t="s">
        <v>802</v>
      </c>
      <c r="F37" s="58" t="s">
        <v>803</v>
      </c>
      <c r="G37" s="58" t="s">
        <v>803</v>
      </c>
      <c r="H37" s="13" t="s">
        <v>16</v>
      </c>
      <c r="I37" s="15" t="s">
        <v>804</v>
      </c>
      <c r="J37" s="16" t="s">
        <v>375</v>
      </c>
      <c r="K37" s="15" t="s">
        <v>804</v>
      </c>
      <c r="L37" s="16" t="s">
        <v>375</v>
      </c>
      <c r="M37" s="15" t="s">
        <v>805</v>
      </c>
      <c r="N37" s="13" t="s">
        <v>13</v>
      </c>
      <c r="O37" s="13" t="s">
        <v>806</v>
      </c>
      <c r="P37" s="13" t="s">
        <v>16</v>
      </c>
      <c r="Q37" s="17" t="s">
        <v>634</v>
      </c>
      <c r="R37" s="3" t="s">
        <v>16</v>
      </c>
      <c r="S37" s="3" t="s">
        <v>16</v>
      </c>
      <c r="T37" s="3" t="s">
        <v>16</v>
      </c>
      <c r="U37" s="18" t="s">
        <v>635</v>
      </c>
      <c r="V37" s="3" t="s">
        <v>380</v>
      </c>
      <c r="W37" s="13" t="s">
        <v>614</v>
      </c>
      <c r="X37" s="13" t="s">
        <v>47</v>
      </c>
      <c r="Y37" s="12" t="s">
        <v>807</v>
      </c>
      <c r="Z37" s="21" t="s">
        <v>808</v>
      </c>
      <c r="AA37" t="str">
        <f t="shared" si="0"/>
        <v>Not Matched</v>
      </c>
      <c r="AB37" s="83">
        <v>242599443</v>
      </c>
    </row>
    <row r="38" spans="1:28" ht="14.25" customHeight="1" x14ac:dyDescent="0.25">
      <c r="A38" s="13" t="s">
        <v>809</v>
      </c>
      <c r="B38" s="13">
        <v>242601103</v>
      </c>
      <c r="C38" s="13" t="s">
        <v>810</v>
      </c>
      <c r="D38" s="13" t="s">
        <v>811</v>
      </c>
      <c r="E38" s="14" t="s">
        <v>812</v>
      </c>
      <c r="F38" s="58" t="s">
        <v>813</v>
      </c>
      <c r="G38" s="58" t="s">
        <v>813</v>
      </c>
      <c r="H38" s="13" t="s">
        <v>16</v>
      </c>
      <c r="I38" s="15" t="s">
        <v>814</v>
      </c>
      <c r="J38" s="16" t="s">
        <v>375</v>
      </c>
      <c r="K38" s="15" t="s">
        <v>814</v>
      </c>
      <c r="L38" s="16" t="s">
        <v>375</v>
      </c>
      <c r="M38" s="15" t="s">
        <v>815</v>
      </c>
      <c r="N38" s="13" t="s">
        <v>13</v>
      </c>
      <c r="O38" s="13" t="s">
        <v>816</v>
      </c>
      <c r="P38" s="13" t="s">
        <v>16</v>
      </c>
      <c r="Q38" s="17" t="s">
        <v>817</v>
      </c>
      <c r="R38" s="3" t="s">
        <v>16</v>
      </c>
      <c r="S38" s="3" t="s">
        <v>16</v>
      </c>
      <c r="T38" s="3" t="s">
        <v>16</v>
      </c>
      <c r="U38" s="18" t="s">
        <v>557</v>
      </c>
      <c r="V38" s="3" t="s">
        <v>380</v>
      </c>
      <c r="W38" s="13" t="s">
        <v>614</v>
      </c>
      <c r="X38" s="13" t="s">
        <v>47</v>
      </c>
      <c r="Y38" s="12" t="s">
        <v>818</v>
      </c>
      <c r="Z38" s="22" t="s">
        <v>16</v>
      </c>
      <c r="AA38" t="str">
        <f t="shared" si="0"/>
        <v>Matched</v>
      </c>
      <c r="AB38" s="83">
        <v>242596096</v>
      </c>
    </row>
    <row r="39" spans="1:28" ht="14.25" customHeight="1" x14ac:dyDescent="0.25">
      <c r="A39" s="13" t="s">
        <v>819</v>
      </c>
      <c r="B39" s="13">
        <v>242596797</v>
      </c>
      <c r="C39" s="13" t="s">
        <v>820</v>
      </c>
      <c r="D39" s="13" t="s">
        <v>821</v>
      </c>
      <c r="E39" s="14" t="s">
        <v>822</v>
      </c>
      <c r="F39" s="58" t="s">
        <v>823</v>
      </c>
      <c r="G39" s="58" t="s">
        <v>823</v>
      </c>
      <c r="H39" s="13" t="s">
        <v>16</v>
      </c>
      <c r="I39" s="15" t="s">
        <v>824</v>
      </c>
      <c r="J39" s="16" t="s">
        <v>375</v>
      </c>
      <c r="K39" s="15" t="s">
        <v>824</v>
      </c>
      <c r="L39" s="16" t="s">
        <v>375</v>
      </c>
      <c r="M39" s="15" t="s">
        <v>825</v>
      </c>
      <c r="N39" s="13" t="s">
        <v>13</v>
      </c>
      <c r="O39" s="13" t="s">
        <v>826</v>
      </c>
      <c r="P39" s="13" t="s">
        <v>16</v>
      </c>
      <c r="Q39" s="17" t="s">
        <v>827</v>
      </c>
      <c r="R39" s="3" t="s">
        <v>16</v>
      </c>
      <c r="S39" s="3" t="s">
        <v>16</v>
      </c>
      <c r="T39" s="3" t="s">
        <v>16</v>
      </c>
      <c r="U39" s="18" t="s">
        <v>828</v>
      </c>
      <c r="V39" s="3" t="s">
        <v>380</v>
      </c>
      <c r="W39" s="13" t="s">
        <v>614</v>
      </c>
      <c r="X39" s="13" t="s">
        <v>47</v>
      </c>
      <c r="Y39" s="3" t="s">
        <v>829</v>
      </c>
      <c r="Z39" s="23" t="s">
        <v>830</v>
      </c>
      <c r="AA39" t="str">
        <f t="shared" si="0"/>
        <v>Matched</v>
      </c>
      <c r="AB39" s="83">
        <v>242600743</v>
      </c>
    </row>
    <row r="40" spans="1:28" ht="14.25" customHeight="1" x14ac:dyDescent="0.25">
      <c r="A40" s="13" t="s">
        <v>831</v>
      </c>
      <c r="B40" s="13">
        <v>242595669</v>
      </c>
      <c r="C40" s="13" t="s">
        <v>832</v>
      </c>
      <c r="D40" s="13" t="s">
        <v>833</v>
      </c>
      <c r="E40" s="14" t="s">
        <v>834</v>
      </c>
      <c r="F40" s="58" t="s">
        <v>835</v>
      </c>
      <c r="G40" s="58" t="s">
        <v>835</v>
      </c>
      <c r="H40" s="13" t="s">
        <v>16</v>
      </c>
      <c r="I40" s="15" t="s">
        <v>836</v>
      </c>
      <c r="J40" s="16" t="s">
        <v>375</v>
      </c>
      <c r="K40" s="15" t="s">
        <v>836</v>
      </c>
      <c r="L40" s="16" t="s">
        <v>375</v>
      </c>
      <c r="M40" s="15" t="s">
        <v>837</v>
      </c>
      <c r="N40" s="13" t="s">
        <v>13</v>
      </c>
      <c r="O40" s="13" t="s">
        <v>838</v>
      </c>
      <c r="P40" s="13" t="s">
        <v>16</v>
      </c>
      <c r="Q40" s="17" t="s">
        <v>839</v>
      </c>
      <c r="R40" s="3" t="s">
        <v>16</v>
      </c>
      <c r="S40" s="3" t="s">
        <v>16</v>
      </c>
      <c r="T40" s="3" t="s">
        <v>16</v>
      </c>
      <c r="U40" s="18" t="s">
        <v>840</v>
      </c>
      <c r="V40" s="3" t="s">
        <v>380</v>
      </c>
      <c r="W40" s="13" t="s">
        <v>614</v>
      </c>
      <c r="X40" s="13" t="s">
        <v>47</v>
      </c>
      <c r="Y40" s="3" t="s">
        <v>841</v>
      </c>
      <c r="Z40" s="21" t="s">
        <v>842</v>
      </c>
      <c r="AA40" t="str">
        <f t="shared" si="0"/>
        <v>Matched</v>
      </c>
      <c r="AB40" s="83">
        <v>242596100</v>
      </c>
    </row>
    <row r="41" spans="1:28" ht="14.25" customHeight="1" x14ac:dyDescent="0.25">
      <c r="A41" s="13" t="s">
        <v>843</v>
      </c>
      <c r="B41" s="13">
        <v>242596231</v>
      </c>
      <c r="C41" s="13" t="s">
        <v>844</v>
      </c>
      <c r="D41" s="13" t="s">
        <v>845</v>
      </c>
      <c r="E41" s="24" t="s">
        <v>846</v>
      </c>
      <c r="F41" s="58" t="s">
        <v>847</v>
      </c>
      <c r="G41" s="58" t="s">
        <v>847</v>
      </c>
      <c r="H41" s="13" t="s">
        <v>16</v>
      </c>
      <c r="I41" s="15" t="s">
        <v>848</v>
      </c>
      <c r="J41" s="16" t="s">
        <v>375</v>
      </c>
      <c r="K41" s="15" t="s">
        <v>848</v>
      </c>
      <c r="L41" s="16" t="s">
        <v>375</v>
      </c>
      <c r="M41" s="15" t="s">
        <v>849</v>
      </c>
      <c r="N41" s="13" t="s">
        <v>13</v>
      </c>
      <c r="O41" s="13" t="s">
        <v>850</v>
      </c>
      <c r="P41" s="13" t="s">
        <v>16</v>
      </c>
      <c r="Q41" s="17" t="s">
        <v>851</v>
      </c>
      <c r="R41" s="3" t="s">
        <v>16</v>
      </c>
      <c r="S41" s="3" t="s">
        <v>16</v>
      </c>
      <c r="T41" s="3" t="s">
        <v>16</v>
      </c>
      <c r="U41" s="18" t="s">
        <v>852</v>
      </c>
      <c r="V41" s="3" t="s">
        <v>380</v>
      </c>
      <c r="W41" s="13" t="s">
        <v>614</v>
      </c>
      <c r="X41" s="13" t="s">
        <v>47</v>
      </c>
      <c r="Y41" s="3" t="s">
        <v>16</v>
      </c>
      <c r="Z41" s="23" t="s">
        <v>853</v>
      </c>
      <c r="AA41" t="str">
        <f t="shared" si="0"/>
        <v>Matched</v>
      </c>
      <c r="AB41" s="83">
        <v>242596126</v>
      </c>
    </row>
    <row r="42" spans="1:28" ht="14.25" customHeight="1" x14ac:dyDescent="0.25">
      <c r="A42" s="13" t="s">
        <v>854</v>
      </c>
      <c r="B42" s="13">
        <v>242596240</v>
      </c>
      <c r="C42" s="13" t="s">
        <v>855</v>
      </c>
      <c r="D42" s="13" t="s">
        <v>856</v>
      </c>
      <c r="E42" s="14" t="s">
        <v>857</v>
      </c>
      <c r="F42" s="58" t="s">
        <v>858</v>
      </c>
      <c r="G42" s="58" t="s">
        <v>858</v>
      </c>
      <c r="H42" s="13" t="s">
        <v>16</v>
      </c>
      <c r="I42" s="15" t="s">
        <v>859</v>
      </c>
      <c r="J42" s="16" t="s">
        <v>375</v>
      </c>
      <c r="K42" s="15" t="s">
        <v>859</v>
      </c>
      <c r="L42" s="16" t="s">
        <v>375</v>
      </c>
      <c r="M42" s="15" t="s">
        <v>860</v>
      </c>
      <c r="N42" s="13" t="s">
        <v>13</v>
      </c>
      <c r="O42" s="13" t="s">
        <v>861</v>
      </c>
      <c r="P42" s="13" t="s">
        <v>16</v>
      </c>
      <c r="Q42" s="17" t="s">
        <v>862</v>
      </c>
      <c r="R42" s="3" t="s">
        <v>16</v>
      </c>
      <c r="S42" s="3" t="s">
        <v>16</v>
      </c>
      <c r="T42" s="3" t="s">
        <v>16</v>
      </c>
      <c r="U42" s="18" t="s">
        <v>586</v>
      </c>
      <c r="V42" s="3" t="s">
        <v>380</v>
      </c>
      <c r="W42" s="13" t="s">
        <v>614</v>
      </c>
      <c r="X42" s="13" t="s">
        <v>47</v>
      </c>
      <c r="Y42" s="3" t="s">
        <v>863</v>
      </c>
      <c r="Z42" s="21" t="s">
        <v>864</v>
      </c>
      <c r="AA42" t="str">
        <f t="shared" si="0"/>
        <v>Matched</v>
      </c>
      <c r="AB42" s="83">
        <v>242596134</v>
      </c>
    </row>
    <row r="43" spans="1:28" ht="14.25" customHeight="1" x14ac:dyDescent="0.25">
      <c r="A43" s="13" t="s">
        <v>865</v>
      </c>
      <c r="B43" s="13">
        <v>242600697</v>
      </c>
      <c r="C43" s="13" t="s">
        <v>866</v>
      </c>
      <c r="D43" s="13" t="s">
        <v>867</v>
      </c>
      <c r="E43" s="14" t="s">
        <v>868</v>
      </c>
      <c r="F43" s="58" t="s">
        <v>869</v>
      </c>
      <c r="G43" s="58" t="s">
        <v>869</v>
      </c>
      <c r="H43" s="13" t="s">
        <v>16</v>
      </c>
      <c r="I43" s="15" t="s">
        <v>870</v>
      </c>
      <c r="J43" s="16" t="s">
        <v>375</v>
      </c>
      <c r="K43" s="15" t="s">
        <v>870</v>
      </c>
      <c r="L43" s="16" t="s">
        <v>375</v>
      </c>
      <c r="M43" s="15" t="s">
        <v>871</v>
      </c>
      <c r="N43" s="13" t="s">
        <v>13</v>
      </c>
      <c r="O43" s="13" t="s">
        <v>872</v>
      </c>
      <c r="P43" s="13" t="s">
        <v>16</v>
      </c>
      <c r="Q43" s="17" t="s">
        <v>862</v>
      </c>
      <c r="R43" s="3" t="s">
        <v>16</v>
      </c>
      <c r="S43" s="3" t="s">
        <v>16</v>
      </c>
      <c r="T43" s="3" t="s">
        <v>16</v>
      </c>
      <c r="U43" s="18" t="s">
        <v>586</v>
      </c>
      <c r="V43" s="3" t="s">
        <v>380</v>
      </c>
      <c r="W43" s="13" t="s">
        <v>614</v>
      </c>
      <c r="X43" s="13" t="s">
        <v>47</v>
      </c>
      <c r="Y43" s="3" t="s">
        <v>873</v>
      </c>
      <c r="Z43" s="21" t="s">
        <v>874</v>
      </c>
      <c r="AA43" t="str">
        <f t="shared" si="0"/>
        <v>Matched</v>
      </c>
      <c r="AB43" s="83">
        <v>242599681</v>
      </c>
    </row>
    <row r="44" spans="1:28" ht="14.25" customHeight="1" x14ac:dyDescent="0.25">
      <c r="A44" s="13" t="s">
        <v>875</v>
      </c>
      <c r="B44" s="13">
        <v>242600701</v>
      </c>
      <c r="C44" s="13" t="s">
        <v>876</v>
      </c>
      <c r="D44" s="13" t="s">
        <v>877</v>
      </c>
      <c r="E44" s="14" t="s">
        <v>878</v>
      </c>
      <c r="F44" s="58" t="s">
        <v>879</v>
      </c>
      <c r="G44" s="58" t="s">
        <v>879</v>
      </c>
      <c r="H44" s="13" t="s">
        <v>16</v>
      </c>
      <c r="I44" s="15" t="s">
        <v>880</v>
      </c>
      <c r="J44" s="16" t="s">
        <v>375</v>
      </c>
      <c r="K44" s="15" t="s">
        <v>880</v>
      </c>
      <c r="L44" s="16" t="s">
        <v>375</v>
      </c>
      <c r="M44" s="15" t="s">
        <v>881</v>
      </c>
      <c r="N44" s="13" t="s">
        <v>13</v>
      </c>
      <c r="O44" s="13" t="s">
        <v>882</v>
      </c>
      <c r="P44" s="13" t="s">
        <v>16</v>
      </c>
      <c r="Q44" s="17" t="s">
        <v>883</v>
      </c>
      <c r="R44" s="3" t="s">
        <v>16</v>
      </c>
      <c r="S44" s="3" t="s">
        <v>16</v>
      </c>
      <c r="T44" s="3" t="s">
        <v>16</v>
      </c>
      <c r="U44" s="18" t="s">
        <v>658</v>
      </c>
      <c r="V44" s="3" t="s">
        <v>380</v>
      </c>
      <c r="W44" s="13" t="s">
        <v>614</v>
      </c>
      <c r="X44" s="13" t="s">
        <v>47</v>
      </c>
      <c r="Y44" s="3" t="s">
        <v>884</v>
      </c>
      <c r="Z44" s="21" t="s">
        <v>885</v>
      </c>
      <c r="AA44" t="str">
        <f t="shared" si="0"/>
        <v>Matched</v>
      </c>
      <c r="AB44" s="83">
        <v>242596223</v>
      </c>
    </row>
    <row r="45" spans="1:28" ht="14.25" customHeight="1" x14ac:dyDescent="0.25">
      <c r="A45" s="13" t="s">
        <v>886</v>
      </c>
      <c r="B45" s="13">
        <v>242599516</v>
      </c>
      <c r="C45" s="13" t="s">
        <v>887</v>
      </c>
      <c r="D45" s="13" t="s">
        <v>888</v>
      </c>
      <c r="E45" s="14" t="s">
        <v>889</v>
      </c>
      <c r="F45" s="58" t="s">
        <v>890</v>
      </c>
      <c r="G45" s="58" t="s">
        <v>890</v>
      </c>
      <c r="H45" s="13" t="s">
        <v>16</v>
      </c>
      <c r="I45" s="15" t="s">
        <v>891</v>
      </c>
      <c r="J45" s="16" t="s">
        <v>375</v>
      </c>
      <c r="K45" s="15" t="s">
        <v>891</v>
      </c>
      <c r="L45" s="16" t="s">
        <v>375</v>
      </c>
      <c r="M45" s="15" t="s">
        <v>892</v>
      </c>
      <c r="N45" s="13" t="s">
        <v>13</v>
      </c>
      <c r="O45" s="13" t="s">
        <v>893</v>
      </c>
      <c r="P45" s="13" t="s">
        <v>16</v>
      </c>
      <c r="Q45" s="17" t="s">
        <v>894</v>
      </c>
      <c r="R45" s="3" t="s">
        <v>16</v>
      </c>
      <c r="S45" s="3" t="s">
        <v>16</v>
      </c>
      <c r="T45" s="3" t="s">
        <v>16</v>
      </c>
      <c r="U45" s="18" t="s">
        <v>895</v>
      </c>
      <c r="V45" s="3" t="s">
        <v>380</v>
      </c>
      <c r="W45" s="13" t="s">
        <v>614</v>
      </c>
      <c r="X45" s="13" t="s">
        <v>47</v>
      </c>
      <c r="Y45" s="3" t="s">
        <v>896</v>
      </c>
      <c r="Z45" s="21" t="s">
        <v>897</v>
      </c>
      <c r="AA45" t="str">
        <f t="shared" si="0"/>
        <v>Matched</v>
      </c>
      <c r="AB45" s="83">
        <v>242596231</v>
      </c>
    </row>
    <row r="46" spans="1:28" ht="14.25" customHeight="1" x14ac:dyDescent="0.25">
      <c r="A46" s="13" t="s">
        <v>898</v>
      </c>
      <c r="B46" s="13">
        <v>242599524</v>
      </c>
      <c r="C46" s="13" t="s">
        <v>899</v>
      </c>
      <c r="D46" s="13" t="s">
        <v>900</v>
      </c>
      <c r="E46" s="14" t="s">
        <v>901</v>
      </c>
      <c r="F46" s="58" t="s">
        <v>902</v>
      </c>
      <c r="G46" s="58" t="s">
        <v>902</v>
      </c>
      <c r="H46" s="13" t="s">
        <v>16</v>
      </c>
      <c r="I46" s="15" t="s">
        <v>903</v>
      </c>
      <c r="J46" s="16" t="s">
        <v>375</v>
      </c>
      <c r="K46" s="15" t="s">
        <v>903</v>
      </c>
      <c r="L46" s="16" t="s">
        <v>375</v>
      </c>
      <c r="M46" s="15" t="s">
        <v>904</v>
      </c>
      <c r="N46" s="13" t="s">
        <v>13</v>
      </c>
      <c r="O46" s="13" t="s">
        <v>905</v>
      </c>
      <c r="P46" s="13" t="s">
        <v>16</v>
      </c>
      <c r="Q46" s="17" t="s">
        <v>906</v>
      </c>
      <c r="R46" s="3" t="s">
        <v>16</v>
      </c>
      <c r="S46" s="3" t="s">
        <v>16</v>
      </c>
      <c r="T46" s="3" t="s">
        <v>16</v>
      </c>
      <c r="U46" s="18" t="s">
        <v>557</v>
      </c>
      <c r="V46" s="3" t="s">
        <v>380</v>
      </c>
      <c r="W46" s="13" t="s">
        <v>614</v>
      </c>
      <c r="X46" s="13" t="s">
        <v>47</v>
      </c>
      <c r="Y46" s="13" t="s">
        <v>16</v>
      </c>
      <c r="Z46" s="22" t="s">
        <v>16</v>
      </c>
      <c r="AA46" t="str">
        <f t="shared" si="0"/>
        <v>Not Matched</v>
      </c>
      <c r="AB46" s="83">
        <v>242597629</v>
      </c>
    </row>
    <row r="47" spans="1:28" ht="14.25" customHeight="1" x14ac:dyDescent="0.25">
      <c r="A47" s="13" t="s">
        <v>907</v>
      </c>
      <c r="B47" s="13">
        <v>242600395</v>
      </c>
      <c r="C47" s="13" t="s">
        <v>908</v>
      </c>
      <c r="D47" s="13" t="s">
        <v>909</v>
      </c>
      <c r="E47" s="14" t="s">
        <v>910</v>
      </c>
      <c r="F47" s="58" t="s">
        <v>911</v>
      </c>
      <c r="G47" s="58" t="s">
        <v>911</v>
      </c>
      <c r="H47" s="13" t="s">
        <v>16</v>
      </c>
      <c r="I47" s="15" t="s">
        <v>912</v>
      </c>
      <c r="J47" s="16" t="s">
        <v>375</v>
      </c>
      <c r="K47" s="15" t="s">
        <v>912</v>
      </c>
      <c r="L47" s="16" t="s">
        <v>375</v>
      </c>
      <c r="M47" s="15" t="s">
        <v>913</v>
      </c>
      <c r="N47" s="13" t="s">
        <v>13</v>
      </c>
      <c r="O47" s="13" t="s">
        <v>914</v>
      </c>
      <c r="P47" s="13" t="s">
        <v>16</v>
      </c>
      <c r="Q47" s="17" t="s">
        <v>724</v>
      </c>
      <c r="R47" s="3" t="s">
        <v>16</v>
      </c>
      <c r="S47" s="3" t="s">
        <v>16</v>
      </c>
      <c r="T47" s="3" t="s">
        <v>16</v>
      </c>
      <c r="U47" s="18" t="s">
        <v>502</v>
      </c>
      <c r="V47" s="3" t="s">
        <v>380</v>
      </c>
      <c r="W47" s="13" t="s">
        <v>614</v>
      </c>
      <c r="X47" s="13" t="s">
        <v>47</v>
      </c>
      <c r="Y47" s="13" t="s">
        <v>16</v>
      </c>
      <c r="Z47" s="20" t="s">
        <v>915</v>
      </c>
      <c r="AA47" t="str">
        <f t="shared" si="0"/>
        <v>Matched</v>
      </c>
      <c r="AB47" s="83">
        <v>242596240</v>
      </c>
    </row>
    <row r="48" spans="1:28" ht="14.25" customHeight="1" x14ac:dyDescent="0.25">
      <c r="A48" s="13" t="s">
        <v>916</v>
      </c>
      <c r="B48" s="13">
        <v>242600409</v>
      </c>
      <c r="C48" s="13" t="s">
        <v>917</v>
      </c>
      <c r="D48" s="13" t="s">
        <v>918</v>
      </c>
      <c r="E48" s="14" t="s">
        <v>919</v>
      </c>
      <c r="F48" s="58" t="s">
        <v>920</v>
      </c>
      <c r="G48" s="58" t="s">
        <v>920</v>
      </c>
      <c r="H48" s="13" t="s">
        <v>16</v>
      </c>
      <c r="I48" s="15" t="s">
        <v>921</v>
      </c>
      <c r="J48" s="16" t="s">
        <v>375</v>
      </c>
      <c r="K48" s="15" t="s">
        <v>921</v>
      </c>
      <c r="L48" s="16" t="s">
        <v>375</v>
      </c>
      <c r="M48" s="15" t="s">
        <v>922</v>
      </c>
      <c r="N48" s="13" t="s">
        <v>13</v>
      </c>
      <c r="O48" s="13" t="s">
        <v>923</v>
      </c>
      <c r="P48" s="13" t="s">
        <v>16</v>
      </c>
      <c r="Q48" s="17" t="s">
        <v>613</v>
      </c>
      <c r="R48" s="3" t="s">
        <v>16</v>
      </c>
      <c r="S48" s="3" t="s">
        <v>16</v>
      </c>
      <c r="T48" s="3" t="s">
        <v>16</v>
      </c>
      <c r="U48" s="18" t="s">
        <v>528</v>
      </c>
      <c r="V48" s="3" t="s">
        <v>380</v>
      </c>
      <c r="W48" s="13" t="s">
        <v>614</v>
      </c>
      <c r="X48" s="13" t="s">
        <v>47</v>
      </c>
      <c r="Y48" s="13" t="s">
        <v>16</v>
      </c>
      <c r="Z48" s="22" t="s">
        <v>16</v>
      </c>
      <c r="AA48" t="str">
        <f t="shared" si="0"/>
        <v>Not Matched</v>
      </c>
      <c r="AB48" s="83">
        <v>242597831</v>
      </c>
    </row>
    <row r="49" spans="1:28" ht="14.25" customHeight="1" x14ac:dyDescent="0.25">
      <c r="A49" s="13" t="s">
        <v>924</v>
      </c>
      <c r="B49" s="13">
        <v>242600565</v>
      </c>
      <c r="C49" s="13" t="s">
        <v>925</v>
      </c>
      <c r="D49" s="13" t="s">
        <v>926</v>
      </c>
      <c r="E49" s="14" t="s">
        <v>927</v>
      </c>
      <c r="F49" s="58" t="s">
        <v>928</v>
      </c>
      <c r="G49" s="58" t="s">
        <v>928</v>
      </c>
      <c r="H49" s="13" t="s">
        <v>16</v>
      </c>
      <c r="I49" s="15" t="s">
        <v>929</v>
      </c>
      <c r="J49" s="16" t="s">
        <v>375</v>
      </c>
      <c r="K49" s="15" t="s">
        <v>929</v>
      </c>
      <c r="L49" s="16" t="s">
        <v>375</v>
      </c>
      <c r="M49" s="15" t="s">
        <v>930</v>
      </c>
      <c r="N49" s="13" t="s">
        <v>13</v>
      </c>
      <c r="O49" s="13" t="s">
        <v>931</v>
      </c>
      <c r="P49" s="13" t="s">
        <v>16</v>
      </c>
      <c r="Q49" s="17" t="s">
        <v>932</v>
      </c>
      <c r="R49" s="3" t="s">
        <v>16</v>
      </c>
      <c r="S49" s="3" t="s">
        <v>16</v>
      </c>
      <c r="T49" s="3" t="s">
        <v>16</v>
      </c>
      <c r="U49" s="18" t="s">
        <v>753</v>
      </c>
      <c r="V49" s="3" t="s">
        <v>380</v>
      </c>
      <c r="W49" s="13" t="s">
        <v>614</v>
      </c>
      <c r="X49" s="13" t="s">
        <v>47</v>
      </c>
      <c r="Y49" s="13" t="s">
        <v>16</v>
      </c>
      <c r="Z49" s="20" t="s">
        <v>933</v>
      </c>
      <c r="AA49" t="str">
        <f t="shared" si="0"/>
        <v>Matched</v>
      </c>
      <c r="AB49" s="83">
        <v>242596258</v>
      </c>
    </row>
    <row r="50" spans="1:28" ht="14.25" customHeight="1" x14ac:dyDescent="0.25">
      <c r="A50" s="13" t="s">
        <v>934</v>
      </c>
      <c r="B50" s="13">
        <v>242600573</v>
      </c>
      <c r="C50" s="13" t="s">
        <v>935</v>
      </c>
      <c r="D50" s="13" t="s">
        <v>936</v>
      </c>
      <c r="E50" s="14" t="s">
        <v>937</v>
      </c>
      <c r="F50" s="58" t="s">
        <v>938</v>
      </c>
      <c r="G50" s="58" t="s">
        <v>938</v>
      </c>
      <c r="H50" s="13" t="s">
        <v>16</v>
      </c>
      <c r="I50" s="15" t="s">
        <v>939</v>
      </c>
      <c r="J50" s="16" t="s">
        <v>375</v>
      </c>
      <c r="K50" s="15" t="s">
        <v>939</v>
      </c>
      <c r="L50" s="16" t="s">
        <v>375</v>
      </c>
      <c r="M50" s="15" t="s">
        <v>940</v>
      </c>
      <c r="N50" s="13" t="s">
        <v>13</v>
      </c>
      <c r="O50" s="13" t="s">
        <v>941</v>
      </c>
      <c r="P50" s="13" t="s">
        <v>16</v>
      </c>
      <c r="Q50" s="17" t="s">
        <v>851</v>
      </c>
      <c r="R50" s="3" t="s">
        <v>16</v>
      </c>
      <c r="S50" s="3" t="s">
        <v>16</v>
      </c>
      <c r="T50" s="3" t="s">
        <v>16</v>
      </c>
      <c r="U50" s="18" t="s">
        <v>852</v>
      </c>
      <c r="V50" s="3" t="s">
        <v>380</v>
      </c>
      <c r="W50" s="13" t="s">
        <v>614</v>
      </c>
      <c r="X50" s="13" t="s">
        <v>47</v>
      </c>
      <c r="Y50" s="13" t="s">
        <v>16</v>
      </c>
      <c r="Z50" s="22" t="s">
        <v>16</v>
      </c>
      <c r="AA50" t="str">
        <f t="shared" si="0"/>
        <v>Matched</v>
      </c>
      <c r="AB50" s="83">
        <v>242596355</v>
      </c>
    </row>
    <row r="51" spans="1:28" ht="14.25" customHeight="1" x14ac:dyDescent="0.25">
      <c r="A51" s="13" t="s">
        <v>942</v>
      </c>
      <c r="B51" s="13">
        <v>242597076</v>
      </c>
      <c r="C51" s="13" t="s">
        <v>943</v>
      </c>
      <c r="D51" s="13" t="s">
        <v>944</v>
      </c>
      <c r="E51" s="14" t="s">
        <v>945</v>
      </c>
      <c r="F51" s="58" t="s">
        <v>946</v>
      </c>
      <c r="G51" s="58" t="s">
        <v>946</v>
      </c>
      <c r="H51" s="13" t="s">
        <v>16</v>
      </c>
      <c r="I51" s="15" t="s">
        <v>947</v>
      </c>
      <c r="J51" s="16" t="s">
        <v>375</v>
      </c>
      <c r="K51" s="15" t="s">
        <v>947</v>
      </c>
      <c r="L51" s="16" t="s">
        <v>375</v>
      </c>
      <c r="M51" s="15" t="s">
        <v>948</v>
      </c>
      <c r="N51" s="13" t="s">
        <v>13</v>
      </c>
      <c r="O51" s="13" t="s">
        <v>949</v>
      </c>
      <c r="P51" s="13" t="s">
        <v>16</v>
      </c>
      <c r="Q51" s="17" t="s">
        <v>950</v>
      </c>
      <c r="R51" s="3" t="s">
        <v>16</v>
      </c>
      <c r="S51" s="3" t="s">
        <v>16</v>
      </c>
      <c r="T51" s="3" t="s">
        <v>16</v>
      </c>
      <c r="U51" s="18" t="s">
        <v>951</v>
      </c>
      <c r="V51" s="3" t="s">
        <v>380</v>
      </c>
      <c r="W51" s="13" t="s">
        <v>614</v>
      </c>
      <c r="X51" s="13" t="s">
        <v>47</v>
      </c>
      <c r="Y51" s="3" t="s">
        <v>952</v>
      </c>
      <c r="Z51" s="22" t="s">
        <v>16</v>
      </c>
      <c r="AA51" t="str">
        <f t="shared" si="0"/>
        <v>Matched</v>
      </c>
      <c r="AB51" s="83">
        <v>242596266</v>
      </c>
    </row>
    <row r="52" spans="1:28" ht="14.25" customHeight="1" x14ac:dyDescent="0.25">
      <c r="A52" s="13" t="s">
        <v>953</v>
      </c>
      <c r="B52" s="13">
        <v>242596622</v>
      </c>
      <c r="C52" s="13" t="s">
        <v>954</v>
      </c>
      <c r="D52" s="13" t="s">
        <v>955</v>
      </c>
      <c r="E52" s="14" t="s">
        <v>956</v>
      </c>
      <c r="F52" s="58" t="s">
        <v>957</v>
      </c>
      <c r="G52" s="58" t="s">
        <v>957</v>
      </c>
      <c r="H52" s="13" t="s">
        <v>16</v>
      </c>
      <c r="I52" s="15" t="s">
        <v>958</v>
      </c>
      <c r="J52" s="16" t="s">
        <v>375</v>
      </c>
      <c r="K52" s="15" t="s">
        <v>958</v>
      </c>
      <c r="L52" s="16" t="s">
        <v>375</v>
      </c>
      <c r="M52" s="15" t="s">
        <v>959</v>
      </c>
      <c r="N52" s="13" t="s">
        <v>13</v>
      </c>
      <c r="O52" s="13" t="s">
        <v>960</v>
      </c>
      <c r="P52" s="13" t="s">
        <v>16</v>
      </c>
      <c r="Q52" s="17" t="s">
        <v>961</v>
      </c>
      <c r="R52" s="3" t="s">
        <v>16</v>
      </c>
      <c r="S52" s="3" t="s">
        <v>16</v>
      </c>
      <c r="T52" s="3" t="s">
        <v>16</v>
      </c>
      <c r="U52" s="18" t="s">
        <v>502</v>
      </c>
      <c r="V52" s="3" t="s">
        <v>380</v>
      </c>
      <c r="W52" s="13" t="s">
        <v>614</v>
      </c>
      <c r="X52" s="13" t="s">
        <v>47</v>
      </c>
      <c r="Y52" s="3" t="s">
        <v>962</v>
      </c>
      <c r="Z52" s="21" t="s">
        <v>963</v>
      </c>
      <c r="AA52" t="str">
        <f t="shared" si="0"/>
        <v>Matched</v>
      </c>
      <c r="AB52" s="82">
        <v>242596274</v>
      </c>
    </row>
    <row r="53" spans="1:28" ht="14.25" customHeight="1" x14ac:dyDescent="0.25">
      <c r="A53" s="13" t="s">
        <v>964</v>
      </c>
      <c r="B53" s="13">
        <v>242596631</v>
      </c>
      <c r="C53" s="13" t="s">
        <v>965</v>
      </c>
      <c r="D53" s="13" t="s">
        <v>966</v>
      </c>
      <c r="E53" s="14" t="s">
        <v>967</v>
      </c>
      <c r="F53" s="58" t="s">
        <v>968</v>
      </c>
      <c r="G53" s="58" t="s">
        <v>968</v>
      </c>
      <c r="H53" s="13" t="s">
        <v>16</v>
      </c>
      <c r="I53" s="15" t="s">
        <v>969</v>
      </c>
      <c r="J53" s="16" t="s">
        <v>375</v>
      </c>
      <c r="K53" s="15" t="s">
        <v>969</v>
      </c>
      <c r="L53" s="16" t="s">
        <v>375</v>
      </c>
      <c r="M53" s="15" t="s">
        <v>970</v>
      </c>
      <c r="N53" s="13" t="s">
        <v>13</v>
      </c>
      <c r="O53" s="13" t="s">
        <v>971</v>
      </c>
      <c r="P53" s="13" t="s">
        <v>16</v>
      </c>
      <c r="Q53" s="17" t="s">
        <v>827</v>
      </c>
      <c r="R53" s="3" t="s">
        <v>16</v>
      </c>
      <c r="S53" s="3" t="s">
        <v>16</v>
      </c>
      <c r="T53" s="3" t="s">
        <v>16</v>
      </c>
      <c r="U53" s="18" t="s">
        <v>828</v>
      </c>
      <c r="V53" s="3" t="s">
        <v>380</v>
      </c>
      <c r="W53" s="13" t="s">
        <v>614</v>
      </c>
      <c r="X53" s="13" t="s">
        <v>47</v>
      </c>
      <c r="Y53" s="3" t="s">
        <v>972</v>
      </c>
      <c r="Z53" s="22" t="s">
        <v>16</v>
      </c>
      <c r="AA53" t="str">
        <f t="shared" si="0"/>
        <v>Not Matched</v>
      </c>
      <c r="AB53" s="83">
        <v>242596282</v>
      </c>
    </row>
    <row r="54" spans="1:28" ht="14.25" customHeight="1" x14ac:dyDescent="0.25">
      <c r="A54" s="13" t="s">
        <v>973</v>
      </c>
      <c r="B54" s="13">
        <v>242600336</v>
      </c>
      <c r="C54" s="13" t="s">
        <v>974</v>
      </c>
      <c r="D54" s="13" t="s">
        <v>975</v>
      </c>
      <c r="E54" s="14" t="s">
        <v>976</v>
      </c>
      <c r="F54" s="58" t="s">
        <v>977</v>
      </c>
      <c r="G54" s="58" t="s">
        <v>977</v>
      </c>
      <c r="H54" s="13" t="s">
        <v>16</v>
      </c>
      <c r="I54" s="15" t="s">
        <v>978</v>
      </c>
      <c r="J54" s="16" t="s">
        <v>375</v>
      </c>
      <c r="K54" s="15" t="s">
        <v>978</v>
      </c>
      <c r="L54" s="16" t="s">
        <v>375</v>
      </c>
      <c r="M54" s="15" t="s">
        <v>979</v>
      </c>
      <c r="N54" s="13" t="s">
        <v>13</v>
      </c>
      <c r="O54" s="13" t="s">
        <v>980</v>
      </c>
      <c r="P54" s="13" t="s">
        <v>16</v>
      </c>
      <c r="Q54" s="17" t="s">
        <v>697</v>
      </c>
      <c r="R54" s="3" t="s">
        <v>16</v>
      </c>
      <c r="S54" s="3" t="s">
        <v>16</v>
      </c>
      <c r="T54" s="3" t="s">
        <v>16</v>
      </c>
      <c r="U54" s="18" t="s">
        <v>698</v>
      </c>
      <c r="V54" s="3" t="s">
        <v>380</v>
      </c>
      <c r="W54" s="13" t="s">
        <v>614</v>
      </c>
      <c r="X54" s="13" t="s">
        <v>47</v>
      </c>
      <c r="Y54" s="3" t="s">
        <v>981</v>
      </c>
      <c r="Z54" s="21" t="s">
        <v>982</v>
      </c>
      <c r="AA54" t="str">
        <f t="shared" si="0"/>
        <v>Matched</v>
      </c>
      <c r="AB54" s="83">
        <v>242596461</v>
      </c>
    </row>
    <row r="55" spans="1:28" ht="14.25" customHeight="1" x14ac:dyDescent="0.25">
      <c r="A55" s="13" t="s">
        <v>983</v>
      </c>
      <c r="B55" s="13">
        <v>242598986</v>
      </c>
      <c r="C55" s="13" t="s">
        <v>984</v>
      </c>
      <c r="D55" s="13" t="s">
        <v>985</v>
      </c>
      <c r="E55" s="14" t="s">
        <v>986</v>
      </c>
      <c r="F55" s="58" t="s">
        <v>987</v>
      </c>
      <c r="G55" s="58" t="s">
        <v>987</v>
      </c>
      <c r="H55" s="13" t="s">
        <v>16</v>
      </c>
      <c r="I55" s="15" t="s">
        <v>988</v>
      </c>
      <c r="J55" s="16" t="s">
        <v>375</v>
      </c>
      <c r="K55" s="15" t="s">
        <v>988</v>
      </c>
      <c r="L55" s="16" t="s">
        <v>375</v>
      </c>
      <c r="M55" s="15" t="s">
        <v>989</v>
      </c>
      <c r="N55" s="13" t="s">
        <v>13</v>
      </c>
      <c r="O55" s="13" t="s">
        <v>990</v>
      </c>
      <c r="P55" s="13" t="s">
        <v>16</v>
      </c>
      <c r="Q55" s="17" t="s">
        <v>991</v>
      </c>
      <c r="R55" s="3" t="s">
        <v>16</v>
      </c>
      <c r="S55" s="3" t="s">
        <v>16</v>
      </c>
      <c r="T55" s="3" t="s">
        <v>16</v>
      </c>
      <c r="U55" s="18" t="s">
        <v>828</v>
      </c>
      <c r="V55" s="3" t="s">
        <v>380</v>
      </c>
      <c r="W55" s="13" t="s">
        <v>614</v>
      </c>
      <c r="X55" s="13" t="s">
        <v>47</v>
      </c>
      <c r="Y55" s="3" t="s">
        <v>16</v>
      </c>
      <c r="Z55" s="22" t="s">
        <v>16</v>
      </c>
      <c r="AA55" t="str">
        <f t="shared" si="0"/>
        <v>Not Matched</v>
      </c>
      <c r="AB55" s="82">
        <v>242596312</v>
      </c>
    </row>
    <row r="56" spans="1:28" ht="14.25" customHeight="1" x14ac:dyDescent="0.25">
      <c r="A56" s="13" t="s">
        <v>992</v>
      </c>
      <c r="B56" s="13">
        <v>242598633</v>
      </c>
      <c r="C56" s="13" t="s">
        <v>993</v>
      </c>
      <c r="D56" s="13" t="s">
        <v>994</v>
      </c>
      <c r="E56" s="14" t="s">
        <v>995</v>
      </c>
      <c r="F56" s="58" t="s">
        <v>996</v>
      </c>
      <c r="G56" s="58" t="s">
        <v>996</v>
      </c>
      <c r="H56" s="13" t="s">
        <v>16</v>
      </c>
      <c r="I56" s="15" t="s">
        <v>997</v>
      </c>
      <c r="J56" s="16" t="s">
        <v>375</v>
      </c>
      <c r="K56" s="15" t="s">
        <v>997</v>
      </c>
      <c r="L56" s="16" t="s">
        <v>375</v>
      </c>
      <c r="M56" s="15" t="s">
        <v>998</v>
      </c>
      <c r="N56" s="13" t="s">
        <v>13</v>
      </c>
      <c r="O56" s="13" t="s">
        <v>999</v>
      </c>
      <c r="P56" s="13" t="s">
        <v>16</v>
      </c>
      <c r="Q56" s="17" t="s">
        <v>1000</v>
      </c>
      <c r="R56" s="3" t="s">
        <v>16</v>
      </c>
      <c r="S56" s="3" t="s">
        <v>16</v>
      </c>
      <c r="T56" s="3" t="s">
        <v>16</v>
      </c>
      <c r="U56" s="18" t="s">
        <v>493</v>
      </c>
      <c r="V56" s="3" t="s">
        <v>380</v>
      </c>
      <c r="W56" s="13" t="s">
        <v>614</v>
      </c>
      <c r="X56" s="13" t="s">
        <v>47</v>
      </c>
      <c r="Y56" s="3" t="s">
        <v>1001</v>
      </c>
      <c r="Z56" s="22" t="s">
        <v>16</v>
      </c>
      <c r="AA56" t="str">
        <f t="shared" si="0"/>
        <v>Matched</v>
      </c>
      <c r="AB56" s="83">
        <v>242596321</v>
      </c>
    </row>
    <row r="57" spans="1:28" ht="14.25" customHeight="1" x14ac:dyDescent="0.25">
      <c r="A57" s="13" t="s">
        <v>1002</v>
      </c>
      <c r="B57" s="13">
        <v>242596291</v>
      </c>
      <c r="C57" s="13" t="s">
        <v>1003</v>
      </c>
      <c r="D57" s="13" t="s">
        <v>1004</v>
      </c>
      <c r="E57" s="14" t="s">
        <v>1005</v>
      </c>
      <c r="F57" s="58" t="s">
        <v>1006</v>
      </c>
      <c r="G57" s="58" t="s">
        <v>1006</v>
      </c>
      <c r="H57" s="13" t="s">
        <v>16</v>
      </c>
      <c r="I57" s="15" t="s">
        <v>1007</v>
      </c>
      <c r="J57" s="16" t="s">
        <v>375</v>
      </c>
      <c r="K57" s="15" t="s">
        <v>1007</v>
      </c>
      <c r="L57" s="16" t="s">
        <v>375</v>
      </c>
      <c r="M57" s="15" t="s">
        <v>1008</v>
      </c>
      <c r="N57" s="13" t="s">
        <v>13</v>
      </c>
      <c r="O57" s="13" t="s">
        <v>1009</v>
      </c>
      <c r="P57" s="13" t="s">
        <v>16</v>
      </c>
      <c r="Q57" s="17" t="s">
        <v>862</v>
      </c>
      <c r="R57" s="3" t="s">
        <v>16</v>
      </c>
      <c r="S57" s="3" t="s">
        <v>16</v>
      </c>
      <c r="T57" s="3" t="s">
        <v>16</v>
      </c>
      <c r="U57" s="18" t="s">
        <v>586</v>
      </c>
      <c r="V57" s="3" t="s">
        <v>380</v>
      </c>
      <c r="W57" s="13" t="s">
        <v>614</v>
      </c>
      <c r="X57" s="13" t="s">
        <v>47</v>
      </c>
      <c r="Y57" s="3" t="s">
        <v>16</v>
      </c>
      <c r="Z57" s="22" t="s">
        <v>16</v>
      </c>
      <c r="AA57" t="str">
        <f t="shared" si="0"/>
        <v>Not Matched</v>
      </c>
      <c r="AB57" s="83">
        <v>242596347</v>
      </c>
    </row>
    <row r="58" spans="1:28" ht="14.25" customHeight="1" x14ac:dyDescent="0.25">
      <c r="A58" s="13" t="s">
        <v>1010</v>
      </c>
      <c r="B58" s="13">
        <v>242596304</v>
      </c>
      <c r="C58" s="13" t="s">
        <v>1011</v>
      </c>
      <c r="D58" s="13" t="s">
        <v>1012</v>
      </c>
      <c r="E58" s="14" t="s">
        <v>1013</v>
      </c>
      <c r="F58" s="58" t="s">
        <v>1014</v>
      </c>
      <c r="G58" s="58" t="s">
        <v>1014</v>
      </c>
      <c r="H58" s="13" t="s">
        <v>16</v>
      </c>
      <c r="I58" s="15" t="s">
        <v>1015</v>
      </c>
      <c r="J58" s="16" t="s">
        <v>375</v>
      </c>
      <c r="K58" s="15" t="s">
        <v>1015</v>
      </c>
      <c r="L58" s="16" t="s">
        <v>375</v>
      </c>
      <c r="M58" s="15" t="s">
        <v>1016</v>
      </c>
      <c r="N58" s="13" t="s">
        <v>13</v>
      </c>
      <c r="O58" s="13" t="s">
        <v>1017</v>
      </c>
      <c r="P58" s="13" t="s">
        <v>16</v>
      </c>
      <c r="Q58" s="17" t="s">
        <v>1000</v>
      </c>
      <c r="R58" s="3" t="s">
        <v>16</v>
      </c>
      <c r="S58" s="3" t="s">
        <v>16</v>
      </c>
      <c r="T58" s="3" t="s">
        <v>16</v>
      </c>
      <c r="U58" s="18" t="s">
        <v>493</v>
      </c>
      <c r="V58" s="3" t="s">
        <v>380</v>
      </c>
      <c r="W58" s="13" t="s">
        <v>614</v>
      </c>
      <c r="X58" s="13" t="s">
        <v>47</v>
      </c>
      <c r="Y58" s="3" t="s">
        <v>1018</v>
      </c>
      <c r="Z58" s="21" t="s">
        <v>1019</v>
      </c>
      <c r="AA58" t="str">
        <f t="shared" si="0"/>
        <v>Not Matched</v>
      </c>
      <c r="AB58" s="82">
        <v>242596371</v>
      </c>
    </row>
    <row r="59" spans="1:28" ht="14.25" customHeight="1" x14ac:dyDescent="0.25">
      <c r="A59" s="13" t="s">
        <v>1020</v>
      </c>
      <c r="B59" s="13">
        <v>242601413</v>
      </c>
      <c r="C59" s="13" t="s">
        <v>1021</v>
      </c>
      <c r="D59" s="13" t="s">
        <v>1022</v>
      </c>
      <c r="E59" s="14" t="s">
        <v>1023</v>
      </c>
      <c r="F59" s="58" t="s">
        <v>1024</v>
      </c>
      <c r="G59" s="58" t="s">
        <v>1024</v>
      </c>
      <c r="H59" s="13" t="s">
        <v>16</v>
      </c>
      <c r="I59" s="15" t="s">
        <v>1025</v>
      </c>
      <c r="J59" s="16" t="s">
        <v>375</v>
      </c>
      <c r="K59" s="15" t="s">
        <v>1025</v>
      </c>
      <c r="L59" s="16" t="s">
        <v>375</v>
      </c>
      <c r="M59" s="15" t="s">
        <v>1026</v>
      </c>
      <c r="N59" s="13" t="s">
        <v>13</v>
      </c>
      <c r="O59" s="13" t="s">
        <v>1027</v>
      </c>
      <c r="P59" s="13" t="s">
        <v>16</v>
      </c>
      <c r="Q59" s="17" t="s">
        <v>1028</v>
      </c>
      <c r="R59" s="3" t="s">
        <v>16</v>
      </c>
      <c r="S59" s="3" t="s">
        <v>16</v>
      </c>
      <c r="T59" s="3" t="s">
        <v>16</v>
      </c>
      <c r="U59" s="18" t="s">
        <v>1029</v>
      </c>
      <c r="V59" s="3" t="s">
        <v>380</v>
      </c>
      <c r="W59" s="13" t="s">
        <v>614</v>
      </c>
      <c r="X59" s="13" t="s">
        <v>47</v>
      </c>
      <c r="Y59" s="3" t="s">
        <v>1030</v>
      </c>
      <c r="Z59" s="21" t="s">
        <v>1031</v>
      </c>
      <c r="AA59" t="str">
        <f t="shared" si="0"/>
        <v>Matched</v>
      </c>
      <c r="AB59" s="83">
        <v>242596452</v>
      </c>
    </row>
    <row r="60" spans="1:28" ht="14.25" customHeight="1" x14ac:dyDescent="0.25">
      <c r="A60" s="13" t="s">
        <v>1032</v>
      </c>
      <c r="B60" s="13">
        <v>242600239</v>
      </c>
      <c r="C60" s="13" t="s">
        <v>1033</v>
      </c>
      <c r="D60" s="13" t="s">
        <v>1034</v>
      </c>
      <c r="E60" s="14" t="s">
        <v>1035</v>
      </c>
      <c r="F60" s="58" t="s">
        <v>1036</v>
      </c>
      <c r="G60" s="58" t="s">
        <v>1036</v>
      </c>
      <c r="H60" s="13" t="s">
        <v>16</v>
      </c>
      <c r="I60" s="15" t="s">
        <v>1037</v>
      </c>
      <c r="J60" s="16" t="s">
        <v>375</v>
      </c>
      <c r="K60" s="15" t="s">
        <v>1037</v>
      </c>
      <c r="L60" s="16" t="s">
        <v>375</v>
      </c>
      <c r="M60" s="15" t="s">
        <v>1038</v>
      </c>
      <c r="N60" s="13" t="s">
        <v>13</v>
      </c>
      <c r="O60" s="13" t="s">
        <v>1039</v>
      </c>
      <c r="P60" s="13" t="s">
        <v>16</v>
      </c>
      <c r="Q60" s="17" t="s">
        <v>646</v>
      </c>
      <c r="R60" s="3" t="s">
        <v>16</v>
      </c>
      <c r="S60" s="3" t="s">
        <v>16</v>
      </c>
      <c r="T60" s="3" t="s">
        <v>16</v>
      </c>
      <c r="U60" s="18" t="s">
        <v>493</v>
      </c>
      <c r="V60" s="3" t="s">
        <v>380</v>
      </c>
      <c r="W60" s="13" t="s">
        <v>614</v>
      </c>
      <c r="X60" s="13" t="s">
        <v>47</v>
      </c>
      <c r="Y60" s="3" t="s">
        <v>1040</v>
      </c>
      <c r="Z60" s="21" t="s">
        <v>1041</v>
      </c>
      <c r="AA60" t="str">
        <f t="shared" si="0"/>
        <v>Matched</v>
      </c>
      <c r="AB60" s="83">
        <v>242600212</v>
      </c>
    </row>
    <row r="61" spans="1:28" ht="14.25" customHeight="1" x14ac:dyDescent="0.25">
      <c r="A61" s="13" t="s">
        <v>1042</v>
      </c>
      <c r="B61" s="13">
        <v>242600247</v>
      </c>
      <c r="C61" s="13" t="s">
        <v>1043</v>
      </c>
      <c r="D61" s="13" t="s">
        <v>1044</v>
      </c>
      <c r="E61" s="14" t="s">
        <v>1045</v>
      </c>
      <c r="F61" s="58" t="s">
        <v>1046</v>
      </c>
      <c r="G61" s="58" t="s">
        <v>1046</v>
      </c>
      <c r="H61" s="13" t="s">
        <v>16</v>
      </c>
      <c r="I61" s="15" t="s">
        <v>1047</v>
      </c>
      <c r="J61" s="16" t="s">
        <v>375</v>
      </c>
      <c r="K61" s="15" t="s">
        <v>1047</v>
      </c>
      <c r="L61" s="16" t="s">
        <v>375</v>
      </c>
      <c r="M61" s="15" t="s">
        <v>1048</v>
      </c>
      <c r="N61" s="13" t="s">
        <v>13</v>
      </c>
      <c r="O61" s="13" t="s">
        <v>1049</v>
      </c>
      <c r="P61" s="13" t="s">
        <v>16</v>
      </c>
      <c r="Q61" s="17" t="s">
        <v>1050</v>
      </c>
      <c r="R61" s="3" t="s">
        <v>16</v>
      </c>
      <c r="S61" s="3" t="s">
        <v>16</v>
      </c>
      <c r="T61" s="3" t="s">
        <v>16</v>
      </c>
      <c r="U61" s="18" t="s">
        <v>635</v>
      </c>
      <c r="V61" s="3" t="s">
        <v>380</v>
      </c>
      <c r="W61" s="13" t="s">
        <v>614</v>
      </c>
      <c r="X61" s="13" t="s">
        <v>47</v>
      </c>
      <c r="Y61" s="3" t="s">
        <v>1051</v>
      </c>
      <c r="Z61" s="21" t="s">
        <v>1052</v>
      </c>
      <c r="AA61" t="str">
        <f t="shared" si="0"/>
        <v>Matched</v>
      </c>
      <c r="AB61" s="82">
        <v>242597599</v>
      </c>
    </row>
    <row r="62" spans="1:28" ht="14.25" customHeight="1" x14ac:dyDescent="0.25">
      <c r="A62" s="13" t="s">
        <v>1053</v>
      </c>
      <c r="B62" s="13">
        <v>242601227</v>
      </c>
      <c r="C62" s="13" t="s">
        <v>1054</v>
      </c>
      <c r="D62" s="13" t="s">
        <v>1055</v>
      </c>
      <c r="E62" s="14" t="s">
        <v>1056</v>
      </c>
      <c r="F62" s="58" t="s">
        <v>1057</v>
      </c>
      <c r="G62" s="58" t="s">
        <v>1057</v>
      </c>
      <c r="H62" s="13" t="s">
        <v>16</v>
      </c>
      <c r="I62" s="15" t="s">
        <v>1058</v>
      </c>
      <c r="J62" s="16" t="s">
        <v>375</v>
      </c>
      <c r="K62" s="15" t="s">
        <v>1058</v>
      </c>
      <c r="L62" s="16" t="s">
        <v>375</v>
      </c>
      <c r="M62" s="15" t="s">
        <v>1059</v>
      </c>
      <c r="N62" s="13" t="s">
        <v>13</v>
      </c>
      <c r="O62" s="13" t="s">
        <v>1060</v>
      </c>
      <c r="P62" s="13" t="s">
        <v>16</v>
      </c>
      <c r="Q62" s="17" t="s">
        <v>1061</v>
      </c>
      <c r="R62" s="3" t="s">
        <v>16</v>
      </c>
      <c r="S62" s="3" t="s">
        <v>16</v>
      </c>
      <c r="T62" s="3" t="s">
        <v>16</v>
      </c>
      <c r="U62" s="18" t="s">
        <v>539</v>
      </c>
      <c r="V62" s="3" t="s">
        <v>380</v>
      </c>
      <c r="W62" s="13" t="s">
        <v>614</v>
      </c>
      <c r="X62" s="13" t="s">
        <v>47</v>
      </c>
      <c r="Y62" s="3" t="s">
        <v>16</v>
      </c>
      <c r="Z62" s="22" t="s">
        <v>16</v>
      </c>
      <c r="AA62" t="str">
        <f t="shared" si="0"/>
        <v>Not Matched</v>
      </c>
      <c r="AB62" s="83">
        <v>242596487</v>
      </c>
    </row>
    <row r="63" spans="1:28" ht="14.25" customHeight="1" x14ac:dyDescent="0.25">
      <c r="A63" s="13" t="s">
        <v>1062</v>
      </c>
      <c r="B63" s="13">
        <v>242596363</v>
      </c>
      <c r="C63" s="13" t="s">
        <v>1063</v>
      </c>
      <c r="D63" s="13" t="s">
        <v>1064</v>
      </c>
      <c r="E63" s="14" t="s">
        <v>1065</v>
      </c>
      <c r="F63" s="58" t="s">
        <v>1066</v>
      </c>
      <c r="G63" s="58" t="s">
        <v>1066</v>
      </c>
      <c r="H63" s="13" t="s">
        <v>16</v>
      </c>
      <c r="I63" s="15" t="s">
        <v>1067</v>
      </c>
      <c r="J63" s="16" t="s">
        <v>375</v>
      </c>
      <c r="K63" s="15" t="s">
        <v>1067</v>
      </c>
      <c r="L63" s="16" t="s">
        <v>375</v>
      </c>
      <c r="M63" s="15" t="s">
        <v>1068</v>
      </c>
      <c r="N63" s="13" t="s">
        <v>13</v>
      </c>
      <c r="O63" s="13" t="s">
        <v>1069</v>
      </c>
      <c r="P63" s="13" t="s">
        <v>16</v>
      </c>
      <c r="Q63" s="17" t="s">
        <v>1061</v>
      </c>
      <c r="R63" s="3" t="s">
        <v>16</v>
      </c>
      <c r="S63" s="3" t="s">
        <v>16</v>
      </c>
      <c r="T63" s="3" t="s">
        <v>16</v>
      </c>
      <c r="U63" s="18" t="s">
        <v>539</v>
      </c>
      <c r="V63" s="3" t="s">
        <v>380</v>
      </c>
      <c r="W63" s="13" t="s">
        <v>614</v>
      </c>
      <c r="X63" s="13" t="s">
        <v>47</v>
      </c>
      <c r="Y63" s="3" t="s">
        <v>16</v>
      </c>
      <c r="Z63" s="22" t="s">
        <v>16</v>
      </c>
      <c r="AA63" t="str">
        <f t="shared" si="0"/>
        <v>Not Matched</v>
      </c>
      <c r="AB63" s="83">
        <v>242600506</v>
      </c>
    </row>
    <row r="64" spans="1:28" ht="14.25" customHeight="1" x14ac:dyDescent="0.25">
      <c r="A64" s="13" t="s">
        <v>1070</v>
      </c>
      <c r="B64" s="13">
        <v>242595855</v>
      </c>
      <c r="C64" s="13" t="s">
        <v>1071</v>
      </c>
      <c r="D64" s="13" t="s">
        <v>1072</v>
      </c>
      <c r="E64" s="14" t="s">
        <v>1073</v>
      </c>
      <c r="F64" s="58" t="s">
        <v>1074</v>
      </c>
      <c r="G64" s="58" t="s">
        <v>1074</v>
      </c>
      <c r="H64" s="13" t="s">
        <v>16</v>
      </c>
      <c r="I64" s="15" t="s">
        <v>1075</v>
      </c>
      <c r="J64" s="16" t="s">
        <v>375</v>
      </c>
      <c r="K64" s="15" t="s">
        <v>1075</v>
      </c>
      <c r="L64" s="16" t="s">
        <v>375</v>
      </c>
      <c r="M64" s="15" t="s">
        <v>1076</v>
      </c>
      <c r="N64" s="13" t="s">
        <v>13</v>
      </c>
      <c r="O64" s="13" t="s">
        <v>1077</v>
      </c>
      <c r="P64" s="13" t="s">
        <v>16</v>
      </c>
      <c r="Q64" s="17" t="s">
        <v>1078</v>
      </c>
      <c r="R64" s="3" t="s">
        <v>16</v>
      </c>
      <c r="S64" s="3" t="s">
        <v>16</v>
      </c>
      <c r="T64" s="3" t="s">
        <v>16</v>
      </c>
      <c r="U64" s="18" t="s">
        <v>1079</v>
      </c>
      <c r="V64" s="3" t="s">
        <v>380</v>
      </c>
      <c r="W64" s="13" t="s">
        <v>614</v>
      </c>
      <c r="X64" s="13" t="s">
        <v>47</v>
      </c>
      <c r="Y64" s="3" t="s">
        <v>16</v>
      </c>
      <c r="Z64" s="22" t="s">
        <v>16</v>
      </c>
      <c r="AA64" t="str">
        <f t="shared" si="0"/>
        <v>Not Matched</v>
      </c>
      <c r="AB64" s="83">
        <v>242600514</v>
      </c>
    </row>
    <row r="65" spans="1:28" ht="14.25" customHeight="1" x14ac:dyDescent="0.25">
      <c r="A65" s="13" t="s">
        <v>1080</v>
      </c>
      <c r="B65" s="13">
        <v>242600883</v>
      </c>
      <c r="C65" s="13" t="s">
        <v>1081</v>
      </c>
      <c r="D65" s="13" t="s">
        <v>1082</v>
      </c>
      <c r="E65" s="19" t="s">
        <v>1083</v>
      </c>
      <c r="F65" s="58" t="s">
        <v>1084</v>
      </c>
      <c r="G65" s="58" t="s">
        <v>1084</v>
      </c>
      <c r="H65" s="13" t="s">
        <v>16</v>
      </c>
      <c r="I65" s="15" t="s">
        <v>1085</v>
      </c>
      <c r="J65" s="16" t="s">
        <v>375</v>
      </c>
      <c r="K65" s="15" t="s">
        <v>1085</v>
      </c>
      <c r="L65" s="16" t="s">
        <v>375</v>
      </c>
      <c r="M65" s="15" t="s">
        <v>1086</v>
      </c>
      <c r="N65" s="13" t="s">
        <v>13</v>
      </c>
      <c r="O65" s="13" t="s">
        <v>1087</v>
      </c>
      <c r="P65" s="13" t="s">
        <v>16</v>
      </c>
      <c r="Q65" s="17" t="s">
        <v>1088</v>
      </c>
      <c r="R65" s="3" t="s">
        <v>16</v>
      </c>
      <c r="S65" s="3" t="s">
        <v>16</v>
      </c>
      <c r="T65" s="3" t="s">
        <v>16</v>
      </c>
      <c r="U65" s="18" t="s">
        <v>1089</v>
      </c>
      <c r="V65" s="3" t="s">
        <v>380</v>
      </c>
      <c r="W65" s="13" t="s">
        <v>614</v>
      </c>
      <c r="X65" s="13" t="s">
        <v>47</v>
      </c>
      <c r="Y65" s="3" t="s">
        <v>16</v>
      </c>
      <c r="Z65" s="22" t="s">
        <v>16</v>
      </c>
      <c r="AA65" t="str">
        <f t="shared" si="0"/>
        <v>Not Matched</v>
      </c>
      <c r="AB65" s="83">
        <v>242596495</v>
      </c>
    </row>
    <row r="66" spans="1:28" ht="14.25" customHeight="1" x14ac:dyDescent="0.25">
      <c r="A66" s="13" t="s">
        <v>1090</v>
      </c>
      <c r="B66" s="13">
        <v>242597688</v>
      </c>
      <c r="C66" s="13" t="s">
        <v>1091</v>
      </c>
      <c r="D66" s="13" t="s">
        <v>1092</v>
      </c>
      <c r="E66" s="14" t="s">
        <v>1093</v>
      </c>
      <c r="F66" s="58" t="s">
        <v>1094</v>
      </c>
      <c r="G66" s="58" t="s">
        <v>1094</v>
      </c>
      <c r="H66" s="13" t="s">
        <v>16</v>
      </c>
      <c r="I66" s="15" t="s">
        <v>1095</v>
      </c>
      <c r="J66" s="16" t="s">
        <v>375</v>
      </c>
      <c r="K66" s="15" t="s">
        <v>1095</v>
      </c>
      <c r="L66" s="16" t="s">
        <v>375</v>
      </c>
      <c r="M66" s="15" t="s">
        <v>1096</v>
      </c>
      <c r="N66" s="13" t="s">
        <v>13</v>
      </c>
      <c r="O66" s="13" t="s">
        <v>1097</v>
      </c>
      <c r="P66" s="13" t="s">
        <v>16</v>
      </c>
      <c r="Q66" s="17" t="s">
        <v>839</v>
      </c>
      <c r="R66" s="3" t="s">
        <v>16</v>
      </c>
      <c r="S66" s="3" t="s">
        <v>16</v>
      </c>
      <c r="T66" s="3" t="s">
        <v>16</v>
      </c>
      <c r="U66" s="18" t="s">
        <v>840</v>
      </c>
      <c r="V66" s="3" t="s">
        <v>380</v>
      </c>
      <c r="W66" s="13" t="s">
        <v>614</v>
      </c>
      <c r="X66" s="13" t="s">
        <v>47</v>
      </c>
      <c r="Y66" s="3" t="s">
        <v>1098</v>
      </c>
      <c r="Z66" s="21" t="s">
        <v>1099</v>
      </c>
      <c r="AA66" t="str">
        <f t="shared" ref="AA66:AA129" si="1">IF(ISNA(MATCH(B66, AB:AB, 0)), "Not Matched", "Matched")</f>
        <v>Not Matched</v>
      </c>
      <c r="AB66" s="82">
        <v>242596509</v>
      </c>
    </row>
    <row r="67" spans="1:28" ht="14.25" customHeight="1" x14ac:dyDescent="0.25">
      <c r="A67" s="13" t="s">
        <v>1100</v>
      </c>
      <c r="B67" s="13">
        <v>242597696</v>
      </c>
      <c r="C67" s="13" t="s">
        <v>1101</v>
      </c>
      <c r="D67" s="13" t="s">
        <v>1102</v>
      </c>
      <c r="E67" s="14" t="s">
        <v>1103</v>
      </c>
      <c r="F67" s="58" t="s">
        <v>1104</v>
      </c>
      <c r="G67" s="58" t="s">
        <v>1104</v>
      </c>
      <c r="H67" s="13" t="s">
        <v>16</v>
      </c>
      <c r="I67" s="15" t="s">
        <v>1105</v>
      </c>
      <c r="J67" s="16" t="s">
        <v>375</v>
      </c>
      <c r="K67" s="15" t="s">
        <v>1105</v>
      </c>
      <c r="L67" s="16" t="s">
        <v>375</v>
      </c>
      <c r="M67" s="15" t="s">
        <v>1106</v>
      </c>
      <c r="N67" s="13" t="s">
        <v>13</v>
      </c>
      <c r="O67" s="13" t="s">
        <v>1107</v>
      </c>
      <c r="P67" s="13" t="s">
        <v>16</v>
      </c>
      <c r="Q67" s="17" t="s">
        <v>1108</v>
      </c>
      <c r="R67" s="3" t="s">
        <v>16</v>
      </c>
      <c r="S67" s="3" t="s">
        <v>16</v>
      </c>
      <c r="T67" s="3" t="s">
        <v>16</v>
      </c>
      <c r="U67" s="18" t="s">
        <v>1029</v>
      </c>
      <c r="V67" s="3" t="s">
        <v>380</v>
      </c>
      <c r="W67" s="13" t="s">
        <v>614</v>
      </c>
      <c r="X67" s="13" t="s">
        <v>47</v>
      </c>
      <c r="Y67" s="3" t="s">
        <v>16</v>
      </c>
      <c r="Z67" s="22" t="s">
        <v>16</v>
      </c>
      <c r="AA67" t="str">
        <f t="shared" si="1"/>
        <v>Not Matched</v>
      </c>
      <c r="AB67" s="83">
        <v>242600166</v>
      </c>
    </row>
    <row r="68" spans="1:28" ht="14.25" customHeight="1" x14ac:dyDescent="0.25">
      <c r="A68" s="13" t="s">
        <v>1109</v>
      </c>
      <c r="B68" s="13">
        <v>242596762</v>
      </c>
      <c r="C68" s="13" t="s">
        <v>1110</v>
      </c>
      <c r="D68" s="13" t="s">
        <v>1111</v>
      </c>
      <c r="E68" s="14" t="s">
        <v>1112</v>
      </c>
      <c r="F68" s="58" t="s">
        <v>1113</v>
      </c>
      <c r="G68" s="58" t="s">
        <v>1113</v>
      </c>
      <c r="H68" s="13" t="s">
        <v>16</v>
      </c>
      <c r="I68" s="15" t="s">
        <v>1114</v>
      </c>
      <c r="J68" s="16" t="s">
        <v>375</v>
      </c>
      <c r="K68" s="15" t="s">
        <v>1114</v>
      </c>
      <c r="L68" s="16" t="s">
        <v>375</v>
      </c>
      <c r="M68" s="15" t="s">
        <v>1115</v>
      </c>
      <c r="N68" s="13" t="s">
        <v>13</v>
      </c>
      <c r="O68" s="13" t="s">
        <v>1116</v>
      </c>
      <c r="P68" s="13" t="s">
        <v>16</v>
      </c>
      <c r="Q68" s="17" t="s">
        <v>623</v>
      </c>
      <c r="R68" s="3" t="s">
        <v>16</v>
      </c>
      <c r="S68" s="3" t="s">
        <v>16</v>
      </c>
      <c r="T68" s="3" t="s">
        <v>16</v>
      </c>
      <c r="U68" s="18" t="s">
        <v>557</v>
      </c>
      <c r="V68" s="3" t="s">
        <v>380</v>
      </c>
      <c r="W68" s="13" t="s">
        <v>614</v>
      </c>
      <c r="X68" s="13" t="s">
        <v>47</v>
      </c>
      <c r="Y68" s="12" t="s">
        <v>1117</v>
      </c>
      <c r="Z68" s="22" t="s">
        <v>16</v>
      </c>
      <c r="AA68" t="str">
        <f t="shared" si="1"/>
        <v>Matched</v>
      </c>
      <c r="AB68" s="82">
        <v>242600841</v>
      </c>
    </row>
    <row r="69" spans="1:28" ht="14.25" customHeight="1" x14ac:dyDescent="0.25">
      <c r="A69" s="13" t="s">
        <v>1118</v>
      </c>
      <c r="B69" s="13">
        <v>242598790</v>
      </c>
      <c r="C69" s="13" t="s">
        <v>1119</v>
      </c>
      <c r="D69" s="13" t="s">
        <v>1120</v>
      </c>
      <c r="E69" s="14" t="s">
        <v>1121</v>
      </c>
      <c r="F69" s="58" t="s">
        <v>1122</v>
      </c>
      <c r="G69" s="58" t="s">
        <v>1122</v>
      </c>
      <c r="H69" s="13" t="s">
        <v>16</v>
      </c>
      <c r="I69" s="15" t="s">
        <v>1123</v>
      </c>
      <c r="J69" s="16" t="s">
        <v>375</v>
      </c>
      <c r="K69" s="15" t="s">
        <v>1123</v>
      </c>
      <c r="L69" s="16" t="s">
        <v>375</v>
      </c>
      <c r="M69" s="15" t="s">
        <v>1124</v>
      </c>
      <c r="N69" s="13" t="s">
        <v>13</v>
      </c>
      <c r="O69" s="13" t="s">
        <v>1125</v>
      </c>
      <c r="P69" s="13" t="s">
        <v>16</v>
      </c>
      <c r="Q69" s="17" t="s">
        <v>1126</v>
      </c>
      <c r="R69" s="3" t="s">
        <v>16</v>
      </c>
      <c r="S69" s="3" t="s">
        <v>16</v>
      </c>
      <c r="T69" s="3" t="s">
        <v>16</v>
      </c>
      <c r="U69" s="18" t="s">
        <v>493</v>
      </c>
      <c r="V69" s="3" t="s">
        <v>380</v>
      </c>
      <c r="W69" s="13" t="s">
        <v>614</v>
      </c>
      <c r="X69" s="13" t="s">
        <v>47</v>
      </c>
      <c r="Y69" s="12" t="s">
        <v>1127</v>
      </c>
      <c r="Z69" s="22" t="s">
        <v>16</v>
      </c>
      <c r="AA69" t="str">
        <f t="shared" si="1"/>
        <v>Matched</v>
      </c>
      <c r="AB69" s="83">
        <v>242597203</v>
      </c>
    </row>
    <row r="70" spans="1:28" ht="14.25" customHeight="1" x14ac:dyDescent="0.25">
      <c r="A70" s="13" t="s">
        <v>1128</v>
      </c>
      <c r="B70" s="13">
        <v>242595952</v>
      </c>
      <c r="C70" s="13" t="s">
        <v>1129</v>
      </c>
      <c r="D70" s="13" t="s">
        <v>1130</v>
      </c>
      <c r="E70" s="14" t="s">
        <v>1131</v>
      </c>
      <c r="F70" s="58" t="s">
        <v>1132</v>
      </c>
      <c r="G70" s="58" t="s">
        <v>1132</v>
      </c>
      <c r="H70" s="13" t="s">
        <v>16</v>
      </c>
      <c r="I70" s="15" t="s">
        <v>1133</v>
      </c>
      <c r="J70" s="16" t="s">
        <v>375</v>
      </c>
      <c r="K70" s="15" t="s">
        <v>1133</v>
      </c>
      <c r="L70" s="16" t="s">
        <v>375</v>
      </c>
      <c r="M70" s="15" t="s">
        <v>1134</v>
      </c>
      <c r="N70" s="13" t="s">
        <v>13</v>
      </c>
      <c r="O70" s="13" t="s">
        <v>1135</v>
      </c>
      <c r="P70" s="13" t="s">
        <v>16</v>
      </c>
      <c r="Q70" s="17" t="s">
        <v>817</v>
      </c>
      <c r="R70" s="3" t="s">
        <v>16</v>
      </c>
      <c r="S70" s="3" t="s">
        <v>16</v>
      </c>
      <c r="T70" s="3" t="s">
        <v>16</v>
      </c>
      <c r="U70" s="18" t="s">
        <v>557</v>
      </c>
      <c r="V70" s="3" t="s">
        <v>380</v>
      </c>
      <c r="W70" s="13" t="s">
        <v>614</v>
      </c>
      <c r="X70" s="13" t="s">
        <v>47</v>
      </c>
      <c r="Y70" s="12" t="s">
        <v>1136</v>
      </c>
      <c r="Z70" s="22" t="s">
        <v>16</v>
      </c>
      <c r="AA70" t="str">
        <f t="shared" si="1"/>
        <v>Matched</v>
      </c>
      <c r="AB70" s="83">
        <v>242599176</v>
      </c>
    </row>
    <row r="71" spans="1:28" ht="14.25" customHeight="1" x14ac:dyDescent="0.25">
      <c r="A71" s="13" t="s">
        <v>1137</v>
      </c>
      <c r="B71" s="13">
        <v>242595961</v>
      </c>
      <c r="C71" s="13" t="s">
        <v>1138</v>
      </c>
      <c r="D71" s="13" t="s">
        <v>1139</v>
      </c>
      <c r="E71" s="14" t="s">
        <v>1140</v>
      </c>
      <c r="F71" s="58" t="s">
        <v>1141</v>
      </c>
      <c r="G71" s="58" t="s">
        <v>1141</v>
      </c>
      <c r="H71" s="13" t="s">
        <v>16</v>
      </c>
      <c r="I71" s="15" t="s">
        <v>1142</v>
      </c>
      <c r="J71" s="16" t="s">
        <v>375</v>
      </c>
      <c r="K71" s="15" t="s">
        <v>1142</v>
      </c>
      <c r="L71" s="16" t="s">
        <v>375</v>
      </c>
      <c r="M71" s="15" t="s">
        <v>1143</v>
      </c>
      <c r="N71" s="13" t="s">
        <v>13</v>
      </c>
      <c r="O71" s="13" t="s">
        <v>1144</v>
      </c>
      <c r="P71" s="13" t="s">
        <v>16</v>
      </c>
      <c r="Q71" s="17" t="s">
        <v>1145</v>
      </c>
      <c r="R71" s="3" t="s">
        <v>16</v>
      </c>
      <c r="S71" s="3" t="s">
        <v>16</v>
      </c>
      <c r="T71" s="3" t="s">
        <v>16</v>
      </c>
      <c r="U71" s="18" t="s">
        <v>1146</v>
      </c>
      <c r="V71" s="3" t="s">
        <v>380</v>
      </c>
      <c r="W71" s="13" t="s">
        <v>614</v>
      </c>
      <c r="X71" s="13" t="s">
        <v>47</v>
      </c>
      <c r="Y71" s="3" t="s">
        <v>1147</v>
      </c>
      <c r="Z71" s="21" t="s">
        <v>1148</v>
      </c>
      <c r="AA71" t="str">
        <f t="shared" si="1"/>
        <v>Matched</v>
      </c>
      <c r="AB71" s="83">
        <v>242596568</v>
      </c>
    </row>
    <row r="72" spans="1:28" ht="14.25" customHeight="1" x14ac:dyDescent="0.25">
      <c r="A72" s="13" t="s">
        <v>1149</v>
      </c>
      <c r="B72" s="13">
        <v>242597149</v>
      </c>
      <c r="C72" s="13" t="s">
        <v>1150</v>
      </c>
      <c r="D72" s="13" t="s">
        <v>1151</v>
      </c>
      <c r="E72" s="14" t="s">
        <v>1152</v>
      </c>
      <c r="F72" s="58" t="s">
        <v>1153</v>
      </c>
      <c r="G72" s="58" t="s">
        <v>1153</v>
      </c>
      <c r="H72" s="13" t="s">
        <v>16</v>
      </c>
      <c r="I72" s="15" t="s">
        <v>1154</v>
      </c>
      <c r="J72" s="16" t="s">
        <v>375</v>
      </c>
      <c r="K72" s="15" t="s">
        <v>1154</v>
      </c>
      <c r="L72" s="16" t="s">
        <v>375</v>
      </c>
      <c r="M72" s="15" t="s">
        <v>1155</v>
      </c>
      <c r="N72" s="13" t="s">
        <v>13</v>
      </c>
      <c r="O72" s="13" t="s">
        <v>1156</v>
      </c>
      <c r="P72" s="13" t="s">
        <v>16</v>
      </c>
      <c r="Q72" s="17" t="s">
        <v>1108</v>
      </c>
      <c r="R72" s="3" t="s">
        <v>16</v>
      </c>
      <c r="S72" s="3" t="s">
        <v>16</v>
      </c>
      <c r="T72" s="3" t="s">
        <v>16</v>
      </c>
      <c r="U72" s="18" t="s">
        <v>1029</v>
      </c>
      <c r="V72" s="3" t="s">
        <v>380</v>
      </c>
      <c r="W72" s="13" t="s">
        <v>614</v>
      </c>
      <c r="X72" s="13" t="s">
        <v>47</v>
      </c>
      <c r="Y72" s="3" t="s">
        <v>1157</v>
      </c>
      <c r="Z72" s="21" t="s">
        <v>1158</v>
      </c>
      <c r="AA72" t="str">
        <f t="shared" si="1"/>
        <v>Not Matched</v>
      </c>
      <c r="AB72" s="83">
        <v>242596622</v>
      </c>
    </row>
    <row r="73" spans="1:28" ht="14.25" customHeight="1" x14ac:dyDescent="0.25">
      <c r="A73" s="13" t="s">
        <v>1159</v>
      </c>
      <c r="B73" s="13">
        <v>242596096</v>
      </c>
      <c r="C73" s="13" t="s">
        <v>1160</v>
      </c>
      <c r="D73" s="13" t="s">
        <v>1161</v>
      </c>
      <c r="E73" s="14" t="s">
        <v>1162</v>
      </c>
      <c r="F73" s="58" t="s">
        <v>1163</v>
      </c>
      <c r="G73" s="58" t="s">
        <v>1163</v>
      </c>
      <c r="H73" s="13" t="s">
        <v>16</v>
      </c>
      <c r="I73" s="15" t="s">
        <v>1164</v>
      </c>
      <c r="J73" s="16" t="s">
        <v>375</v>
      </c>
      <c r="K73" s="15" t="s">
        <v>1164</v>
      </c>
      <c r="L73" s="16" t="s">
        <v>375</v>
      </c>
      <c r="M73" s="15" t="s">
        <v>1165</v>
      </c>
      <c r="N73" s="13" t="s">
        <v>13</v>
      </c>
      <c r="O73" s="13" t="s">
        <v>1166</v>
      </c>
      <c r="P73" s="13" t="s">
        <v>16</v>
      </c>
      <c r="Q73" s="17" t="s">
        <v>1167</v>
      </c>
      <c r="R73" s="3" t="s">
        <v>16</v>
      </c>
      <c r="S73" s="3" t="s">
        <v>16</v>
      </c>
      <c r="T73" s="3" t="s">
        <v>16</v>
      </c>
      <c r="U73" s="18" t="s">
        <v>840</v>
      </c>
      <c r="V73" s="3" t="s">
        <v>380</v>
      </c>
      <c r="W73" s="13" t="s">
        <v>614</v>
      </c>
      <c r="X73" s="13" t="s">
        <v>47</v>
      </c>
      <c r="Y73" s="12" t="s">
        <v>1168</v>
      </c>
      <c r="Z73" s="22" t="s">
        <v>16</v>
      </c>
      <c r="AA73" t="str">
        <f t="shared" si="1"/>
        <v>Matched</v>
      </c>
      <c r="AB73" s="83">
        <v>242597238</v>
      </c>
    </row>
    <row r="74" spans="1:28" ht="14.25" customHeight="1" x14ac:dyDescent="0.25">
      <c r="A74" s="13" t="s">
        <v>1169</v>
      </c>
      <c r="B74" s="13">
        <v>242596100</v>
      </c>
      <c r="C74" s="13" t="s">
        <v>1170</v>
      </c>
      <c r="D74" s="13" t="s">
        <v>1171</v>
      </c>
      <c r="E74" s="14" t="s">
        <v>1172</v>
      </c>
      <c r="F74" s="58" t="s">
        <v>1173</v>
      </c>
      <c r="G74" s="58" t="s">
        <v>1173</v>
      </c>
      <c r="H74" s="13" t="s">
        <v>16</v>
      </c>
      <c r="I74" s="15" t="s">
        <v>1174</v>
      </c>
      <c r="J74" s="16" t="s">
        <v>375</v>
      </c>
      <c r="K74" s="15" t="s">
        <v>1174</v>
      </c>
      <c r="L74" s="16" t="s">
        <v>375</v>
      </c>
      <c r="M74" s="15" t="s">
        <v>1175</v>
      </c>
      <c r="N74" s="13" t="s">
        <v>13</v>
      </c>
      <c r="O74" s="13" t="s">
        <v>1176</v>
      </c>
      <c r="P74" s="13" t="s">
        <v>16</v>
      </c>
      <c r="Q74" s="17" t="s">
        <v>1177</v>
      </c>
      <c r="R74" s="3" t="s">
        <v>16</v>
      </c>
      <c r="S74" s="3" t="s">
        <v>16</v>
      </c>
      <c r="T74" s="3" t="s">
        <v>16</v>
      </c>
      <c r="U74" s="18" t="s">
        <v>1178</v>
      </c>
      <c r="V74" s="3" t="s">
        <v>380</v>
      </c>
      <c r="W74" s="13" t="s">
        <v>614</v>
      </c>
      <c r="X74" s="13" t="s">
        <v>47</v>
      </c>
      <c r="Y74" s="3" t="s">
        <v>1179</v>
      </c>
      <c r="Z74" s="21" t="s">
        <v>1180</v>
      </c>
      <c r="AA74" t="str">
        <f t="shared" si="1"/>
        <v>Matched</v>
      </c>
      <c r="AB74" s="83">
        <v>242601006</v>
      </c>
    </row>
    <row r="75" spans="1:28" ht="14.25" customHeight="1" x14ac:dyDescent="0.25">
      <c r="A75" s="13" t="s">
        <v>1181</v>
      </c>
      <c r="B75" s="13">
        <v>242600107</v>
      </c>
      <c r="C75" s="13" t="s">
        <v>1182</v>
      </c>
      <c r="D75" s="13" t="s">
        <v>1183</v>
      </c>
      <c r="E75" s="14" t="s">
        <v>1184</v>
      </c>
      <c r="F75" s="58" t="s">
        <v>1185</v>
      </c>
      <c r="G75" s="58" t="s">
        <v>1185</v>
      </c>
      <c r="H75" s="13" t="s">
        <v>16</v>
      </c>
      <c r="I75" s="15" t="s">
        <v>1186</v>
      </c>
      <c r="J75" s="16" t="s">
        <v>375</v>
      </c>
      <c r="K75" s="15" t="s">
        <v>1186</v>
      </c>
      <c r="L75" s="16" t="s">
        <v>375</v>
      </c>
      <c r="M75" s="15" t="s">
        <v>1187</v>
      </c>
      <c r="N75" s="13" t="s">
        <v>13</v>
      </c>
      <c r="O75" s="13" t="s">
        <v>1188</v>
      </c>
      <c r="P75" s="13" t="s">
        <v>16</v>
      </c>
      <c r="Q75" s="17" t="s">
        <v>1061</v>
      </c>
      <c r="R75" s="3" t="s">
        <v>16</v>
      </c>
      <c r="S75" s="3" t="s">
        <v>16</v>
      </c>
      <c r="T75" s="3" t="s">
        <v>16</v>
      </c>
      <c r="U75" s="18" t="s">
        <v>539</v>
      </c>
      <c r="V75" s="3" t="s">
        <v>380</v>
      </c>
      <c r="W75" s="13" t="s">
        <v>614</v>
      </c>
      <c r="X75" s="13" t="s">
        <v>47</v>
      </c>
      <c r="Y75" s="3" t="s">
        <v>1189</v>
      </c>
      <c r="Z75" s="21" t="s">
        <v>1190</v>
      </c>
      <c r="AA75" t="str">
        <f t="shared" si="1"/>
        <v>Matched</v>
      </c>
      <c r="AB75" s="83">
        <v>242596711</v>
      </c>
    </row>
    <row r="76" spans="1:28" ht="14.25" customHeight="1" x14ac:dyDescent="0.25">
      <c r="A76" s="13" t="s">
        <v>1191</v>
      </c>
      <c r="B76" s="13">
        <v>242600115</v>
      </c>
      <c r="C76" s="13" t="s">
        <v>1192</v>
      </c>
      <c r="D76" s="13" t="s">
        <v>1193</v>
      </c>
      <c r="E76" s="14" t="s">
        <v>1194</v>
      </c>
      <c r="F76" s="58" t="s">
        <v>1195</v>
      </c>
      <c r="G76" s="58" t="s">
        <v>1195</v>
      </c>
      <c r="H76" s="13" t="s">
        <v>16</v>
      </c>
      <c r="I76" s="15" t="s">
        <v>1196</v>
      </c>
      <c r="J76" s="16" t="s">
        <v>375</v>
      </c>
      <c r="K76" s="15" t="s">
        <v>1196</v>
      </c>
      <c r="L76" s="16" t="s">
        <v>375</v>
      </c>
      <c r="M76" s="15" t="s">
        <v>1197</v>
      </c>
      <c r="N76" s="13" t="s">
        <v>13</v>
      </c>
      <c r="O76" s="13" t="s">
        <v>1198</v>
      </c>
      <c r="P76" s="13" t="s">
        <v>16</v>
      </c>
      <c r="Q76" s="17" t="s">
        <v>1126</v>
      </c>
      <c r="R76" s="3" t="s">
        <v>16</v>
      </c>
      <c r="S76" s="3" t="s">
        <v>16</v>
      </c>
      <c r="T76" s="3" t="s">
        <v>16</v>
      </c>
      <c r="U76" s="18" t="s">
        <v>493</v>
      </c>
      <c r="V76" s="3" t="s">
        <v>380</v>
      </c>
      <c r="W76" s="13" t="s">
        <v>614</v>
      </c>
      <c r="X76" s="13" t="s">
        <v>47</v>
      </c>
      <c r="Y76" s="3" t="s">
        <v>16</v>
      </c>
      <c r="Z76" s="22" t="s">
        <v>16</v>
      </c>
      <c r="AA76" t="str">
        <f t="shared" si="1"/>
        <v>Not Matched</v>
      </c>
      <c r="AB76" s="82">
        <v>242596762</v>
      </c>
    </row>
    <row r="77" spans="1:28" ht="14.25" customHeight="1" x14ac:dyDescent="0.25">
      <c r="A77" s="13" t="s">
        <v>1199</v>
      </c>
      <c r="B77" s="13">
        <v>242600531</v>
      </c>
      <c r="C77" s="13" t="s">
        <v>1200</v>
      </c>
      <c r="D77" s="13" t="s">
        <v>1201</v>
      </c>
      <c r="E77" s="14" t="s">
        <v>1202</v>
      </c>
      <c r="F77" s="58" t="s">
        <v>1203</v>
      </c>
      <c r="G77" s="58" t="s">
        <v>1203</v>
      </c>
      <c r="H77" s="13" t="s">
        <v>16</v>
      </c>
      <c r="I77" s="15" t="s">
        <v>1204</v>
      </c>
      <c r="J77" s="16" t="s">
        <v>375</v>
      </c>
      <c r="K77" s="15" t="s">
        <v>1204</v>
      </c>
      <c r="L77" s="16" t="s">
        <v>375</v>
      </c>
      <c r="M77" s="15" t="s">
        <v>1205</v>
      </c>
      <c r="N77" s="13" t="s">
        <v>13</v>
      </c>
      <c r="O77" s="13" t="s">
        <v>1206</v>
      </c>
      <c r="P77" s="13" t="s">
        <v>16</v>
      </c>
      <c r="Q77" s="17" t="s">
        <v>697</v>
      </c>
      <c r="R77" s="3" t="s">
        <v>16</v>
      </c>
      <c r="S77" s="3" t="s">
        <v>16</v>
      </c>
      <c r="T77" s="3" t="s">
        <v>16</v>
      </c>
      <c r="U77" s="18" t="s">
        <v>698</v>
      </c>
      <c r="V77" s="3" t="s">
        <v>380</v>
      </c>
      <c r="W77" s="13" t="s">
        <v>614</v>
      </c>
      <c r="X77" s="13" t="s">
        <v>47</v>
      </c>
      <c r="Y77" s="12" t="s">
        <v>1207</v>
      </c>
      <c r="Z77" s="22" t="s">
        <v>16</v>
      </c>
      <c r="AA77" t="str">
        <f t="shared" si="1"/>
        <v>Not Matched</v>
      </c>
      <c r="AB77" s="82">
        <v>242596789</v>
      </c>
    </row>
    <row r="78" spans="1:28" ht="14.25" customHeight="1" x14ac:dyDescent="0.25">
      <c r="A78" s="13" t="s">
        <v>1208</v>
      </c>
      <c r="B78" s="13">
        <v>340660651</v>
      </c>
      <c r="C78" s="13" t="s">
        <v>1209</v>
      </c>
      <c r="D78" s="13" t="s">
        <v>1210</v>
      </c>
      <c r="E78" s="14" t="s">
        <v>1211</v>
      </c>
      <c r="F78" s="58" t="s">
        <v>1212</v>
      </c>
      <c r="G78" s="58" t="s">
        <v>1212</v>
      </c>
      <c r="H78" s="13" t="s">
        <v>16</v>
      </c>
      <c r="I78" s="15" t="s">
        <v>1213</v>
      </c>
      <c r="J78" s="16" t="s">
        <v>375</v>
      </c>
      <c r="K78" s="15" t="s">
        <v>1213</v>
      </c>
      <c r="L78" s="16" t="s">
        <v>375</v>
      </c>
      <c r="M78" s="15" t="s">
        <v>1214</v>
      </c>
      <c r="N78" s="13" t="s">
        <v>13</v>
      </c>
      <c r="O78" s="13" t="s">
        <v>1215</v>
      </c>
      <c r="P78" s="13" t="s">
        <v>16</v>
      </c>
      <c r="Q78" s="17" t="s">
        <v>657</v>
      </c>
      <c r="R78" s="3" t="s">
        <v>16</v>
      </c>
      <c r="S78" s="3" t="s">
        <v>16</v>
      </c>
      <c r="T78" s="3" t="s">
        <v>16</v>
      </c>
      <c r="U78" s="18" t="s">
        <v>658</v>
      </c>
      <c r="V78" s="3" t="s">
        <v>380</v>
      </c>
      <c r="W78" s="13" t="s">
        <v>614</v>
      </c>
      <c r="X78" s="13" t="s">
        <v>47</v>
      </c>
      <c r="Y78" s="134" t="s">
        <v>1216</v>
      </c>
      <c r="Z78" s="21" t="s">
        <v>1217</v>
      </c>
      <c r="AA78" t="str">
        <f t="shared" si="1"/>
        <v>Matched</v>
      </c>
      <c r="AB78" s="82">
        <v>242596797</v>
      </c>
    </row>
    <row r="79" spans="1:28" ht="14.25" customHeight="1" x14ac:dyDescent="0.25">
      <c r="A79" s="13" t="s">
        <v>1218</v>
      </c>
      <c r="B79" s="13">
        <v>340002565</v>
      </c>
      <c r="C79" s="13" t="s">
        <v>1219</v>
      </c>
      <c r="D79" s="13" t="s">
        <v>1220</v>
      </c>
      <c r="E79" s="14" t="s">
        <v>1221</v>
      </c>
      <c r="F79" s="58" t="s">
        <v>1222</v>
      </c>
      <c r="G79" s="58" t="s">
        <v>1222</v>
      </c>
      <c r="H79" s="13" t="s">
        <v>16</v>
      </c>
      <c r="I79" s="15" t="s">
        <v>1223</v>
      </c>
      <c r="J79" s="16" t="s">
        <v>375</v>
      </c>
      <c r="K79" s="15" t="s">
        <v>1223</v>
      </c>
      <c r="L79" s="16" t="s">
        <v>375</v>
      </c>
      <c r="M79" s="15" t="s">
        <v>1224</v>
      </c>
      <c r="N79" s="13" t="s">
        <v>13</v>
      </c>
      <c r="O79" s="13" t="s">
        <v>1225</v>
      </c>
      <c r="P79" s="13" t="s">
        <v>16</v>
      </c>
      <c r="Q79" s="17" t="s">
        <v>1050</v>
      </c>
      <c r="R79" s="3" t="s">
        <v>16</v>
      </c>
      <c r="S79" s="3" t="s">
        <v>16</v>
      </c>
      <c r="T79" s="3" t="s">
        <v>16</v>
      </c>
      <c r="U79" s="18" t="s">
        <v>635</v>
      </c>
      <c r="V79" s="3" t="s">
        <v>380</v>
      </c>
      <c r="W79" s="13" t="s">
        <v>614</v>
      </c>
      <c r="X79" s="13" t="s">
        <v>47</v>
      </c>
      <c r="Y79" s="134" t="s">
        <v>1226</v>
      </c>
      <c r="Z79" s="23" t="s">
        <v>1227</v>
      </c>
      <c r="AA79" t="str">
        <f t="shared" si="1"/>
        <v>Matched</v>
      </c>
      <c r="AB79" s="82">
        <v>242599800</v>
      </c>
    </row>
    <row r="80" spans="1:28" ht="14.25" customHeight="1" x14ac:dyDescent="0.25">
      <c r="A80" s="13" t="s">
        <v>1228</v>
      </c>
      <c r="B80" s="13">
        <v>340002638</v>
      </c>
      <c r="C80" s="13" t="s">
        <v>1229</v>
      </c>
      <c r="D80" s="13" t="s">
        <v>1230</v>
      </c>
      <c r="E80" s="14" t="s">
        <v>1231</v>
      </c>
      <c r="F80" s="58" t="s">
        <v>1232</v>
      </c>
      <c r="G80" s="58" t="s">
        <v>1232</v>
      </c>
      <c r="H80" s="13" t="s">
        <v>16</v>
      </c>
      <c r="I80" s="15" t="s">
        <v>1233</v>
      </c>
      <c r="J80" s="16" t="s">
        <v>375</v>
      </c>
      <c r="K80" s="15" t="s">
        <v>1233</v>
      </c>
      <c r="L80" s="16" t="s">
        <v>375</v>
      </c>
      <c r="M80" s="15" t="s">
        <v>1234</v>
      </c>
      <c r="N80" s="13" t="s">
        <v>13</v>
      </c>
      <c r="O80" s="13" t="s">
        <v>1235</v>
      </c>
      <c r="P80" s="13" t="s">
        <v>16</v>
      </c>
      <c r="Q80" s="17" t="s">
        <v>1236</v>
      </c>
      <c r="R80" s="3" t="s">
        <v>16</v>
      </c>
      <c r="S80" s="3" t="s">
        <v>16</v>
      </c>
      <c r="T80" s="3" t="s">
        <v>16</v>
      </c>
      <c r="U80" s="18" t="s">
        <v>379</v>
      </c>
      <c r="V80" s="3" t="s">
        <v>380</v>
      </c>
      <c r="W80" s="13" t="s">
        <v>614</v>
      </c>
      <c r="X80" s="13" t="s">
        <v>47</v>
      </c>
      <c r="Y80" s="134" t="s">
        <v>1237</v>
      </c>
      <c r="Z80" s="21" t="s">
        <v>1238</v>
      </c>
      <c r="AA80" t="str">
        <f t="shared" si="1"/>
        <v>Matched</v>
      </c>
      <c r="AB80" s="83">
        <v>242601430</v>
      </c>
    </row>
    <row r="81" spans="1:28" ht="14.25" customHeight="1" x14ac:dyDescent="0.25">
      <c r="A81" s="13" t="s">
        <v>1239</v>
      </c>
      <c r="B81" s="13">
        <v>340000244</v>
      </c>
      <c r="C81" s="13" t="s">
        <v>1240</v>
      </c>
      <c r="D81" s="13" t="s">
        <v>1241</v>
      </c>
      <c r="E81" s="14" t="s">
        <v>1242</v>
      </c>
      <c r="F81" s="58" t="s">
        <v>1243</v>
      </c>
      <c r="G81" s="58" t="s">
        <v>1243</v>
      </c>
      <c r="H81" s="13" t="s">
        <v>16</v>
      </c>
      <c r="I81" s="15" t="s">
        <v>1244</v>
      </c>
      <c r="J81" s="16" t="s">
        <v>375</v>
      </c>
      <c r="K81" s="15" t="s">
        <v>1244</v>
      </c>
      <c r="L81" s="16" t="s">
        <v>375</v>
      </c>
      <c r="M81" s="15" t="s">
        <v>1245</v>
      </c>
      <c r="N81" s="13" t="s">
        <v>13</v>
      </c>
      <c r="O81" s="13" t="s">
        <v>1246</v>
      </c>
      <c r="P81" s="13" t="s">
        <v>16</v>
      </c>
      <c r="Q81" s="17" t="s">
        <v>1247</v>
      </c>
      <c r="R81" s="3" t="s">
        <v>16</v>
      </c>
      <c r="S81" s="3" t="s">
        <v>16</v>
      </c>
      <c r="T81" s="3" t="s">
        <v>16</v>
      </c>
      <c r="U81" s="18" t="s">
        <v>557</v>
      </c>
      <c r="V81" s="3" t="s">
        <v>380</v>
      </c>
      <c r="W81" s="13" t="s">
        <v>614</v>
      </c>
      <c r="X81" s="13" t="s">
        <v>47</v>
      </c>
      <c r="Y81" s="134" t="s">
        <v>1248</v>
      </c>
      <c r="Z81" s="21" t="s">
        <v>1249</v>
      </c>
      <c r="AA81" t="str">
        <f t="shared" si="1"/>
        <v>Matched</v>
      </c>
      <c r="AB81" s="83">
        <v>242601448</v>
      </c>
    </row>
    <row r="82" spans="1:28" ht="14.25" customHeight="1" x14ac:dyDescent="0.25">
      <c r="A82" s="13" t="s">
        <v>1250</v>
      </c>
      <c r="B82" s="13">
        <v>340863510</v>
      </c>
      <c r="C82" s="13" t="s">
        <v>1251</v>
      </c>
      <c r="D82" s="13" t="s">
        <v>1252</v>
      </c>
      <c r="E82" s="14" t="s">
        <v>1253</v>
      </c>
      <c r="F82" s="58" t="s">
        <v>1254</v>
      </c>
      <c r="G82" s="58" t="s">
        <v>1254</v>
      </c>
      <c r="H82" s="13" t="s">
        <v>16</v>
      </c>
      <c r="I82" s="15" t="s">
        <v>1255</v>
      </c>
      <c r="J82" s="16" t="s">
        <v>375</v>
      </c>
      <c r="K82" s="15" t="s">
        <v>1255</v>
      </c>
      <c r="L82" s="16" t="s">
        <v>375</v>
      </c>
      <c r="M82" s="15" t="s">
        <v>1256</v>
      </c>
      <c r="N82" s="13" t="s">
        <v>13</v>
      </c>
      <c r="O82" s="13" t="s">
        <v>1257</v>
      </c>
      <c r="P82" s="13" t="s">
        <v>16</v>
      </c>
      <c r="Q82" s="17" t="s">
        <v>1258</v>
      </c>
      <c r="R82" s="3" t="s">
        <v>16</v>
      </c>
      <c r="S82" s="3" t="s">
        <v>16</v>
      </c>
      <c r="T82" s="3" t="s">
        <v>16</v>
      </c>
      <c r="U82" s="18" t="s">
        <v>1079</v>
      </c>
      <c r="V82" s="3" t="s">
        <v>380</v>
      </c>
      <c r="W82" s="13" t="s">
        <v>614</v>
      </c>
      <c r="X82" s="13" t="s">
        <v>47</v>
      </c>
      <c r="Y82" s="134" t="s">
        <v>1259</v>
      </c>
      <c r="Z82" s="22" t="s">
        <v>16</v>
      </c>
      <c r="AA82" t="str">
        <f t="shared" si="1"/>
        <v>Matched</v>
      </c>
      <c r="AB82" s="83">
        <v>242596835</v>
      </c>
    </row>
    <row r="83" spans="1:28" ht="14.25" customHeight="1" x14ac:dyDescent="0.25">
      <c r="A83" s="13" t="s">
        <v>1260</v>
      </c>
      <c r="B83" s="13">
        <v>340001992</v>
      </c>
      <c r="C83" s="13" t="s">
        <v>1261</v>
      </c>
      <c r="D83" s="13" t="s">
        <v>1262</v>
      </c>
      <c r="E83" s="14" t="s">
        <v>1263</v>
      </c>
      <c r="F83" s="58" t="s">
        <v>1264</v>
      </c>
      <c r="G83" s="58" t="s">
        <v>1264</v>
      </c>
      <c r="H83" s="13" t="s">
        <v>16</v>
      </c>
      <c r="I83" s="15" t="s">
        <v>1265</v>
      </c>
      <c r="J83" s="16" t="s">
        <v>375</v>
      </c>
      <c r="K83" s="15" t="s">
        <v>1265</v>
      </c>
      <c r="L83" s="16" t="s">
        <v>375</v>
      </c>
      <c r="M83" s="15" t="s">
        <v>1266</v>
      </c>
      <c r="N83" s="13" t="s">
        <v>13</v>
      </c>
      <c r="O83" s="13" t="s">
        <v>1267</v>
      </c>
      <c r="P83" s="13" t="s">
        <v>16</v>
      </c>
      <c r="Q83" s="17" t="s">
        <v>1268</v>
      </c>
      <c r="R83" s="3" t="s">
        <v>16</v>
      </c>
      <c r="S83" s="3" t="s">
        <v>16</v>
      </c>
      <c r="T83" s="3" t="s">
        <v>16</v>
      </c>
      <c r="U83" s="18" t="s">
        <v>567</v>
      </c>
      <c r="V83" s="3" t="s">
        <v>380</v>
      </c>
      <c r="W83" s="13" t="s">
        <v>614</v>
      </c>
      <c r="X83" s="13" t="s">
        <v>47</v>
      </c>
      <c r="Y83" s="134" t="s">
        <v>1269</v>
      </c>
      <c r="Z83" s="21" t="s">
        <v>1270</v>
      </c>
      <c r="AA83" t="str">
        <f t="shared" si="1"/>
        <v>Matched</v>
      </c>
      <c r="AB83" s="83">
        <v>242596860</v>
      </c>
    </row>
    <row r="84" spans="1:28" ht="14.25" customHeight="1" x14ac:dyDescent="0.25">
      <c r="A84" s="13" t="s">
        <v>1271</v>
      </c>
      <c r="B84" s="13">
        <v>350000352</v>
      </c>
      <c r="C84" s="13" t="s">
        <v>1272</v>
      </c>
      <c r="D84" s="13" t="s">
        <v>1273</v>
      </c>
      <c r="E84" s="14" t="s">
        <v>1274</v>
      </c>
      <c r="F84" s="58" t="s">
        <v>1275</v>
      </c>
      <c r="G84" s="58" t="s">
        <v>1275</v>
      </c>
      <c r="H84" s="13" t="s">
        <v>16</v>
      </c>
      <c r="I84" s="15" t="s">
        <v>1276</v>
      </c>
      <c r="J84" s="16" t="s">
        <v>375</v>
      </c>
      <c r="K84" s="15" t="s">
        <v>1276</v>
      </c>
      <c r="L84" s="16" t="s">
        <v>375</v>
      </c>
      <c r="M84" s="15" t="s">
        <v>1277</v>
      </c>
      <c r="N84" s="13" t="s">
        <v>13</v>
      </c>
      <c r="O84" s="13" t="s">
        <v>1278</v>
      </c>
      <c r="P84" s="13" t="s">
        <v>16</v>
      </c>
      <c r="Q84" s="17" t="s">
        <v>623</v>
      </c>
      <c r="R84" s="3" t="s">
        <v>16</v>
      </c>
      <c r="S84" s="3" t="s">
        <v>16</v>
      </c>
      <c r="T84" s="3" t="s">
        <v>16</v>
      </c>
      <c r="U84" s="18" t="s">
        <v>557</v>
      </c>
      <c r="V84" s="3" t="s">
        <v>380</v>
      </c>
      <c r="W84" s="13" t="s">
        <v>614</v>
      </c>
      <c r="X84" s="13" t="s">
        <v>47</v>
      </c>
      <c r="Y84" s="134" t="s">
        <v>1279</v>
      </c>
      <c r="Z84" s="21" t="s">
        <v>1280</v>
      </c>
      <c r="AA84" t="str">
        <f t="shared" si="1"/>
        <v>Matched</v>
      </c>
      <c r="AB84" s="83">
        <v>242596878</v>
      </c>
    </row>
    <row r="85" spans="1:28" ht="14.25" customHeight="1" x14ac:dyDescent="0.25">
      <c r="A85" s="13" t="s">
        <v>1281</v>
      </c>
      <c r="B85" s="13">
        <v>340752297</v>
      </c>
      <c r="C85" s="13" t="s">
        <v>1282</v>
      </c>
      <c r="D85" s="13" t="s">
        <v>1283</v>
      </c>
      <c r="E85" s="14" t="s">
        <v>1284</v>
      </c>
      <c r="F85" s="59" t="s">
        <v>1285</v>
      </c>
      <c r="G85" s="58" t="s">
        <v>1285</v>
      </c>
      <c r="H85" s="13" t="s">
        <v>16</v>
      </c>
      <c r="I85" s="15" t="s">
        <v>1286</v>
      </c>
      <c r="J85" s="16" t="s">
        <v>375</v>
      </c>
      <c r="K85" s="15" t="s">
        <v>1286</v>
      </c>
      <c r="L85" s="16" t="s">
        <v>375</v>
      </c>
      <c r="M85" s="15" t="s">
        <v>1287</v>
      </c>
      <c r="N85" s="13" t="s">
        <v>13</v>
      </c>
      <c r="O85" s="13" t="s">
        <v>1288</v>
      </c>
      <c r="P85" s="13" t="s">
        <v>16</v>
      </c>
      <c r="Q85" s="17" t="s">
        <v>950</v>
      </c>
      <c r="R85" s="3" t="s">
        <v>16</v>
      </c>
      <c r="S85" s="3" t="s">
        <v>16</v>
      </c>
      <c r="T85" s="3" t="s">
        <v>16</v>
      </c>
      <c r="U85" s="18" t="s">
        <v>951</v>
      </c>
      <c r="V85" s="3" t="s">
        <v>380</v>
      </c>
      <c r="W85" s="13" t="s">
        <v>614</v>
      </c>
      <c r="X85" s="13" t="s">
        <v>47</v>
      </c>
      <c r="Y85" s="134" t="s">
        <v>1289</v>
      </c>
      <c r="Z85" s="21" t="s">
        <v>1290</v>
      </c>
      <c r="AA85" t="str">
        <f t="shared" si="1"/>
        <v>Matched</v>
      </c>
      <c r="AB85" s="83">
        <v>242598676</v>
      </c>
    </row>
    <row r="86" spans="1:28" ht="14.25" customHeight="1" x14ac:dyDescent="0.25">
      <c r="A86" s="13" t="s">
        <v>1291</v>
      </c>
      <c r="B86" s="13">
        <v>340001984</v>
      </c>
      <c r="C86" s="13" t="s">
        <v>1292</v>
      </c>
      <c r="D86" s="13" t="s">
        <v>1293</v>
      </c>
      <c r="E86" s="14" t="s">
        <v>1294</v>
      </c>
      <c r="F86" s="59" t="s">
        <v>1295</v>
      </c>
      <c r="G86" s="58" t="s">
        <v>1295</v>
      </c>
      <c r="H86" s="13" t="s">
        <v>16</v>
      </c>
      <c r="I86" s="15" t="s">
        <v>1296</v>
      </c>
      <c r="J86" s="16" t="s">
        <v>375</v>
      </c>
      <c r="K86" s="15" t="s">
        <v>1296</v>
      </c>
      <c r="L86" s="16" t="s">
        <v>375</v>
      </c>
      <c r="M86" s="15" t="s">
        <v>1297</v>
      </c>
      <c r="N86" s="13" t="s">
        <v>13</v>
      </c>
      <c r="O86" s="13" t="s">
        <v>1298</v>
      </c>
      <c r="P86" s="13" t="s">
        <v>16</v>
      </c>
      <c r="Q86" s="17" t="s">
        <v>862</v>
      </c>
      <c r="R86" s="3" t="s">
        <v>16</v>
      </c>
      <c r="S86" s="3" t="s">
        <v>16</v>
      </c>
      <c r="T86" s="3" t="s">
        <v>16</v>
      </c>
      <c r="U86" s="18" t="s">
        <v>586</v>
      </c>
      <c r="V86" s="3" t="s">
        <v>380</v>
      </c>
      <c r="W86" s="13" t="s">
        <v>614</v>
      </c>
      <c r="X86" s="13" t="s">
        <v>47</v>
      </c>
      <c r="Y86" s="134" t="s">
        <v>1299</v>
      </c>
      <c r="Z86" s="23" t="s">
        <v>1300</v>
      </c>
      <c r="AA86" t="str">
        <f t="shared" si="1"/>
        <v>Not Matched</v>
      </c>
      <c r="AB86" s="83">
        <v>242601138</v>
      </c>
    </row>
    <row r="87" spans="1:28" ht="14.25" customHeight="1" x14ac:dyDescent="0.25">
      <c r="A87" s="13" t="s">
        <v>1454</v>
      </c>
      <c r="B87" s="13">
        <v>460000110</v>
      </c>
      <c r="C87" s="13" t="s">
        <v>1301</v>
      </c>
      <c r="D87" s="13" t="s">
        <v>1302</v>
      </c>
      <c r="E87" s="14" t="s">
        <v>1303</v>
      </c>
      <c r="F87" s="59" t="s">
        <v>1755</v>
      </c>
      <c r="G87" s="58" t="s">
        <v>1755</v>
      </c>
      <c r="H87" s="13" t="s">
        <v>16</v>
      </c>
      <c r="I87" s="15" t="s">
        <v>1304</v>
      </c>
      <c r="J87" s="16" t="s">
        <v>375</v>
      </c>
      <c r="K87" s="15" t="s">
        <v>1304</v>
      </c>
      <c r="L87" s="16" t="s">
        <v>375</v>
      </c>
      <c r="M87" s="15" t="s">
        <v>1305</v>
      </c>
      <c r="N87" s="13" t="s">
        <v>13</v>
      </c>
      <c r="O87" s="13" t="s">
        <v>1306</v>
      </c>
      <c r="P87" s="13" t="s">
        <v>16</v>
      </c>
      <c r="Q87" s="17" t="s">
        <v>1307</v>
      </c>
      <c r="R87" s="3" t="s">
        <v>16</v>
      </c>
      <c r="S87" s="3" t="s">
        <v>16</v>
      </c>
      <c r="T87" s="3" t="s">
        <v>16</v>
      </c>
      <c r="U87" s="18" t="s">
        <v>548</v>
      </c>
      <c r="V87" s="3" t="s">
        <v>380</v>
      </c>
      <c r="W87" s="13" t="s">
        <v>614</v>
      </c>
      <c r="X87" s="13" t="s">
        <v>47</v>
      </c>
      <c r="Y87" s="134" t="s">
        <v>1308</v>
      </c>
      <c r="Z87" s="21" t="s">
        <v>1309</v>
      </c>
      <c r="AA87" t="str">
        <f t="shared" si="1"/>
        <v>Matched</v>
      </c>
      <c r="AB87" s="82">
        <v>242596886</v>
      </c>
    </row>
    <row r="88" spans="1:28" ht="14.25" customHeight="1" x14ac:dyDescent="0.25">
      <c r="A88" s="13" t="s">
        <v>1470</v>
      </c>
      <c r="B88" s="13">
        <v>461020700</v>
      </c>
      <c r="C88" s="13" t="s">
        <v>1310</v>
      </c>
      <c r="D88" s="13" t="s">
        <v>1311</v>
      </c>
      <c r="E88" s="14" t="s">
        <v>1312</v>
      </c>
      <c r="F88" s="59" t="s">
        <v>1313</v>
      </c>
      <c r="G88" s="59" t="s">
        <v>1321</v>
      </c>
      <c r="H88" s="13" t="s">
        <v>16</v>
      </c>
      <c r="I88" s="15" t="s">
        <v>1314</v>
      </c>
      <c r="J88" s="16" t="s">
        <v>375</v>
      </c>
      <c r="K88" s="15" t="s">
        <v>1314</v>
      </c>
      <c r="L88" s="16" t="s">
        <v>375</v>
      </c>
      <c r="M88" s="15" t="s">
        <v>1315</v>
      </c>
      <c r="N88" s="13" t="s">
        <v>13</v>
      </c>
      <c r="O88" s="13" t="s">
        <v>1316</v>
      </c>
      <c r="P88" s="13" t="s">
        <v>16</v>
      </c>
      <c r="Q88" s="17" t="s">
        <v>634</v>
      </c>
      <c r="R88" s="3" t="s">
        <v>16</v>
      </c>
      <c r="S88" s="3" t="s">
        <v>16</v>
      </c>
      <c r="T88" s="3" t="s">
        <v>16</v>
      </c>
      <c r="U88" s="18" t="s">
        <v>635</v>
      </c>
      <c r="V88" s="3" t="s">
        <v>380</v>
      </c>
      <c r="W88" s="13" t="s">
        <v>614</v>
      </c>
      <c r="X88" s="13" t="s">
        <v>47</v>
      </c>
      <c r="Y88" s="134" t="s">
        <v>1317</v>
      </c>
      <c r="Z88" s="21" t="s">
        <v>1318</v>
      </c>
      <c r="AA88" t="str">
        <f t="shared" si="1"/>
        <v>Matched</v>
      </c>
      <c r="AB88" s="83">
        <v>242596908</v>
      </c>
    </row>
    <row r="89" spans="1:28" ht="14.25" customHeight="1" x14ac:dyDescent="0.25">
      <c r="A89" s="13" t="s">
        <v>1469</v>
      </c>
      <c r="B89" s="25">
        <v>242595529</v>
      </c>
      <c r="C89" s="25" t="s">
        <v>1319</v>
      </c>
      <c r="D89" s="25" t="s">
        <v>1320</v>
      </c>
      <c r="E89" s="26" t="s">
        <v>1752</v>
      </c>
      <c r="F89" s="59" t="s">
        <v>1751</v>
      </c>
      <c r="G89" s="58" t="s">
        <v>1751</v>
      </c>
      <c r="H89" s="13" t="s">
        <v>16</v>
      </c>
      <c r="I89" s="15" t="s">
        <v>1322</v>
      </c>
      <c r="J89" s="16" t="s">
        <v>375</v>
      </c>
      <c r="K89" s="15" t="s">
        <v>1322</v>
      </c>
      <c r="L89" s="16" t="s">
        <v>375</v>
      </c>
      <c r="M89" s="15" t="s">
        <v>1323</v>
      </c>
      <c r="N89" s="13" t="s">
        <v>13</v>
      </c>
      <c r="O89" s="25" t="s">
        <v>1324</v>
      </c>
      <c r="P89" s="13" t="s">
        <v>16</v>
      </c>
      <c r="Q89" s="17" t="s">
        <v>785</v>
      </c>
      <c r="R89" s="3" t="s">
        <v>16</v>
      </c>
      <c r="S89" s="3" t="s">
        <v>16</v>
      </c>
      <c r="T89" s="3" t="s">
        <v>16</v>
      </c>
      <c r="U89" s="18" t="s">
        <v>392</v>
      </c>
      <c r="V89" s="3" t="s">
        <v>380</v>
      </c>
      <c r="W89" s="13" t="s">
        <v>614</v>
      </c>
      <c r="X89" s="13" t="s">
        <v>47</v>
      </c>
      <c r="Y89" s="3" t="s">
        <v>16</v>
      </c>
      <c r="Z89" s="16" t="s">
        <v>16</v>
      </c>
      <c r="AA89" t="str">
        <f t="shared" si="1"/>
        <v>Not Matched</v>
      </c>
      <c r="AB89" s="82">
        <v>242596916</v>
      </c>
    </row>
    <row r="90" spans="1:28" ht="14.25" customHeight="1" x14ac:dyDescent="0.25">
      <c r="A90" s="13" t="s">
        <v>1325</v>
      </c>
      <c r="B90" s="25">
        <v>242595600</v>
      </c>
      <c r="C90" s="25" t="s">
        <v>1326</v>
      </c>
      <c r="D90" s="25" t="s">
        <v>1327</v>
      </c>
      <c r="E90" s="26" t="s">
        <v>1328</v>
      </c>
      <c r="F90" s="59" t="s">
        <v>1329</v>
      </c>
      <c r="G90" s="58" t="s">
        <v>1329</v>
      </c>
      <c r="H90" s="13" t="s">
        <v>16</v>
      </c>
      <c r="I90" s="15" t="s">
        <v>1330</v>
      </c>
      <c r="J90" s="16" t="s">
        <v>375</v>
      </c>
      <c r="K90" s="15" t="s">
        <v>1330</v>
      </c>
      <c r="L90" s="16" t="s">
        <v>375</v>
      </c>
      <c r="M90" s="15" t="s">
        <v>1331</v>
      </c>
      <c r="N90" s="13" t="s">
        <v>13</v>
      </c>
      <c r="O90" s="25" t="s">
        <v>1332</v>
      </c>
      <c r="P90" s="13" t="s">
        <v>16</v>
      </c>
      <c r="Q90" s="17" t="s">
        <v>613</v>
      </c>
      <c r="R90" s="3" t="s">
        <v>16</v>
      </c>
      <c r="S90" s="3" t="s">
        <v>16</v>
      </c>
      <c r="T90" s="3" t="s">
        <v>16</v>
      </c>
      <c r="U90" s="18" t="s">
        <v>528</v>
      </c>
      <c r="V90" s="3" t="s">
        <v>380</v>
      </c>
      <c r="W90" s="13" t="s">
        <v>614</v>
      </c>
      <c r="X90" s="13" t="s">
        <v>47</v>
      </c>
      <c r="Y90" s="3" t="s">
        <v>16</v>
      </c>
      <c r="Z90" s="16" t="s">
        <v>16</v>
      </c>
      <c r="AA90" t="str">
        <f t="shared" si="1"/>
        <v>Matched</v>
      </c>
      <c r="AB90" s="82">
        <v>242597025</v>
      </c>
    </row>
    <row r="91" spans="1:28" ht="14.25" customHeight="1" x14ac:dyDescent="0.25">
      <c r="A91" s="13" t="s">
        <v>1333</v>
      </c>
      <c r="B91" s="25">
        <v>242601359</v>
      </c>
      <c r="C91" s="16" t="s">
        <v>1334</v>
      </c>
      <c r="D91" s="16" t="s">
        <v>1335</v>
      </c>
      <c r="E91" s="26" t="s">
        <v>1336</v>
      </c>
      <c r="F91" s="59" t="s">
        <v>1337</v>
      </c>
      <c r="G91" s="58" t="s">
        <v>1337</v>
      </c>
      <c r="H91" s="16" t="s">
        <v>1338</v>
      </c>
      <c r="I91" s="16" t="s">
        <v>1339</v>
      </c>
      <c r="J91" s="16" t="s">
        <v>375</v>
      </c>
      <c r="K91" s="16" t="s">
        <v>1339</v>
      </c>
      <c r="L91" s="16" t="s">
        <v>375</v>
      </c>
      <c r="M91" s="16" t="s">
        <v>1340</v>
      </c>
      <c r="N91" s="13" t="s">
        <v>13</v>
      </c>
      <c r="O91" s="16" t="s">
        <v>1341</v>
      </c>
      <c r="P91" s="16" t="s">
        <v>16</v>
      </c>
      <c r="Q91" s="16" t="s">
        <v>584</v>
      </c>
      <c r="R91" s="16" t="s">
        <v>16</v>
      </c>
      <c r="S91" s="16" t="s">
        <v>16</v>
      </c>
      <c r="T91" s="16" t="s">
        <v>16</v>
      </c>
      <c r="U91" s="16" t="s">
        <v>557</v>
      </c>
      <c r="V91" s="16" t="s">
        <v>380</v>
      </c>
      <c r="W91" s="16" t="s">
        <v>614</v>
      </c>
      <c r="X91" s="16" t="s">
        <v>47</v>
      </c>
      <c r="Y91" s="16" t="s">
        <v>16</v>
      </c>
      <c r="Z91" s="16" t="s">
        <v>16</v>
      </c>
      <c r="AA91" t="str">
        <f t="shared" si="1"/>
        <v>Matched</v>
      </c>
      <c r="AB91" s="83">
        <v>242600417</v>
      </c>
    </row>
    <row r="92" spans="1:28" ht="14.25" customHeight="1" x14ac:dyDescent="0.25">
      <c r="A92" s="27" t="s">
        <v>1342</v>
      </c>
      <c r="B92" s="28" t="s">
        <v>1343</v>
      </c>
      <c r="C92" s="1" t="s">
        <v>1344</v>
      </c>
      <c r="D92" s="1" t="s">
        <v>1345</v>
      </c>
      <c r="F92" s="59" t="s">
        <v>1346</v>
      </c>
      <c r="G92" s="58" t="s">
        <v>1346</v>
      </c>
      <c r="H92" s="29">
        <v>896783</v>
      </c>
      <c r="I92" s="30" t="s">
        <v>1347</v>
      </c>
      <c r="J92" s="16" t="s">
        <v>375</v>
      </c>
      <c r="K92" s="30" t="s">
        <v>1347</v>
      </c>
      <c r="L92" s="16" t="s">
        <v>375</v>
      </c>
      <c r="M92" s="30" t="s">
        <v>1348</v>
      </c>
      <c r="N92" s="13" t="s">
        <v>13</v>
      </c>
      <c r="O92" s="1" t="s">
        <v>16</v>
      </c>
      <c r="P92" s="27" t="s">
        <v>16</v>
      </c>
      <c r="Q92" s="17" t="s">
        <v>16</v>
      </c>
      <c r="R92" s="4" t="s">
        <v>16</v>
      </c>
      <c r="S92" s="4" t="s">
        <v>16</v>
      </c>
      <c r="T92" s="4" t="s">
        <v>16</v>
      </c>
      <c r="U92" s="18" t="s">
        <v>16</v>
      </c>
      <c r="V92" s="4" t="s">
        <v>16</v>
      </c>
      <c r="W92" s="27" t="s">
        <v>16</v>
      </c>
      <c r="X92" s="27" t="s">
        <v>16</v>
      </c>
      <c r="Y92" s="6" t="s">
        <v>16</v>
      </c>
      <c r="Z92" s="27" t="s">
        <v>16</v>
      </c>
      <c r="AA92" t="str">
        <f t="shared" si="1"/>
        <v>Not Matched</v>
      </c>
      <c r="AB92" s="83">
        <v>242597076</v>
      </c>
    </row>
    <row r="93" spans="1:28" ht="14.25" customHeight="1" x14ac:dyDescent="0.25">
      <c r="A93" s="3" t="s">
        <v>1349</v>
      </c>
      <c r="B93" s="3">
        <v>24259815</v>
      </c>
      <c r="C93" s="3" t="s">
        <v>513</v>
      </c>
      <c r="D93" s="3" t="s">
        <v>514</v>
      </c>
      <c r="E93" s="73" t="s">
        <v>515</v>
      </c>
      <c r="F93" s="59" t="s">
        <v>516</v>
      </c>
      <c r="G93" s="59" t="s">
        <v>516</v>
      </c>
      <c r="H93" s="5" t="s">
        <v>373</v>
      </c>
      <c r="I93" s="3">
        <v>208010211</v>
      </c>
      <c r="J93" s="3" t="s">
        <v>375</v>
      </c>
      <c r="K93" s="3">
        <v>208010211</v>
      </c>
      <c r="L93" s="3" t="s">
        <v>375</v>
      </c>
      <c r="M93" s="3" t="s">
        <v>517</v>
      </c>
      <c r="N93" s="3" t="s">
        <v>64</v>
      </c>
      <c r="O93" s="3" t="s">
        <v>518</v>
      </c>
      <c r="P93" s="3" t="s">
        <v>16</v>
      </c>
      <c r="Q93" s="3" t="s">
        <v>502</v>
      </c>
      <c r="R93" s="3" t="s">
        <v>16</v>
      </c>
      <c r="S93" s="3" t="s">
        <v>16</v>
      </c>
      <c r="T93" s="3" t="s">
        <v>16</v>
      </c>
      <c r="U93" s="3" t="s">
        <v>519</v>
      </c>
      <c r="V93" s="3" t="s">
        <v>380</v>
      </c>
      <c r="W93" s="3" t="s">
        <v>381</v>
      </c>
      <c r="X93" s="4" t="s">
        <v>47</v>
      </c>
      <c r="Y93" s="4" t="s">
        <v>16</v>
      </c>
      <c r="Z93" s="4" t="s">
        <v>16</v>
      </c>
      <c r="AA93" t="str">
        <f t="shared" si="1"/>
        <v>Not Matched</v>
      </c>
      <c r="AB93" s="82">
        <v>242595588</v>
      </c>
    </row>
    <row r="94" spans="1:28" ht="13.15" customHeight="1" x14ac:dyDescent="0.25">
      <c r="A94" s="3" t="s">
        <v>1350</v>
      </c>
      <c r="B94" s="3">
        <v>242598153</v>
      </c>
      <c r="C94" s="3" t="s">
        <v>513</v>
      </c>
      <c r="D94" s="3" t="s">
        <v>514</v>
      </c>
      <c r="E94" s="73" t="s">
        <v>515</v>
      </c>
      <c r="F94" s="59" t="s">
        <v>1351</v>
      </c>
      <c r="G94" s="59" t="s">
        <v>1351</v>
      </c>
      <c r="H94" s="5" t="s">
        <v>373</v>
      </c>
      <c r="I94" s="3">
        <v>208010211</v>
      </c>
      <c r="J94" s="3" t="s">
        <v>375</v>
      </c>
      <c r="K94" s="3">
        <v>208010211</v>
      </c>
      <c r="L94" s="3" t="s">
        <v>375</v>
      </c>
      <c r="M94" s="3" t="s">
        <v>517</v>
      </c>
      <c r="N94" s="3" t="s">
        <v>64</v>
      </c>
      <c r="O94" s="3" t="s">
        <v>518</v>
      </c>
      <c r="P94" s="3" t="s">
        <v>16</v>
      </c>
      <c r="Q94" s="3" t="s">
        <v>502</v>
      </c>
      <c r="R94" s="3" t="s">
        <v>16</v>
      </c>
      <c r="S94" s="3" t="s">
        <v>16</v>
      </c>
      <c r="T94" s="3" t="s">
        <v>16</v>
      </c>
      <c r="U94" s="3" t="s">
        <v>519</v>
      </c>
      <c r="V94" s="3" t="s">
        <v>380</v>
      </c>
      <c r="W94" s="3" t="s">
        <v>381</v>
      </c>
      <c r="X94" s="4" t="s">
        <v>47</v>
      </c>
      <c r="Y94" s="4" t="s">
        <v>16</v>
      </c>
      <c r="Z94" s="4" t="s">
        <v>16</v>
      </c>
      <c r="AA94" t="str">
        <f t="shared" si="1"/>
        <v>Not Matched</v>
      </c>
      <c r="AB94" s="82">
        <v>242595588</v>
      </c>
    </row>
    <row r="95" spans="1:28" ht="14.25" customHeight="1" x14ac:dyDescent="0.25">
      <c r="A95" s="3" t="s">
        <v>1352</v>
      </c>
      <c r="B95" s="3">
        <v>242598153</v>
      </c>
      <c r="C95" s="3" t="s">
        <v>513</v>
      </c>
      <c r="D95" s="3" t="s">
        <v>514</v>
      </c>
      <c r="E95" s="73" t="s">
        <v>515</v>
      </c>
      <c r="F95" s="59" t="s">
        <v>1353</v>
      </c>
      <c r="G95" s="59" t="s">
        <v>516</v>
      </c>
      <c r="H95" s="5" t="s">
        <v>373</v>
      </c>
      <c r="I95" s="3">
        <v>208010211</v>
      </c>
      <c r="J95" s="3" t="s">
        <v>375</v>
      </c>
      <c r="K95" s="3">
        <v>208010211</v>
      </c>
      <c r="L95" s="3" t="s">
        <v>375</v>
      </c>
      <c r="M95" s="3" t="s">
        <v>517</v>
      </c>
      <c r="N95" s="3" t="s">
        <v>64</v>
      </c>
      <c r="O95" s="3" t="s">
        <v>518</v>
      </c>
      <c r="P95" s="3" t="s">
        <v>16</v>
      </c>
      <c r="Q95" s="3" t="s">
        <v>502</v>
      </c>
      <c r="R95" s="3" t="s">
        <v>16</v>
      </c>
      <c r="S95" s="3" t="s">
        <v>16</v>
      </c>
      <c r="T95" s="3" t="s">
        <v>16</v>
      </c>
      <c r="U95" s="3" t="s">
        <v>519</v>
      </c>
      <c r="V95" s="3" t="s">
        <v>380</v>
      </c>
      <c r="W95" s="3" t="s">
        <v>381</v>
      </c>
      <c r="X95" s="4" t="s">
        <v>47</v>
      </c>
      <c r="Y95" s="4" t="s">
        <v>16</v>
      </c>
      <c r="Z95" s="4" t="s">
        <v>16</v>
      </c>
      <c r="AA95" t="str">
        <f t="shared" si="1"/>
        <v>Not Matched</v>
      </c>
      <c r="AB95" s="82">
        <v>242595588</v>
      </c>
    </row>
    <row r="96" spans="1:28" ht="14.25" customHeight="1" x14ac:dyDescent="0.25">
      <c r="A96" s="3" t="s">
        <v>1758</v>
      </c>
      <c r="B96" s="3">
        <v>242598153</v>
      </c>
      <c r="C96" s="3" t="s">
        <v>513</v>
      </c>
      <c r="D96" s="3" t="s">
        <v>514</v>
      </c>
      <c r="E96" s="73" t="s">
        <v>515</v>
      </c>
      <c r="F96" s="59" t="s">
        <v>516</v>
      </c>
      <c r="G96" s="59" t="s">
        <v>516</v>
      </c>
      <c r="H96" s="5" t="s">
        <v>373</v>
      </c>
      <c r="I96" s="5" t="s">
        <v>1355</v>
      </c>
      <c r="J96" s="3" t="s">
        <v>375</v>
      </c>
      <c r="K96" s="5" t="s">
        <v>1355</v>
      </c>
      <c r="L96" s="3" t="s">
        <v>375</v>
      </c>
      <c r="M96" s="3" t="s">
        <v>517</v>
      </c>
      <c r="N96" s="3" t="s">
        <v>64</v>
      </c>
      <c r="O96" s="3" t="s">
        <v>518</v>
      </c>
      <c r="P96" s="3" t="s">
        <v>16</v>
      </c>
      <c r="Q96" s="3" t="s">
        <v>502</v>
      </c>
      <c r="R96" s="3" t="s">
        <v>16</v>
      </c>
      <c r="S96" s="3" t="s">
        <v>16</v>
      </c>
      <c r="T96" s="3" t="s">
        <v>16</v>
      </c>
      <c r="U96" s="3" t="s">
        <v>519</v>
      </c>
      <c r="V96" s="3" t="s">
        <v>380</v>
      </c>
      <c r="W96" s="3" t="s">
        <v>381</v>
      </c>
      <c r="X96" s="4" t="s">
        <v>47</v>
      </c>
      <c r="Y96" s="4" t="s">
        <v>16</v>
      </c>
      <c r="Z96" s="4" t="s">
        <v>16</v>
      </c>
      <c r="AA96" t="str">
        <f t="shared" si="1"/>
        <v>Not Matched</v>
      </c>
      <c r="AB96" s="82">
        <v>242595588</v>
      </c>
    </row>
    <row r="97" spans="1:28" ht="14.25" customHeight="1" x14ac:dyDescent="0.25">
      <c r="A97" s="3" t="s">
        <v>1760</v>
      </c>
      <c r="B97" s="3">
        <v>242598153</v>
      </c>
      <c r="C97" s="3" t="s">
        <v>513</v>
      </c>
      <c r="D97" s="3" t="s">
        <v>514</v>
      </c>
      <c r="E97" s="73" t="s">
        <v>515</v>
      </c>
      <c r="F97" s="59" t="s">
        <v>516</v>
      </c>
      <c r="G97" s="59" t="s">
        <v>516</v>
      </c>
      <c r="H97" s="5" t="s">
        <v>373</v>
      </c>
      <c r="I97" s="3">
        <v>9938123456</v>
      </c>
      <c r="J97" s="3" t="s">
        <v>375</v>
      </c>
      <c r="K97" s="3">
        <v>9938123456</v>
      </c>
      <c r="L97" s="3" t="s">
        <v>375</v>
      </c>
      <c r="M97" s="3" t="s">
        <v>517</v>
      </c>
      <c r="N97" s="3" t="s">
        <v>64</v>
      </c>
      <c r="O97" s="3" t="s">
        <v>518</v>
      </c>
      <c r="P97" s="3" t="s">
        <v>16</v>
      </c>
      <c r="Q97" s="3" t="s">
        <v>502</v>
      </c>
      <c r="R97" s="3" t="s">
        <v>16</v>
      </c>
      <c r="S97" s="3" t="s">
        <v>16</v>
      </c>
      <c r="T97" s="3" t="s">
        <v>16</v>
      </c>
      <c r="U97" s="3" t="s">
        <v>519</v>
      </c>
      <c r="V97" s="3" t="s">
        <v>380</v>
      </c>
      <c r="W97" s="3" t="s">
        <v>381</v>
      </c>
      <c r="X97" s="4" t="s">
        <v>47</v>
      </c>
      <c r="Y97" s="4" t="s">
        <v>16</v>
      </c>
      <c r="Z97" s="4" t="s">
        <v>16</v>
      </c>
      <c r="AA97" t="str">
        <f t="shared" si="1"/>
        <v>Not Matched</v>
      </c>
      <c r="AB97" s="82">
        <v>242595588</v>
      </c>
    </row>
    <row r="98" spans="1:28" ht="14.25" customHeight="1" x14ac:dyDescent="0.25">
      <c r="A98" s="3" t="s">
        <v>1761</v>
      </c>
      <c r="B98" s="3">
        <v>242598153</v>
      </c>
      <c r="C98" s="3" t="s">
        <v>513</v>
      </c>
      <c r="D98" s="3" t="s">
        <v>514</v>
      </c>
      <c r="E98" s="73" t="s">
        <v>515</v>
      </c>
      <c r="F98" s="59" t="s">
        <v>516</v>
      </c>
      <c r="G98" s="59" t="s">
        <v>516</v>
      </c>
      <c r="H98" s="5" t="s">
        <v>373</v>
      </c>
      <c r="I98" s="3">
        <v>208010211</v>
      </c>
      <c r="J98" s="3" t="s">
        <v>375</v>
      </c>
      <c r="K98" s="3">
        <v>209010211</v>
      </c>
      <c r="L98" s="3" t="s">
        <v>375</v>
      </c>
      <c r="M98" s="3" t="s">
        <v>517</v>
      </c>
      <c r="N98" s="3" t="s">
        <v>64</v>
      </c>
      <c r="O98" s="3" t="s">
        <v>518</v>
      </c>
      <c r="P98" s="3" t="s">
        <v>16</v>
      </c>
      <c r="Q98" s="3" t="s">
        <v>502</v>
      </c>
      <c r="R98" s="3" t="s">
        <v>16</v>
      </c>
      <c r="S98" s="3" t="s">
        <v>16</v>
      </c>
      <c r="T98" s="3" t="s">
        <v>16</v>
      </c>
      <c r="U98" s="3" t="s">
        <v>519</v>
      </c>
      <c r="V98" s="3" t="s">
        <v>380</v>
      </c>
      <c r="W98" s="3" t="s">
        <v>381</v>
      </c>
      <c r="X98" s="4" t="s">
        <v>47</v>
      </c>
      <c r="Y98" s="4" t="s">
        <v>16</v>
      </c>
      <c r="Z98" s="4" t="s">
        <v>16</v>
      </c>
      <c r="AA98" t="str">
        <f t="shared" si="1"/>
        <v>Not Matched</v>
      </c>
      <c r="AB98" s="82">
        <v>242595588</v>
      </c>
    </row>
    <row r="99" spans="1:28" ht="14.25" customHeight="1" x14ac:dyDescent="0.25">
      <c r="A99" s="3" t="s">
        <v>1356</v>
      </c>
      <c r="B99" s="3">
        <v>242597076</v>
      </c>
      <c r="C99" s="3" t="s">
        <v>1357</v>
      </c>
      <c r="D99" s="3" t="s">
        <v>1358</v>
      </c>
      <c r="E99" s="11" t="s">
        <v>945</v>
      </c>
      <c r="F99" s="59" t="s">
        <v>1359</v>
      </c>
      <c r="G99" s="59" t="s">
        <v>1359</v>
      </c>
      <c r="H99" s="5" t="s">
        <v>1360</v>
      </c>
      <c r="I99" s="3">
        <v>208030027</v>
      </c>
      <c r="J99" s="3" t="s">
        <v>375</v>
      </c>
      <c r="K99" s="3">
        <v>208030027</v>
      </c>
      <c r="L99" s="3" t="s">
        <v>375</v>
      </c>
      <c r="M99" s="3" t="s">
        <v>1361</v>
      </c>
      <c r="N99" s="3" t="s">
        <v>64</v>
      </c>
      <c r="O99" s="3" t="s">
        <v>1362</v>
      </c>
      <c r="P99" s="3" t="s">
        <v>16</v>
      </c>
      <c r="Q99" s="3" t="s">
        <v>1363</v>
      </c>
      <c r="R99" s="3" t="s">
        <v>576</v>
      </c>
      <c r="S99" s="3" t="s">
        <v>16</v>
      </c>
      <c r="T99" s="3" t="s">
        <v>16</v>
      </c>
      <c r="U99" s="3" t="s">
        <v>951</v>
      </c>
      <c r="V99" s="3" t="s">
        <v>380</v>
      </c>
      <c r="W99" s="3" t="s">
        <v>381</v>
      </c>
      <c r="X99" s="4" t="s">
        <v>47</v>
      </c>
      <c r="Y99" s="4" t="s">
        <v>16</v>
      </c>
      <c r="Z99" s="4" t="s">
        <v>16</v>
      </c>
      <c r="AA99" t="str">
        <f t="shared" si="1"/>
        <v>Matched</v>
      </c>
      <c r="AB99" s="83">
        <v>242595685</v>
      </c>
    </row>
    <row r="100" spans="1:28" ht="14.25" customHeight="1" x14ac:dyDescent="0.25">
      <c r="A100" s="3" t="s">
        <v>1364</v>
      </c>
      <c r="B100" s="3">
        <v>242599095</v>
      </c>
      <c r="C100" s="3" t="s">
        <v>1365</v>
      </c>
      <c r="D100" s="3" t="s">
        <v>1366</v>
      </c>
      <c r="E100" s="11" t="s">
        <v>1367</v>
      </c>
      <c r="F100" s="59" t="s">
        <v>1368</v>
      </c>
      <c r="G100" s="59" t="s">
        <v>1368</v>
      </c>
      <c r="H100" s="5" t="s">
        <v>1360</v>
      </c>
      <c r="I100" s="3">
        <v>208030034</v>
      </c>
      <c r="J100" s="3" t="s">
        <v>375</v>
      </c>
      <c r="K100" s="3">
        <v>208030034</v>
      </c>
      <c r="L100" s="3" t="s">
        <v>375</v>
      </c>
      <c r="M100" s="3" t="s">
        <v>1369</v>
      </c>
      <c r="N100" s="3" t="s">
        <v>64</v>
      </c>
      <c r="O100" s="3" t="s">
        <v>1370</v>
      </c>
      <c r="P100" s="3" t="s">
        <v>16</v>
      </c>
      <c r="Q100" s="3" t="s">
        <v>1371</v>
      </c>
      <c r="R100" s="3" t="s">
        <v>576</v>
      </c>
      <c r="S100" s="3" t="s">
        <v>16</v>
      </c>
      <c r="T100" s="3" t="s">
        <v>16</v>
      </c>
      <c r="U100" s="3" t="s">
        <v>753</v>
      </c>
      <c r="V100" s="3" t="s">
        <v>380</v>
      </c>
      <c r="W100" s="3" t="s">
        <v>381</v>
      </c>
      <c r="X100" s="4" t="s">
        <v>47</v>
      </c>
      <c r="Y100" s="4" t="s">
        <v>16</v>
      </c>
      <c r="Z100" s="4" t="s">
        <v>16</v>
      </c>
      <c r="AA100" t="str">
        <f t="shared" si="1"/>
        <v>Not Matched</v>
      </c>
      <c r="AB100" s="83">
        <v>242595685</v>
      </c>
    </row>
    <row r="101" spans="1:28" ht="14.25" customHeight="1" x14ac:dyDescent="0.25">
      <c r="A101" s="3" t="s">
        <v>1372</v>
      </c>
      <c r="B101" s="3">
        <v>242598501</v>
      </c>
      <c r="C101" s="3" t="s">
        <v>541</v>
      </c>
      <c r="D101" s="3" t="s">
        <v>542</v>
      </c>
      <c r="E101" s="3" t="s">
        <v>543</v>
      </c>
      <c r="F101" s="59" t="s">
        <v>544</v>
      </c>
      <c r="G101" s="59" t="s">
        <v>544</v>
      </c>
      <c r="H101" s="3">
        <v>389478</v>
      </c>
      <c r="I101" s="3">
        <v>209000207</v>
      </c>
      <c r="J101" s="3" t="s">
        <v>375</v>
      </c>
      <c r="K101" s="3">
        <v>209000207</v>
      </c>
      <c r="L101" s="3" t="s">
        <v>375</v>
      </c>
      <c r="M101" s="3" t="s">
        <v>545</v>
      </c>
      <c r="N101" s="3" t="s">
        <v>1373</v>
      </c>
      <c r="O101" s="3" t="s">
        <v>546</v>
      </c>
      <c r="P101" s="3" t="s">
        <v>16</v>
      </c>
      <c r="Q101" s="3" t="s">
        <v>547</v>
      </c>
      <c r="R101" s="3" t="s">
        <v>16</v>
      </c>
      <c r="S101" s="3" t="s">
        <v>16</v>
      </c>
      <c r="T101" s="3" t="s">
        <v>16</v>
      </c>
      <c r="U101" s="3" t="s">
        <v>548</v>
      </c>
      <c r="V101" s="3" t="s">
        <v>380</v>
      </c>
      <c r="W101" s="3" t="s">
        <v>381</v>
      </c>
      <c r="X101" s="4" t="s">
        <v>47</v>
      </c>
      <c r="Y101" s="6" t="s">
        <v>16</v>
      </c>
      <c r="Z101" s="4" t="s">
        <v>16</v>
      </c>
      <c r="AA101" t="str">
        <f t="shared" si="1"/>
        <v>Matched</v>
      </c>
      <c r="AB101" s="82">
        <v>242595626</v>
      </c>
    </row>
    <row r="102" spans="1:28" ht="14.25" customHeight="1" x14ac:dyDescent="0.25">
      <c r="A102" s="3" t="s">
        <v>1374</v>
      </c>
      <c r="B102" s="3">
        <v>242598153</v>
      </c>
      <c r="C102" s="3" t="s">
        <v>513</v>
      </c>
      <c r="D102" s="3" t="s">
        <v>514</v>
      </c>
      <c r="E102" s="73" t="s">
        <v>515</v>
      </c>
      <c r="F102" s="59" t="s">
        <v>516</v>
      </c>
      <c r="G102" s="59" t="s">
        <v>516</v>
      </c>
      <c r="H102" s="5" t="s">
        <v>373</v>
      </c>
      <c r="I102" s="3">
        <v>208010211</v>
      </c>
      <c r="J102" s="3" t="s">
        <v>375</v>
      </c>
      <c r="K102" s="3">
        <v>208010211</v>
      </c>
      <c r="L102" s="3" t="s">
        <v>375</v>
      </c>
      <c r="M102" s="3" t="s">
        <v>517</v>
      </c>
      <c r="N102" s="3" t="s">
        <v>64</v>
      </c>
      <c r="O102" s="3" t="s">
        <v>518</v>
      </c>
      <c r="P102" s="3" t="s">
        <v>16</v>
      </c>
      <c r="Q102" s="3" t="s">
        <v>502</v>
      </c>
      <c r="R102" s="3" t="s">
        <v>16</v>
      </c>
      <c r="S102" s="3" t="s">
        <v>16</v>
      </c>
      <c r="T102" s="3" t="s">
        <v>16</v>
      </c>
      <c r="U102" s="3" t="s">
        <v>519</v>
      </c>
      <c r="V102" s="3" t="s">
        <v>380</v>
      </c>
      <c r="W102" s="3" t="s">
        <v>381</v>
      </c>
      <c r="X102" s="4" t="s">
        <v>112</v>
      </c>
      <c r="Y102" s="4" t="s">
        <v>16</v>
      </c>
      <c r="Z102" s="4" t="s">
        <v>16</v>
      </c>
      <c r="AA102" t="str">
        <f t="shared" si="1"/>
        <v>Not Matched</v>
      </c>
      <c r="AB102" s="82">
        <v>242595588</v>
      </c>
    </row>
    <row r="103" spans="1:28" ht="14.25" customHeight="1" x14ac:dyDescent="0.25">
      <c r="A103" s="3" t="s">
        <v>1375</v>
      </c>
      <c r="B103" s="3">
        <v>242598153</v>
      </c>
      <c r="C103" s="3" t="s">
        <v>513</v>
      </c>
      <c r="D103" s="3" t="s">
        <v>514</v>
      </c>
      <c r="E103" s="73" t="s">
        <v>515</v>
      </c>
      <c r="F103" s="59" t="s">
        <v>516</v>
      </c>
      <c r="G103" s="59" t="s">
        <v>516</v>
      </c>
      <c r="H103" s="5" t="s">
        <v>373</v>
      </c>
      <c r="I103" s="3">
        <v>208010211</v>
      </c>
      <c r="J103" s="3" t="s">
        <v>375</v>
      </c>
      <c r="K103" s="3">
        <v>208010211</v>
      </c>
      <c r="L103" s="3" t="s">
        <v>375</v>
      </c>
      <c r="M103" s="3" t="s">
        <v>517</v>
      </c>
      <c r="N103" s="3" t="s">
        <v>64</v>
      </c>
      <c r="O103" s="3" t="s">
        <v>518</v>
      </c>
      <c r="P103" s="3" t="s">
        <v>16</v>
      </c>
      <c r="Q103" s="3" t="s">
        <v>502</v>
      </c>
      <c r="R103" s="3" t="s">
        <v>16</v>
      </c>
      <c r="S103" s="3" t="s">
        <v>16</v>
      </c>
      <c r="T103" s="3" t="s">
        <v>16</v>
      </c>
      <c r="U103" s="3" t="s">
        <v>519</v>
      </c>
      <c r="V103" s="3" t="s">
        <v>380</v>
      </c>
      <c r="W103" s="3" t="s">
        <v>381</v>
      </c>
      <c r="X103" s="4" t="s">
        <v>1376</v>
      </c>
      <c r="Y103" s="4" t="s">
        <v>16</v>
      </c>
      <c r="Z103" s="4" t="s">
        <v>16</v>
      </c>
      <c r="AA103" t="str">
        <f t="shared" si="1"/>
        <v>Not Matched</v>
      </c>
      <c r="AB103" s="82">
        <v>242595588</v>
      </c>
    </row>
    <row r="104" spans="1:28" ht="14.25" customHeight="1" x14ac:dyDescent="0.25">
      <c r="A104" s="3" t="s">
        <v>1377</v>
      </c>
      <c r="B104" s="3">
        <v>242598153</v>
      </c>
      <c r="C104" s="3" t="s">
        <v>513</v>
      </c>
      <c r="D104" s="3" t="s">
        <v>514</v>
      </c>
      <c r="E104" s="73" t="s">
        <v>515</v>
      </c>
      <c r="F104" s="59" t="s">
        <v>516</v>
      </c>
      <c r="G104" s="59" t="s">
        <v>516</v>
      </c>
      <c r="H104" s="5" t="s">
        <v>373</v>
      </c>
      <c r="I104" s="3">
        <v>208010211</v>
      </c>
      <c r="J104" s="3" t="s">
        <v>375</v>
      </c>
      <c r="K104" s="3">
        <v>208010211</v>
      </c>
      <c r="L104" s="3" t="s">
        <v>375</v>
      </c>
      <c r="M104" s="3" t="s">
        <v>517</v>
      </c>
      <c r="N104" s="3" t="s">
        <v>64</v>
      </c>
      <c r="O104" s="3" t="s">
        <v>518</v>
      </c>
      <c r="P104" s="3" t="s">
        <v>16</v>
      </c>
      <c r="Q104" s="3" t="s">
        <v>502</v>
      </c>
      <c r="R104" s="3" t="s">
        <v>16</v>
      </c>
      <c r="S104" s="3" t="s">
        <v>16</v>
      </c>
      <c r="T104" s="3" t="s">
        <v>16</v>
      </c>
      <c r="U104" s="3" t="s">
        <v>519</v>
      </c>
      <c r="V104" s="3" t="s">
        <v>380</v>
      </c>
      <c r="W104" s="3" t="s">
        <v>381</v>
      </c>
      <c r="X104" s="4" t="s">
        <v>1378</v>
      </c>
      <c r="Y104" s="4" t="s">
        <v>16</v>
      </c>
      <c r="Z104" s="4" t="s">
        <v>16</v>
      </c>
      <c r="AA104" t="str">
        <f t="shared" si="1"/>
        <v>Not Matched</v>
      </c>
      <c r="AB104" s="82">
        <v>242595588</v>
      </c>
    </row>
    <row r="105" spans="1:28" ht="14.25" customHeight="1" x14ac:dyDescent="0.25">
      <c r="A105" s="3" t="s">
        <v>1379</v>
      </c>
      <c r="B105" s="3">
        <v>242598153</v>
      </c>
      <c r="C105" s="3" t="s">
        <v>513</v>
      </c>
      <c r="D105" s="3" t="s">
        <v>514</v>
      </c>
      <c r="E105" s="73" t="s">
        <v>515</v>
      </c>
      <c r="F105" s="59" t="s">
        <v>516</v>
      </c>
      <c r="G105" s="59" t="s">
        <v>516</v>
      </c>
      <c r="H105" s="5" t="s">
        <v>373</v>
      </c>
      <c r="I105" s="3">
        <v>208010211</v>
      </c>
      <c r="J105" s="3" t="s">
        <v>375</v>
      </c>
      <c r="K105" s="3">
        <v>208010211</v>
      </c>
      <c r="L105" s="3" t="s">
        <v>375</v>
      </c>
      <c r="M105" s="3" t="s">
        <v>517</v>
      </c>
      <c r="N105" s="3" t="s">
        <v>64</v>
      </c>
      <c r="O105" s="3" t="s">
        <v>518</v>
      </c>
      <c r="P105" s="3" t="s">
        <v>16</v>
      </c>
      <c r="Q105" s="3" t="s">
        <v>502</v>
      </c>
      <c r="R105" s="3" t="s">
        <v>16</v>
      </c>
      <c r="S105" s="3" t="s">
        <v>16</v>
      </c>
      <c r="T105" s="3" t="s">
        <v>16</v>
      </c>
      <c r="U105" s="3" t="s">
        <v>519</v>
      </c>
      <c r="V105" s="3" t="s">
        <v>380</v>
      </c>
      <c r="W105" s="3" t="s">
        <v>381</v>
      </c>
      <c r="X105" s="4" t="s">
        <v>113</v>
      </c>
      <c r="Y105" s="4" t="s">
        <v>16</v>
      </c>
      <c r="Z105" s="4" t="s">
        <v>16</v>
      </c>
      <c r="AA105" t="str">
        <f t="shared" si="1"/>
        <v>Not Matched</v>
      </c>
      <c r="AB105" s="82">
        <v>242595588</v>
      </c>
    </row>
    <row r="106" spans="1:28" ht="14.25" customHeight="1" x14ac:dyDescent="0.25">
      <c r="A106" s="137" t="s">
        <v>1380</v>
      </c>
      <c r="B106">
        <v>242600786</v>
      </c>
      <c r="C106" t="s">
        <v>1381</v>
      </c>
      <c r="D106" t="s">
        <v>1382</v>
      </c>
      <c r="E106" s="73" t="s">
        <v>1383</v>
      </c>
      <c r="F106" t="s">
        <v>1384</v>
      </c>
      <c r="G106" t="s">
        <v>1384</v>
      </c>
      <c r="H106" s="5" t="s">
        <v>1385</v>
      </c>
      <c r="I106">
        <v>208010894</v>
      </c>
      <c r="J106" s="5" t="s">
        <v>375</v>
      </c>
      <c r="K106">
        <v>208010894</v>
      </c>
      <c r="L106" s="5" t="s">
        <v>375</v>
      </c>
      <c r="M106" s="136" t="s">
        <v>1387</v>
      </c>
      <c r="N106" s="3" t="s">
        <v>1386</v>
      </c>
      <c r="O106" s="137" t="s">
        <v>1388</v>
      </c>
      <c r="P106" t="s">
        <v>16</v>
      </c>
      <c r="Q106" s="137" t="s">
        <v>1088</v>
      </c>
      <c r="R106" t="s">
        <v>16</v>
      </c>
      <c r="S106" t="s">
        <v>16</v>
      </c>
      <c r="T106" t="s">
        <v>16</v>
      </c>
      <c r="U106" t="s">
        <v>1089</v>
      </c>
      <c r="V106" s="3" t="s">
        <v>380</v>
      </c>
      <c r="W106" s="16" t="s">
        <v>614</v>
      </c>
      <c r="X106" s="4" t="s">
        <v>47</v>
      </c>
      <c r="Y106" s="6" t="s">
        <v>16</v>
      </c>
      <c r="Z106" t="s">
        <v>16</v>
      </c>
      <c r="AA106" t="str">
        <f t="shared" si="1"/>
        <v>Not Matched</v>
      </c>
      <c r="AB106" s="83">
        <v>242597475</v>
      </c>
    </row>
    <row r="107" spans="1:28" ht="14.25" customHeight="1" thickBot="1" x14ac:dyDescent="0.3">
      <c r="A107" s="13" t="s">
        <v>1411</v>
      </c>
      <c r="B107" s="13">
        <v>242595464</v>
      </c>
      <c r="C107" s="13" t="s">
        <v>616</v>
      </c>
      <c r="D107" s="13" t="s">
        <v>617</v>
      </c>
      <c r="E107" s="19" t="s">
        <v>618</v>
      </c>
      <c r="F107" s="59" t="s">
        <v>619</v>
      </c>
      <c r="G107" s="58" t="s">
        <v>619</v>
      </c>
      <c r="H107" s="13" t="s">
        <v>16</v>
      </c>
      <c r="I107" s="15" t="s">
        <v>620</v>
      </c>
      <c r="J107" s="16" t="s">
        <v>375</v>
      </c>
      <c r="K107" s="15" t="s">
        <v>620</v>
      </c>
      <c r="L107" s="16" t="s">
        <v>375</v>
      </c>
      <c r="M107" s="15" t="s">
        <v>621</v>
      </c>
      <c r="N107" s="13" t="s">
        <v>13</v>
      </c>
      <c r="O107" s="13" t="s">
        <v>622</v>
      </c>
      <c r="P107" s="13" t="s">
        <v>16</v>
      </c>
      <c r="Q107" s="17" t="s">
        <v>623</v>
      </c>
      <c r="R107" s="3" t="s">
        <v>16</v>
      </c>
      <c r="S107" s="3" t="s">
        <v>16</v>
      </c>
      <c r="T107" s="3" t="s">
        <v>16</v>
      </c>
      <c r="U107" s="18" t="s">
        <v>557</v>
      </c>
      <c r="V107" s="3" t="s">
        <v>380</v>
      </c>
      <c r="W107" s="13" t="s">
        <v>614</v>
      </c>
      <c r="X107" s="13" t="s">
        <v>47</v>
      </c>
      <c r="Y107" s="135" t="s">
        <v>624</v>
      </c>
      <c r="Z107" s="20" t="s">
        <v>625</v>
      </c>
      <c r="AA107" t="str">
        <f t="shared" si="1"/>
        <v>Matched</v>
      </c>
      <c r="AB107" s="83">
        <v>242595791</v>
      </c>
    </row>
    <row r="108" spans="1:28" ht="14.25" customHeight="1" x14ac:dyDescent="0.25">
      <c r="A108" s="3" t="s">
        <v>1427</v>
      </c>
      <c r="B108" s="3">
        <v>242599095</v>
      </c>
      <c r="C108" s="3" t="s">
        <v>1365</v>
      </c>
      <c r="D108" s="3" t="s">
        <v>1366</v>
      </c>
      <c r="E108" s="11" t="s">
        <v>1367</v>
      </c>
      <c r="F108" s="59" t="s">
        <v>1368</v>
      </c>
      <c r="G108" s="59" t="s">
        <v>1368</v>
      </c>
      <c r="H108" s="5" t="s">
        <v>1360</v>
      </c>
      <c r="I108" s="3">
        <v>208030034</v>
      </c>
      <c r="J108" s="3" t="s">
        <v>375</v>
      </c>
      <c r="K108" s="3">
        <v>208030034</v>
      </c>
      <c r="L108" s="3" t="s">
        <v>375</v>
      </c>
      <c r="M108" s="3" t="s">
        <v>1369</v>
      </c>
      <c r="N108" s="3" t="s">
        <v>64</v>
      </c>
      <c r="O108" s="3" t="s">
        <v>1370</v>
      </c>
      <c r="P108" s="3" t="s">
        <v>16</v>
      </c>
      <c r="Q108" s="3" t="s">
        <v>1371</v>
      </c>
      <c r="R108" s="3" t="s">
        <v>576</v>
      </c>
      <c r="S108" s="3" t="s">
        <v>16</v>
      </c>
      <c r="T108" s="3" t="s">
        <v>16</v>
      </c>
      <c r="U108" s="3" t="s">
        <v>753</v>
      </c>
      <c r="V108" s="3" t="s">
        <v>380</v>
      </c>
      <c r="W108" s="3" t="s">
        <v>381</v>
      </c>
      <c r="X108" s="4" t="s">
        <v>47</v>
      </c>
      <c r="Y108" s="4" t="s">
        <v>16</v>
      </c>
      <c r="Z108" s="4" t="s">
        <v>16</v>
      </c>
      <c r="AA108" t="str">
        <f t="shared" si="1"/>
        <v>Not Matched</v>
      </c>
      <c r="AB108" s="83">
        <v>242595685</v>
      </c>
    </row>
    <row r="109" spans="1:28" ht="14.25" customHeight="1" x14ac:dyDescent="0.25">
      <c r="A109" s="3" t="s">
        <v>1453</v>
      </c>
      <c r="B109" s="3">
        <v>24259815</v>
      </c>
      <c r="C109" s="3" t="s">
        <v>513</v>
      </c>
      <c r="D109" s="3" t="s">
        <v>514</v>
      </c>
      <c r="E109" s="73" t="s">
        <v>515</v>
      </c>
      <c r="F109" s="59" t="s">
        <v>516</v>
      </c>
      <c r="G109" s="59" t="s">
        <v>516</v>
      </c>
      <c r="H109" s="5" t="s">
        <v>373</v>
      </c>
      <c r="I109" s="3">
        <v>208010211</v>
      </c>
      <c r="J109" s="3" t="s">
        <v>375</v>
      </c>
      <c r="K109" s="3">
        <v>208010211</v>
      </c>
      <c r="L109" s="3" t="s">
        <v>375</v>
      </c>
      <c r="M109" s="3" t="s">
        <v>517</v>
      </c>
      <c r="N109" s="3" t="s">
        <v>64</v>
      </c>
      <c r="O109" s="3" t="s">
        <v>518</v>
      </c>
      <c r="P109" s="3" t="s">
        <v>16</v>
      </c>
      <c r="Q109" s="3" t="s">
        <v>502</v>
      </c>
      <c r="R109" s="3" t="s">
        <v>16</v>
      </c>
      <c r="S109" s="3" t="s">
        <v>16</v>
      </c>
      <c r="T109" s="3" t="s">
        <v>16</v>
      </c>
      <c r="U109" s="3" t="s">
        <v>519</v>
      </c>
      <c r="V109" s="3" t="s">
        <v>380</v>
      </c>
      <c r="W109" s="3" t="s">
        <v>381</v>
      </c>
      <c r="X109" s="4" t="s">
        <v>47</v>
      </c>
      <c r="Y109" s="4" t="s">
        <v>16</v>
      </c>
      <c r="Z109" s="4" t="s">
        <v>16</v>
      </c>
      <c r="AA109" t="str">
        <f t="shared" si="1"/>
        <v>Not Matched</v>
      </c>
      <c r="AB109" s="82">
        <v>242595588</v>
      </c>
    </row>
    <row r="110" spans="1:28" ht="14.25" customHeight="1" x14ac:dyDescent="0.25">
      <c r="A110" s="3" t="s">
        <v>1756</v>
      </c>
      <c r="B110" s="3">
        <v>242598153</v>
      </c>
      <c r="C110" s="3" t="s">
        <v>513</v>
      </c>
      <c r="D110" s="3" t="s">
        <v>514</v>
      </c>
      <c r="E110" s="73" t="s">
        <v>515</v>
      </c>
      <c r="F110" s="59" t="s">
        <v>1351</v>
      </c>
      <c r="G110" s="59" t="s">
        <v>1351</v>
      </c>
      <c r="H110" s="5" t="s">
        <v>373</v>
      </c>
      <c r="I110" s="3">
        <v>208010211</v>
      </c>
      <c r="J110" s="3" t="s">
        <v>375</v>
      </c>
      <c r="K110" s="3">
        <v>208010211</v>
      </c>
      <c r="L110" s="3" t="s">
        <v>375</v>
      </c>
      <c r="M110" s="3" t="s">
        <v>517</v>
      </c>
      <c r="N110" s="3" t="s">
        <v>64</v>
      </c>
      <c r="O110" s="3" t="s">
        <v>518</v>
      </c>
      <c r="P110" s="3" t="s">
        <v>16</v>
      </c>
      <c r="Q110" s="3" t="s">
        <v>502</v>
      </c>
      <c r="R110" s="3" t="s">
        <v>16</v>
      </c>
      <c r="S110" s="3" t="s">
        <v>16</v>
      </c>
      <c r="T110" s="3" t="s">
        <v>16</v>
      </c>
      <c r="U110" s="3" t="s">
        <v>519</v>
      </c>
      <c r="V110" s="3" t="s">
        <v>380</v>
      </c>
      <c r="W110" s="3" t="s">
        <v>381</v>
      </c>
      <c r="X110" s="4" t="s">
        <v>47</v>
      </c>
      <c r="Y110" s="4" t="s">
        <v>16</v>
      </c>
      <c r="Z110" s="4" t="s">
        <v>16</v>
      </c>
      <c r="AA110" t="str">
        <f t="shared" si="1"/>
        <v>Not Matched</v>
      </c>
      <c r="AB110" s="82">
        <v>242595588</v>
      </c>
    </row>
    <row r="111" spans="1:28" ht="14.25" customHeight="1" x14ac:dyDescent="0.25">
      <c r="A111" s="3" t="s">
        <v>1757</v>
      </c>
      <c r="B111" s="3">
        <v>242598153</v>
      </c>
      <c r="C111" s="3" t="s">
        <v>513</v>
      </c>
      <c r="D111" s="3" t="s">
        <v>514</v>
      </c>
      <c r="E111" s="73" t="s">
        <v>515</v>
      </c>
      <c r="F111" s="59" t="s">
        <v>516</v>
      </c>
      <c r="G111" s="59" t="s">
        <v>516</v>
      </c>
      <c r="H111" s="5" t="s">
        <v>373</v>
      </c>
      <c r="I111" s="3">
        <v>208010211</v>
      </c>
      <c r="J111" s="3" t="s">
        <v>375</v>
      </c>
      <c r="K111" s="3">
        <v>208010211</v>
      </c>
      <c r="L111" s="3" t="s">
        <v>375</v>
      </c>
      <c r="M111" s="3" t="s">
        <v>517</v>
      </c>
      <c r="N111" s="3" t="s">
        <v>64</v>
      </c>
      <c r="O111" s="3" t="s">
        <v>518</v>
      </c>
      <c r="P111" s="3" t="s">
        <v>16</v>
      </c>
      <c r="Q111" s="3" t="s">
        <v>502</v>
      </c>
      <c r="R111" s="3" t="s">
        <v>16</v>
      </c>
      <c r="S111" s="3" t="s">
        <v>16</v>
      </c>
      <c r="T111" s="3" t="s">
        <v>16</v>
      </c>
      <c r="U111" s="3" t="s">
        <v>519</v>
      </c>
      <c r="V111" s="3" t="s">
        <v>380</v>
      </c>
      <c r="W111" s="3" t="s">
        <v>381</v>
      </c>
      <c r="X111" s="4" t="s">
        <v>47</v>
      </c>
      <c r="Y111" s="4" t="s">
        <v>16</v>
      </c>
      <c r="Z111" s="4" t="s">
        <v>16</v>
      </c>
      <c r="AA111" t="str">
        <f t="shared" si="1"/>
        <v>Not Matched</v>
      </c>
      <c r="AB111" s="82">
        <v>242595588</v>
      </c>
    </row>
    <row r="112" spans="1:28" ht="14.25" customHeight="1" x14ac:dyDescent="0.25">
      <c r="A112" s="3" t="s">
        <v>1532</v>
      </c>
      <c r="B112" s="3">
        <v>242598153</v>
      </c>
      <c r="C112" s="3" t="s">
        <v>513</v>
      </c>
      <c r="D112" s="3" t="s">
        <v>514</v>
      </c>
      <c r="E112" s="73" t="s">
        <v>515</v>
      </c>
      <c r="F112" s="59" t="s">
        <v>516</v>
      </c>
      <c r="G112" s="59" t="s">
        <v>516</v>
      </c>
      <c r="H112" s="5" t="s">
        <v>373</v>
      </c>
      <c r="I112" s="5" t="s">
        <v>1355</v>
      </c>
      <c r="J112" s="3" t="s">
        <v>375</v>
      </c>
      <c r="K112" s="5" t="s">
        <v>1355</v>
      </c>
      <c r="L112" s="3" t="s">
        <v>375</v>
      </c>
      <c r="M112" s="3" t="s">
        <v>517</v>
      </c>
      <c r="N112" s="3" t="s">
        <v>64</v>
      </c>
      <c r="O112" s="3" t="s">
        <v>518</v>
      </c>
      <c r="P112" s="3" t="s">
        <v>16</v>
      </c>
      <c r="Q112" s="3" t="s">
        <v>502</v>
      </c>
      <c r="R112" s="3" t="s">
        <v>16</v>
      </c>
      <c r="S112" s="3" t="s">
        <v>16</v>
      </c>
      <c r="T112" s="3" t="s">
        <v>16</v>
      </c>
      <c r="U112" s="3" t="s">
        <v>519</v>
      </c>
      <c r="V112" s="3" t="s">
        <v>380</v>
      </c>
      <c r="W112" s="3" t="s">
        <v>381</v>
      </c>
      <c r="X112" s="4" t="s">
        <v>47</v>
      </c>
      <c r="Y112" s="4" t="s">
        <v>16</v>
      </c>
      <c r="Z112" s="4" t="s">
        <v>16</v>
      </c>
      <c r="AA112" t="str">
        <f t="shared" si="1"/>
        <v>Not Matched</v>
      </c>
      <c r="AB112" s="82">
        <v>242595588</v>
      </c>
    </row>
    <row r="113" spans="1:28" ht="14.25" customHeight="1" x14ac:dyDescent="0.25">
      <c r="A113" s="3" t="s">
        <v>1456</v>
      </c>
      <c r="B113" s="3">
        <v>242598153</v>
      </c>
      <c r="C113" s="3" t="s">
        <v>513</v>
      </c>
      <c r="D113" s="3" t="s">
        <v>514</v>
      </c>
      <c r="E113" s="73" t="s">
        <v>515</v>
      </c>
      <c r="F113" s="59" t="s">
        <v>516</v>
      </c>
      <c r="G113" s="59" t="s">
        <v>516</v>
      </c>
      <c r="H113" s="5" t="s">
        <v>373</v>
      </c>
      <c r="I113" s="3">
        <v>9938123456</v>
      </c>
      <c r="J113" s="3" t="s">
        <v>375</v>
      </c>
      <c r="K113" s="3">
        <v>9938123456</v>
      </c>
      <c r="L113" s="3" t="s">
        <v>375</v>
      </c>
      <c r="M113" s="3" t="s">
        <v>517</v>
      </c>
      <c r="N113" s="3" t="s">
        <v>64</v>
      </c>
      <c r="O113" s="3" t="s">
        <v>518</v>
      </c>
      <c r="P113" s="3" t="s">
        <v>16</v>
      </c>
      <c r="Q113" s="3" t="s">
        <v>502</v>
      </c>
      <c r="R113" s="3" t="s">
        <v>16</v>
      </c>
      <c r="S113" s="3" t="s">
        <v>16</v>
      </c>
      <c r="T113" s="3" t="s">
        <v>16</v>
      </c>
      <c r="U113" s="3" t="s">
        <v>519</v>
      </c>
      <c r="V113" s="3" t="s">
        <v>380</v>
      </c>
      <c r="W113" s="3" t="s">
        <v>381</v>
      </c>
      <c r="X113" s="4" t="s">
        <v>47</v>
      </c>
      <c r="Y113" s="4" t="s">
        <v>16</v>
      </c>
      <c r="Z113" s="4" t="s">
        <v>16</v>
      </c>
      <c r="AA113" t="str">
        <f t="shared" si="1"/>
        <v>Not Matched</v>
      </c>
      <c r="AB113" s="82">
        <v>242595588</v>
      </c>
    </row>
    <row r="114" spans="1:28" ht="14.25" customHeight="1" x14ac:dyDescent="0.25">
      <c r="A114" s="3" t="s">
        <v>1457</v>
      </c>
      <c r="B114" s="3">
        <v>242598153</v>
      </c>
      <c r="C114" s="3" t="s">
        <v>513</v>
      </c>
      <c r="D114" s="3" t="s">
        <v>514</v>
      </c>
      <c r="E114" s="73" t="s">
        <v>515</v>
      </c>
      <c r="F114" s="59" t="s">
        <v>516</v>
      </c>
      <c r="G114" s="59" t="s">
        <v>516</v>
      </c>
      <c r="H114" s="5" t="s">
        <v>373</v>
      </c>
      <c r="I114" s="3">
        <v>208010211</v>
      </c>
      <c r="J114" s="3" t="s">
        <v>375</v>
      </c>
      <c r="K114" s="3">
        <v>209010211</v>
      </c>
      <c r="L114" s="3" t="s">
        <v>375</v>
      </c>
      <c r="M114" s="3" t="s">
        <v>517</v>
      </c>
      <c r="N114" s="3" t="s">
        <v>64</v>
      </c>
      <c r="O114" s="3" t="s">
        <v>518</v>
      </c>
      <c r="P114" s="3" t="s">
        <v>16</v>
      </c>
      <c r="Q114" s="3" t="s">
        <v>502</v>
      </c>
      <c r="R114" s="3" t="s">
        <v>16</v>
      </c>
      <c r="S114" s="3" t="s">
        <v>16</v>
      </c>
      <c r="T114" s="3" t="s">
        <v>16</v>
      </c>
      <c r="U114" s="3" t="s">
        <v>519</v>
      </c>
      <c r="V114" s="3" t="s">
        <v>380</v>
      </c>
      <c r="W114" s="3" t="s">
        <v>381</v>
      </c>
      <c r="X114" s="4" t="s">
        <v>47</v>
      </c>
      <c r="Y114" s="4" t="s">
        <v>16</v>
      </c>
      <c r="Z114" s="4" t="s">
        <v>16</v>
      </c>
      <c r="AA114" t="str">
        <f t="shared" si="1"/>
        <v>Not Matched</v>
      </c>
      <c r="AB114" s="82">
        <v>242595588</v>
      </c>
    </row>
    <row r="115" spans="1:28" ht="14.25" customHeight="1" x14ac:dyDescent="0.25">
      <c r="A115" s="3" t="s">
        <v>1477</v>
      </c>
      <c r="B115" s="3">
        <v>242598153</v>
      </c>
      <c r="C115" s="3" t="s">
        <v>513</v>
      </c>
      <c r="D115" s="3" t="s">
        <v>514</v>
      </c>
      <c r="E115" s="73" t="s">
        <v>515</v>
      </c>
      <c r="F115" s="59" t="s">
        <v>516</v>
      </c>
      <c r="G115" s="59" t="s">
        <v>516</v>
      </c>
      <c r="H115" s="5" t="s">
        <v>373</v>
      </c>
      <c r="I115" s="3">
        <v>208010211</v>
      </c>
      <c r="J115" s="3">
        <v>343</v>
      </c>
      <c r="K115" s="3">
        <v>209010211</v>
      </c>
      <c r="L115" s="3" t="s">
        <v>375</v>
      </c>
      <c r="M115" s="3" t="s">
        <v>517</v>
      </c>
      <c r="N115" s="3" t="s">
        <v>64</v>
      </c>
      <c r="O115" s="3" t="s">
        <v>518</v>
      </c>
      <c r="P115" s="3" t="s">
        <v>16</v>
      </c>
      <c r="Q115" s="3" t="s">
        <v>502</v>
      </c>
      <c r="R115" s="3" t="s">
        <v>16</v>
      </c>
      <c r="S115" s="3" t="s">
        <v>16</v>
      </c>
      <c r="T115" s="3" t="s">
        <v>16</v>
      </c>
      <c r="U115" s="3" t="s">
        <v>519</v>
      </c>
      <c r="V115" s="3" t="s">
        <v>380</v>
      </c>
      <c r="W115" s="3" t="s">
        <v>381</v>
      </c>
      <c r="X115" s="4" t="s">
        <v>47</v>
      </c>
      <c r="Y115" s="4" t="s">
        <v>16</v>
      </c>
      <c r="Z115" s="4" t="s">
        <v>16</v>
      </c>
      <c r="AA115" t="str">
        <f t="shared" si="1"/>
        <v>Not Matched</v>
      </c>
      <c r="AB115" s="82">
        <v>242595588</v>
      </c>
    </row>
    <row r="116" spans="1:28" ht="14.25" customHeight="1" x14ac:dyDescent="0.25">
      <c r="A116" s="3" t="s">
        <v>1764</v>
      </c>
      <c r="B116" s="3">
        <v>242598153</v>
      </c>
      <c r="C116" s="3" t="s">
        <v>513</v>
      </c>
      <c r="D116" s="3" t="s">
        <v>514</v>
      </c>
      <c r="E116" s="73" t="s">
        <v>515</v>
      </c>
      <c r="F116" s="59" t="s">
        <v>516</v>
      </c>
      <c r="G116" s="59" t="s">
        <v>516</v>
      </c>
      <c r="H116" s="5" t="s">
        <v>373</v>
      </c>
      <c r="I116" s="3">
        <v>208010211</v>
      </c>
      <c r="J116" s="3" t="s">
        <v>375</v>
      </c>
      <c r="K116" s="3">
        <v>208010211</v>
      </c>
      <c r="L116" s="3" t="s">
        <v>375</v>
      </c>
      <c r="M116" s="3" t="s">
        <v>517</v>
      </c>
      <c r="N116" s="3" t="s">
        <v>64</v>
      </c>
      <c r="O116" s="3" t="s">
        <v>518</v>
      </c>
      <c r="P116" s="3" t="s">
        <v>16</v>
      </c>
      <c r="Q116" s="3" t="s">
        <v>502</v>
      </c>
      <c r="R116" s="3" t="s">
        <v>16</v>
      </c>
      <c r="S116" s="3" t="s">
        <v>16</v>
      </c>
      <c r="T116" s="3" t="s">
        <v>16</v>
      </c>
      <c r="U116" s="3" t="s">
        <v>519</v>
      </c>
      <c r="V116" s="3" t="s">
        <v>380</v>
      </c>
      <c r="W116" s="3" t="s">
        <v>381</v>
      </c>
      <c r="X116" s="4" t="s">
        <v>112</v>
      </c>
      <c r="Y116" s="4" t="s">
        <v>16</v>
      </c>
      <c r="Z116" s="4" t="s">
        <v>16</v>
      </c>
      <c r="AA116" t="str">
        <f t="shared" si="1"/>
        <v>Not Matched</v>
      </c>
      <c r="AB116" s="82">
        <v>242595588</v>
      </c>
    </row>
    <row r="117" spans="1:28" ht="14.25" customHeight="1" x14ac:dyDescent="0.25">
      <c r="A117" s="3" t="s">
        <v>1459</v>
      </c>
      <c r="B117" s="3">
        <v>242598153</v>
      </c>
      <c r="C117" s="3" t="s">
        <v>513</v>
      </c>
      <c r="D117" s="3" t="s">
        <v>514</v>
      </c>
      <c r="E117" s="73" t="s">
        <v>515</v>
      </c>
      <c r="F117" s="59" t="s">
        <v>516</v>
      </c>
      <c r="G117" s="59" t="s">
        <v>516</v>
      </c>
      <c r="H117" s="5" t="s">
        <v>373</v>
      </c>
      <c r="I117" s="3">
        <v>208010211</v>
      </c>
      <c r="J117" s="3" t="s">
        <v>375</v>
      </c>
      <c r="K117" s="3">
        <v>208010211</v>
      </c>
      <c r="L117" s="3" t="s">
        <v>375</v>
      </c>
      <c r="M117" s="3" t="s">
        <v>517</v>
      </c>
      <c r="N117" s="3" t="s">
        <v>64</v>
      </c>
      <c r="O117" s="3" t="s">
        <v>518</v>
      </c>
      <c r="P117" s="3" t="s">
        <v>16</v>
      </c>
      <c r="Q117" s="3" t="s">
        <v>502</v>
      </c>
      <c r="R117" s="3" t="s">
        <v>16</v>
      </c>
      <c r="S117" s="3" t="s">
        <v>16</v>
      </c>
      <c r="T117" s="3" t="s">
        <v>16</v>
      </c>
      <c r="U117" s="3" t="s">
        <v>519</v>
      </c>
      <c r="V117" s="3" t="s">
        <v>380</v>
      </c>
      <c r="W117" s="3" t="s">
        <v>381</v>
      </c>
      <c r="X117" s="4" t="s">
        <v>1376</v>
      </c>
      <c r="Y117" s="4" t="s">
        <v>16</v>
      </c>
      <c r="Z117" s="4" t="s">
        <v>16</v>
      </c>
      <c r="AA117" t="str">
        <f t="shared" si="1"/>
        <v>Not Matched</v>
      </c>
      <c r="AB117" s="82">
        <v>242595588</v>
      </c>
    </row>
    <row r="118" spans="1:28" ht="14.25" customHeight="1" x14ac:dyDescent="0.25">
      <c r="A118" s="3" t="s">
        <v>1572</v>
      </c>
      <c r="B118" s="3">
        <v>242597769</v>
      </c>
      <c r="C118" s="3" t="s">
        <v>1573</v>
      </c>
      <c r="D118" s="3" t="s">
        <v>1574</v>
      </c>
      <c r="E118" s="73" t="s">
        <v>1575</v>
      </c>
      <c r="F118" s="59" t="s">
        <v>1576</v>
      </c>
      <c r="G118" s="59" t="s">
        <v>1576</v>
      </c>
      <c r="H118" s="5" t="s">
        <v>373</v>
      </c>
      <c r="I118" s="3">
        <v>208030049</v>
      </c>
      <c r="J118" s="3" t="s">
        <v>375</v>
      </c>
      <c r="K118" s="3">
        <v>208030049</v>
      </c>
      <c r="L118" s="3" t="s">
        <v>375</v>
      </c>
      <c r="M118" s="3" t="s">
        <v>517</v>
      </c>
      <c r="N118" s="3" t="s">
        <v>64</v>
      </c>
      <c r="O118" s="3" t="s">
        <v>1577</v>
      </c>
      <c r="P118" s="3" t="s">
        <v>16</v>
      </c>
      <c r="Q118" s="3" t="s">
        <v>1578</v>
      </c>
      <c r="R118" s="3" t="s">
        <v>16</v>
      </c>
      <c r="S118" s="3" t="s">
        <v>16</v>
      </c>
      <c r="T118" s="3" t="s">
        <v>16</v>
      </c>
      <c r="U118" s="3" t="s">
        <v>828</v>
      </c>
      <c r="V118" s="3" t="s">
        <v>380</v>
      </c>
      <c r="W118" s="3" t="s">
        <v>381</v>
      </c>
      <c r="X118" s="4" t="s">
        <v>47</v>
      </c>
      <c r="Y118" s="4" t="s">
        <v>16</v>
      </c>
      <c r="Z118" s="4" t="s">
        <v>16</v>
      </c>
      <c r="AA118" t="str">
        <f t="shared" si="1"/>
        <v>Not Matched</v>
      </c>
      <c r="AB118" s="82">
        <v>242595588</v>
      </c>
    </row>
    <row r="119" spans="1:28" ht="14.25" customHeight="1" x14ac:dyDescent="0.25">
      <c r="A119" s="3" t="s">
        <v>1464</v>
      </c>
      <c r="B119" s="3">
        <v>242597076</v>
      </c>
      <c r="C119" s="3" t="s">
        <v>1357</v>
      </c>
      <c r="D119" s="3" t="s">
        <v>1358</v>
      </c>
      <c r="E119" s="11" t="s">
        <v>945</v>
      </c>
      <c r="F119" s="59" t="s">
        <v>1359</v>
      </c>
      <c r="G119" s="59" t="s">
        <v>1359</v>
      </c>
      <c r="H119" s="5" t="s">
        <v>1360</v>
      </c>
      <c r="I119" s="3">
        <v>208030027</v>
      </c>
      <c r="J119" s="3" t="s">
        <v>375</v>
      </c>
      <c r="K119" s="3">
        <v>208030027</v>
      </c>
      <c r="L119" s="3" t="s">
        <v>375</v>
      </c>
      <c r="M119" s="3" t="s">
        <v>1361</v>
      </c>
      <c r="N119" s="3" t="s">
        <v>64</v>
      </c>
      <c r="O119" s="3" t="s">
        <v>1362</v>
      </c>
      <c r="P119" s="3" t="s">
        <v>16</v>
      </c>
      <c r="Q119" s="3" t="s">
        <v>1363</v>
      </c>
      <c r="R119" s="3" t="s">
        <v>576</v>
      </c>
      <c r="S119" s="3" t="s">
        <v>16</v>
      </c>
      <c r="T119" s="3" t="s">
        <v>16</v>
      </c>
      <c r="U119" s="3" t="s">
        <v>951</v>
      </c>
      <c r="V119" s="3" t="s">
        <v>380</v>
      </c>
      <c r="W119" s="3" t="s">
        <v>381</v>
      </c>
      <c r="X119" s="4" t="s">
        <v>47</v>
      </c>
      <c r="Y119" s="4" t="s">
        <v>16</v>
      </c>
      <c r="Z119" s="4" t="s">
        <v>16</v>
      </c>
      <c r="AA119" t="str">
        <f t="shared" si="1"/>
        <v>Matched</v>
      </c>
      <c r="AB119" s="83">
        <v>242595685</v>
      </c>
    </row>
    <row r="120" spans="1:28" ht="13.15" customHeight="1" x14ac:dyDescent="0.25">
      <c r="A120" s="3" t="s">
        <v>1754</v>
      </c>
      <c r="B120" s="3">
        <v>242598153</v>
      </c>
      <c r="C120" s="3" t="s">
        <v>513</v>
      </c>
      <c r="D120" s="3" t="s">
        <v>514</v>
      </c>
      <c r="E120" s="73" t="s">
        <v>515</v>
      </c>
      <c r="F120" s="59" t="s">
        <v>1351</v>
      </c>
      <c r="G120" s="59" t="s">
        <v>1351</v>
      </c>
      <c r="H120" s="5" t="s">
        <v>373</v>
      </c>
      <c r="I120" s="3">
        <v>208010211</v>
      </c>
      <c r="J120" s="3" t="s">
        <v>375</v>
      </c>
      <c r="K120" s="3">
        <v>208010211</v>
      </c>
      <c r="L120" s="3" t="s">
        <v>375</v>
      </c>
      <c r="M120" s="3" t="s">
        <v>517</v>
      </c>
      <c r="N120" s="3" t="s">
        <v>64</v>
      </c>
      <c r="O120" s="3" t="s">
        <v>518</v>
      </c>
      <c r="P120" s="3" t="s">
        <v>16</v>
      </c>
      <c r="Q120" s="3" t="s">
        <v>502</v>
      </c>
      <c r="R120" s="3" t="s">
        <v>16</v>
      </c>
      <c r="S120" s="3" t="s">
        <v>16</v>
      </c>
      <c r="T120" s="3" t="s">
        <v>16</v>
      </c>
      <c r="U120" s="3" t="s">
        <v>519</v>
      </c>
      <c r="V120" s="3" t="s">
        <v>380</v>
      </c>
      <c r="W120" s="3" t="s">
        <v>381</v>
      </c>
      <c r="X120" s="4" t="s">
        <v>47</v>
      </c>
      <c r="Y120" s="4" t="s">
        <v>16</v>
      </c>
      <c r="Z120" s="4" t="s">
        <v>16</v>
      </c>
      <c r="AA120" t="str">
        <f t="shared" si="1"/>
        <v>Not Matched</v>
      </c>
      <c r="AB120" s="82">
        <v>242595588</v>
      </c>
    </row>
    <row r="121" spans="1:28" ht="23.65" customHeight="1" x14ac:dyDescent="0.25">
      <c r="A121" s="3" t="s">
        <v>1753</v>
      </c>
      <c r="B121" s="3">
        <v>242598153</v>
      </c>
      <c r="C121" s="3" t="s">
        <v>513</v>
      </c>
      <c r="D121" s="3" t="s">
        <v>514</v>
      </c>
      <c r="E121" s="73" t="s">
        <v>515</v>
      </c>
      <c r="F121" s="59" t="s">
        <v>1353</v>
      </c>
      <c r="G121" s="59" t="s">
        <v>516</v>
      </c>
      <c r="H121" s="5" t="s">
        <v>373</v>
      </c>
      <c r="I121" s="3">
        <v>208010211</v>
      </c>
      <c r="J121" s="3" t="s">
        <v>375</v>
      </c>
      <c r="K121" s="3">
        <v>208010211</v>
      </c>
      <c r="L121" s="3" t="s">
        <v>375</v>
      </c>
      <c r="M121" s="3" t="s">
        <v>517</v>
      </c>
      <c r="N121" s="3" t="s">
        <v>64</v>
      </c>
      <c r="O121" s="3" t="s">
        <v>518</v>
      </c>
      <c r="P121" s="3" t="s">
        <v>16</v>
      </c>
      <c r="Q121" s="3" t="s">
        <v>502</v>
      </c>
      <c r="R121" s="3" t="s">
        <v>16</v>
      </c>
      <c r="S121" s="3" t="s">
        <v>16</v>
      </c>
      <c r="T121" s="3" t="s">
        <v>16</v>
      </c>
      <c r="U121" s="3" t="s">
        <v>519</v>
      </c>
      <c r="V121" s="3" t="s">
        <v>380</v>
      </c>
      <c r="W121" s="3" t="s">
        <v>381</v>
      </c>
      <c r="X121" s="4" t="s">
        <v>47</v>
      </c>
      <c r="Y121" s="4" t="s">
        <v>16</v>
      </c>
      <c r="Z121" s="4" t="s">
        <v>16</v>
      </c>
      <c r="AA121" t="str">
        <f t="shared" si="1"/>
        <v>Not Matched</v>
      </c>
      <c r="AB121" s="82">
        <v>242595588</v>
      </c>
    </row>
    <row r="122" spans="1:28" ht="14.25" customHeight="1" x14ac:dyDescent="0.25">
      <c r="A122" s="3" t="s">
        <v>1460</v>
      </c>
      <c r="B122" s="7">
        <v>242600174</v>
      </c>
      <c r="C122" s="7" t="s">
        <v>383</v>
      </c>
      <c r="D122" s="7" t="s">
        <v>384</v>
      </c>
      <c r="E122" s="8" t="s">
        <v>385</v>
      </c>
      <c r="F122" s="147" t="s">
        <v>386</v>
      </c>
      <c r="G122" s="146" t="s">
        <v>386</v>
      </c>
      <c r="H122" s="7">
        <v>940315</v>
      </c>
      <c r="I122" s="7">
        <v>208007008</v>
      </c>
      <c r="J122" s="3" t="s">
        <v>375</v>
      </c>
      <c r="K122" s="7">
        <v>208007008</v>
      </c>
      <c r="L122" s="3" t="s">
        <v>375</v>
      </c>
      <c r="M122" s="3" t="s">
        <v>388</v>
      </c>
      <c r="N122" s="7" t="s">
        <v>20</v>
      </c>
      <c r="O122" s="7" t="s">
        <v>389</v>
      </c>
      <c r="P122" s="3" t="s">
        <v>16</v>
      </c>
      <c r="Q122" s="7" t="s">
        <v>390</v>
      </c>
      <c r="R122" s="7" t="s">
        <v>391</v>
      </c>
      <c r="S122" s="3" t="s">
        <v>16</v>
      </c>
      <c r="T122" s="3" t="s">
        <v>16</v>
      </c>
      <c r="U122" s="3" t="s">
        <v>392</v>
      </c>
      <c r="V122" s="3" t="s">
        <v>380</v>
      </c>
      <c r="W122" s="3" t="s">
        <v>381</v>
      </c>
      <c r="X122" s="4" t="s">
        <v>47</v>
      </c>
      <c r="Y122" s="6" t="s">
        <v>16</v>
      </c>
      <c r="Z122" s="4" t="s">
        <v>16</v>
      </c>
      <c r="AA122" t="str">
        <f t="shared" si="1"/>
        <v>Not Matched</v>
      </c>
      <c r="AB122" s="82">
        <v>242595634</v>
      </c>
    </row>
    <row r="123" spans="1:28" ht="14.25" customHeight="1" x14ac:dyDescent="0.25">
      <c r="A123" t="s">
        <v>1796</v>
      </c>
      <c r="B123" s="3">
        <v>242599028</v>
      </c>
      <c r="C123" s="3" t="s">
        <v>1539</v>
      </c>
      <c r="D123" s="3" t="s">
        <v>1540</v>
      </c>
      <c r="E123" s="73" t="s">
        <v>1541</v>
      </c>
      <c r="F123" s="59" t="s">
        <v>1542</v>
      </c>
      <c r="G123" s="59" t="s">
        <v>1542</v>
      </c>
      <c r="H123" s="5" t="s">
        <v>373</v>
      </c>
      <c r="I123" s="3">
        <v>9938123456</v>
      </c>
      <c r="J123" s="3" t="s">
        <v>375</v>
      </c>
      <c r="K123" s="3">
        <v>9938123456</v>
      </c>
      <c r="L123" s="3" t="s">
        <v>375</v>
      </c>
      <c r="M123" s="3" t="s">
        <v>517</v>
      </c>
      <c r="N123" s="3" t="s">
        <v>114</v>
      </c>
      <c r="O123" s="3" t="s">
        <v>1543</v>
      </c>
      <c r="P123" s="3" t="s">
        <v>16</v>
      </c>
      <c r="Q123" s="3" t="s">
        <v>501</v>
      </c>
      <c r="R123" s="3" t="s">
        <v>16</v>
      </c>
      <c r="S123" s="3" t="s">
        <v>16</v>
      </c>
      <c r="T123" s="3" t="s">
        <v>16</v>
      </c>
      <c r="U123" s="3" t="s">
        <v>502</v>
      </c>
      <c r="V123" s="3" t="s">
        <v>380</v>
      </c>
      <c r="W123" s="3" t="s">
        <v>381</v>
      </c>
      <c r="X123" s="4" t="s">
        <v>47</v>
      </c>
      <c r="Y123" s="4" t="s">
        <v>16</v>
      </c>
      <c r="Z123" s="4" t="s">
        <v>16</v>
      </c>
      <c r="AA123" t="str">
        <f t="shared" si="1"/>
        <v>Matched</v>
      </c>
      <c r="AB123" s="82">
        <v>242595588</v>
      </c>
    </row>
    <row r="124" spans="1:28" ht="14.25" customHeight="1" x14ac:dyDescent="0.25">
      <c r="A124" s="3" t="s">
        <v>1544</v>
      </c>
      <c r="B124" s="3">
        <v>242600301</v>
      </c>
      <c r="C124" s="3" t="s">
        <v>1545</v>
      </c>
      <c r="D124" s="3" t="s">
        <v>1546</v>
      </c>
      <c r="E124" s="73" t="s">
        <v>1547</v>
      </c>
      <c r="F124" s="59" t="s">
        <v>1548</v>
      </c>
      <c r="G124" s="59" t="s">
        <v>1548</v>
      </c>
      <c r="H124" s="5" t="s">
        <v>373</v>
      </c>
      <c r="I124" s="3">
        <v>208009906</v>
      </c>
      <c r="J124" s="3" t="s">
        <v>375</v>
      </c>
      <c r="K124" s="3">
        <v>208009907</v>
      </c>
      <c r="L124" s="3" t="s">
        <v>375</v>
      </c>
      <c r="M124" s="3" t="s">
        <v>517</v>
      </c>
      <c r="N124" s="3" t="s">
        <v>114</v>
      </c>
      <c r="O124" s="3" t="s">
        <v>1549</v>
      </c>
      <c r="P124" s="3" t="s">
        <v>16</v>
      </c>
      <c r="Q124" s="3" t="s">
        <v>1550</v>
      </c>
      <c r="R124" s="3" t="s">
        <v>16</v>
      </c>
      <c r="S124" s="3" t="s">
        <v>16</v>
      </c>
      <c r="T124" s="3" t="s">
        <v>16</v>
      </c>
      <c r="U124" s="3" t="s">
        <v>1551</v>
      </c>
      <c r="V124" s="3" t="s">
        <v>380</v>
      </c>
      <c r="W124" s="3" t="s">
        <v>381</v>
      </c>
      <c r="X124" s="4" t="s">
        <v>47</v>
      </c>
      <c r="Y124" s="4" t="s">
        <v>16</v>
      </c>
      <c r="Z124" s="4" t="s">
        <v>16</v>
      </c>
      <c r="AA124" t="str">
        <f t="shared" si="1"/>
        <v>Matched</v>
      </c>
      <c r="AB124" s="82">
        <v>242595588</v>
      </c>
    </row>
    <row r="125" spans="1:28" ht="14.25" customHeight="1" x14ac:dyDescent="0.25">
      <c r="A125" s="3" t="s">
        <v>1552</v>
      </c>
      <c r="B125" s="3">
        <v>242599109</v>
      </c>
      <c r="C125" s="3" t="s">
        <v>1553</v>
      </c>
      <c r="D125" s="3" t="s">
        <v>1554</v>
      </c>
      <c r="E125" s="73" t="s">
        <v>1555</v>
      </c>
      <c r="F125" s="59" t="s">
        <v>1556</v>
      </c>
      <c r="G125" s="59" t="s">
        <v>1556</v>
      </c>
      <c r="H125" s="5" t="s">
        <v>373</v>
      </c>
      <c r="I125" s="3">
        <v>208010262</v>
      </c>
      <c r="J125" s="3" t="s">
        <v>375</v>
      </c>
      <c r="K125" s="3">
        <v>208010262</v>
      </c>
      <c r="L125" s="3" t="s">
        <v>375</v>
      </c>
      <c r="M125" s="3" t="s">
        <v>517</v>
      </c>
      <c r="N125" s="3" t="s">
        <v>64</v>
      </c>
      <c r="O125" s="3" t="s">
        <v>1557</v>
      </c>
      <c r="P125" s="3" t="s">
        <v>16</v>
      </c>
      <c r="Q125" s="3" t="s">
        <v>1558</v>
      </c>
      <c r="R125" s="3" t="s">
        <v>16</v>
      </c>
      <c r="S125" s="3" t="s">
        <v>16</v>
      </c>
      <c r="T125" s="3" t="s">
        <v>16</v>
      </c>
      <c r="U125" s="3" t="s">
        <v>635</v>
      </c>
      <c r="V125" s="3" t="s">
        <v>380</v>
      </c>
      <c r="W125" s="3" t="s">
        <v>381</v>
      </c>
      <c r="X125" s="4" t="s">
        <v>47</v>
      </c>
      <c r="Y125" s="4" t="s">
        <v>16</v>
      </c>
      <c r="Z125" s="4" t="s">
        <v>16</v>
      </c>
      <c r="AA125" t="str">
        <f t="shared" si="1"/>
        <v>Not Matched</v>
      </c>
      <c r="AB125" s="82">
        <v>242595588</v>
      </c>
    </row>
    <row r="126" spans="1:28" ht="14.25" customHeight="1" x14ac:dyDescent="0.25">
      <c r="A126" s="3" t="s">
        <v>1559</v>
      </c>
      <c r="B126" s="3">
        <v>242598340</v>
      </c>
      <c r="C126" s="3" t="s">
        <v>485</v>
      </c>
      <c r="D126" s="3" t="s">
        <v>1533</v>
      </c>
      <c r="E126" s="73" t="s">
        <v>1534</v>
      </c>
      <c r="F126" s="59" t="s">
        <v>1535</v>
      </c>
      <c r="G126" s="59" t="s">
        <v>1535</v>
      </c>
      <c r="H126" s="5" t="s">
        <v>373</v>
      </c>
      <c r="I126" s="3">
        <v>208030039</v>
      </c>
      <c r="J126" s="3" t="s">
        <v>375</v>
      </c>
      <c r="K126" s="3">
        <v>208030039</v>
      </c>
      <c r="L126" s="3" t="s">
        <v>375</v>
      </c>
      <c r="M126" s="3" t="s">
        <v>517</v>
      </c>
      <c r="N126" s="3" t="s">
        <v>114</v>
      </c>
      <c r="O126" s="3" t="s">
        <v>1536</v>
      </c>
      <c r="P126" s="3" t="s">
        <v>16</v>
      </c>
      <c r="Q126" s="3" t="s">
        <v>1537</v>
      </c>
      <c r="R126" s="3" t="s">
        <v>16</v>
      </c>
      <c r="S126" s="3" t="s">
        <v>16</v>
      </c>
      <c r="T126" s="3" t="s">
        <v>16</v>
      </c>
      <c r="U126" s="3" t="s">
        <v>567</v>
      </c>
      <c r="V126" s="3" t="s">
        <v>380</v>
      </c>
      <c r="W126" s="3" t="s">
        <v>381</v>
      </c>
      <c r="X126" s="4" t="s">
        <v>112</v>
      </c>
      <c r="Y126" s="4" t="s">
        <v>16</v>
      </c>
      <c r="Z126" s="4" t="s">
        <v>16</v>
      </c>
      <c r="AA126" t="str">
        <f t="shared" si="1"/>
        <v>Matched</v>
      </c>
      <c r="AB126" s="82">
        <v>242595588</v>
      </c>
    </row>
    <row r="127" spans="1:28" ht="14.25" customHeight="1" x14ac:dyDescent="0.25">
      <c r="A127" s="3" t="s">
        <v>1560</v>
      </c>
      <c r="B127" s="3">
        <v>242599427</v>
      </c>
      <c r="C127" s="3" t="s">
        <v>1561</v>
      </c>
      <c r="D127" s="3" t="s">
        <v>1562</v>
      </c>
      <c r="E127" s="73" t="s">
        <v>1563</v>
      </c>
      <c r="F127" s="59" t="s">
        <v>1564</v>
      </c>
      <c r="G127" s="59" t="s">
        <v>1564</v>
      </c>
      <c r="H127" s="5" t="s">
        <v>373</v>
      </c>
      <c r="I127" s="3">
        <v>208010305</v>
      </c>
      <c r="J127" s="3" t="s">
        <v>375</v>
      </c>
      <c r="K127" s="3">
        <v>208010305</v>
      </c>
      <c r="L127" s="3" t="s">
        <v>375</v>
      </c>
      <c r="M127" s="3" t="s">
        <v>517</v>
      </c>
      <c r="N127" s="3" t="s">
        <v>114</v>
      </c>
      <c r="O127" s="3" t="s">
        <v>1565</v>
      </c>
      <c r="P127" s="3" t="s">
        <v>16</v>
      </c>
      <c r="Q127" s="3" t="s">
        <v>557</v>
      </c>
      <c r="R127" s="3" t="s">
        <v>16</v>
      </c>
      <c r="S127" s="3" t="s">
        <v>16</v>
      </c>
      <c r="T127" s="3" t="s">
        <v>16</v>
      </c>
      <c r="U127" s="3" t="s">
        <v>557</v>
      </c>
      <c r="V127" s="3" t="s">
        <v>380</v>
      </c>
      <c r="W127" s="3" t="s">
        <v>381</v>
      </c>
      <c r="X127" s="4" t="s">
        <v>1376</v>
      </c>
      <c r="Y127" s="4" t="s">
        <v>16</v>
      </c>
      <c r="Z127" s="4" t="s">
        <v>16</v>
      </c>
      <c r="AA127" t="str">
        <f t="shared" si="1"/>
        <v>Matched</v>
      </c>
      <c r="AB127" s="82">
        <v>242595588</v>
      </c>
    </row>
    <row r="128" spans="1:28" ht="14.25" customHeight="1" x14ac:dyDescent="0.25">
      <c r="A128" s="3" t="s">
        <v>1566</v>
      </c>
      <c r="B128" s="3">
        <v>242596967</v>
      </c>
      <c r="C128" s="3" t="s">
        <v>1567</v>
      </c>
      <c r="D128" s="3" t="s">
        <v>1568</v>
      </c>
      <c r="E128" s="73" t="s">
        <v>1569</v>
      </c>
      <c r="F128" s="59" t="s">
        <v>1570</v>
      </c>
      <c r="G128" s="59" t="s">
        <v>1570</v>
      </c>
      <c r="H128" s="5" t="s">
        <v>373</v>
      </c>
      <c r="I128" s="3">
        <v>208030042</v>
      </c>
      <c r="J128" s="3" t="s">
        <v>375</v>
      </c>
      <c r="K128" s="3">
        <v>208030042</v>
      </c>
      <c r="L128" s="3" t="s">
        <v>375</v>
      </c>
      <c r="M128" s="3" t="s">
        <v>517</v>
      </c>
      <c r="N128" s="3" t="s">
        <v>64</v>
      </c>
      <c r="O128" s="3" t="s">
        <v>1571</v>
      </c>
      <c r="P128" s="3" t="s">
        <v>16</v>
      </c>
      <c r="Q128" s="3" t="s">
        <v>557</v>
      </c>
      <c r="R128" s="3" t="s">
        <v>16</v>
      </c>
      <c r="S128" s="3" t="s">
        <v>16</v>
      </c>
      <c r="T128" s="3" t="s">
        <v>16</v>
      </c>
      <c r="U128" s="3" t="s">
        <v>557</v>
      </c>
      <c r="V128" s="3" t="s">
        <v>380</v>
      </c>
      <c r="W128" s="3" t="s">
        <v>381</v>
      </c>
      <c r="X128" s="4" t="s">
        <v>1378</v>
      </c>
      <c r="Y128" s="4" t="s">
        <v>16</v>
      </c>
      <c r="Z128" s="4" t="s">
        <v>16</v>
      </c>
      <c r="AA128" t="str">
        <f t="shared" si="1"/>
        <v>Not Matched</v>
      </c>
      <c r="AB128" s="82">
        <v>242595588</v>
      </c>
    </row>
    <row r="129" spans="1:28" ht="14.25" customHeight="1" x14ac:dyDescent="0.25">
      <c r="A129" t="s">
        <v>1723</v>
      </c>
      <c r="B129" s="25">
        <v>242597793</v>
      </c>
      <c r="C129" s="4" t="s">
        <v>1724</v>
      </c>
      <c r="D129" s="4" t="s">
        <v>1725</v>
      </c>
      <c r="E129" s="148" t="s">
        <v>1726</v>
      </c>
      <c r="F129" s="87" t="s">
        <v>1727</v>
      </c>
      <c r="G129" t="s">
        <v>1727</v>
      </c>
      <c r="H129" s="5" t="s">
        <v>1728</v>
      </c>
      <c r="I129" s="4">
        <v>208010192</v>
      </c>
      <c r="J129" s="5" t="s">
        <v>375</v>
      </c>
      <c r="K129" s="4">
        <v>208010192</v>
      </c>
      <c r="L129" s="5" t="s">
        <v>375</v>
      </c>
      <c r="M129" s="3" t="s">
        <v>517</v>
      </c>
      <c r="N129" s="3" t="s">
        <v>64</v>
      </c>
      <c r="O129" t="s">
        <v>1729</v>
      </c>
      <c r="P129" s="3" t="s">
        <v>16</v>
      </c>
      <c r="Q129" t="s">
        <v>1730</v>
      </c>
      <c r="R129" s="3" t="s">
        <v>16</v>
      </c>
      <c r="S129" s="3" t="s">
        <v>16</v>
      </c>
      <c r="T129" s="3" t="s">
        <v>16</v>
      </c>
      <c r="U129" t="s">
        <v>392</v>
      </c>
      <c r="V129" s="3" t="s">
        <v>380</v>
      </c>
      <c r="W129" s="3" t="s">
        <v>381</v>
      </c>
      <c r="X129" s="4" t="s">
        <v>47</v>
      </c>
      <c r="Y129" s="6" t="s">
        <v>16</v>
      </c>
      <c r="Z129" s="4" t="s">
        <v>16</v>
      </c>
      <c r="AA129" t="str">
        <f t="shared" si="1"/>
        <v>Not Matched</v>
      </c>
      <c r="AB129" s="83">
        <v>242598137</v>
      </c>
    </row>
    <row r="130" spans="1:28" ht="14.25" customHeight="1" x14ac:dyDescent="0.25">
      <c r="A130" t="s">
        <v>1733</v>
      </c>
      <c r="B130">
        <v>242600107</v>
      </c>
      <c r="C130" t="s">
        <v>1731</v>
      </c>
      <c r="D130" t="s">
        <v>1732</v>
      </c>
      <c r="E130" s="149" t="s">
        <v>1184</v>
      </c>
      <c r="F130" s="87" t="s">
        <v>1734</v>
      </c>
      <c r="G130" t="s">
        <v>1734</v>
      </c>
      <c r="H130" s="5" t="s">
        <v>373</v>
      </c>
      <c r="I130" s="4">
        <v>208009058</v>
      </c>
      <c r="J130" s="150" t="s">
        <v>375</v>
      </c>
      <c r="K130" s="4">
        <v>208009058</v>
      </c>
      <c r="L130" s="150" t="s">
        <v>375</v>
      </c>
      <c r="M130" s="4" t="s">
        <v>1736</v>
      </c>
      <c r="N130" s="4" t="s">
        <v>64</v>
      </c>
      <c r="O130" s="4" t="s">
        <v>1735</v>
      </c>
      <c r="P130" s="4" t="s">
        <v>16</v>
      </c>
      <c r="Q130" t="s">
        <v>575</v>
      </c>
      <c r="R130" s="4" t="s">
        <v>16</v>
      </c>
      <c r="S130" s="4" t="s">
        <v>16</v>
      </c>
      <c r="T130" s="4" t="s">
        <v>16</v>
      </c>
      <c r="U130" t="s">
        <v>539</v>
      </c>
      <c r="V130" s="3" t="s">
        <v>380</v>
      </c>
      <c r="W130" s="3" t="s">
        <v>381</v>
      </c>
      <c r="X130" s="4" t="s">
        <v>47</v>
      </c>
      <c r="Y130" s="6" t="s">
        <v>16</v>
      </c>
      <c r="Z130" s="4" t="s">
        <v>16</v>
      </c>
      <c r="AA130" t="str">
        <f t="shared" ref="AA130:AA193" si="2">IF(ISNA(MATCH(B130, AB:AB, 0)), "Not Matched", "Matched")</f>
        <v>Matched</v>
      </c>
      <c r="AB130" s="82">
        <v>242598226</v>
      </c>
    </row>
    <row r="131" spans="1:28" ht="14.25" customHeight="1" x14ac:dyDescent="0.25">
      <c r="A131" s="162" t="s">
        <v>1772</v>
      </c>
      <c r="B131" s="162">
        <v>242596223</v>
      </c>
      <c r="C131" s="162" t="s">
        <v>1773</v>
      </c>
      <c r="D131" s="163" t="s">
        <v>1778</v>
      </c>
      <c r="E131" s="149" t="s">
        <v>1774</v>
      </c>
      <c r="F131" s="164" t="s">
        <v>1775</v>
      </c>
      <c r="G131" t="s">
        <v>1775</v>
      </c>
      <c r="I131" s="4">
        <v>208009953</v>
      </c>
      <c r="J131" s="150" t="s">
        <v>375</v>
      </c>
      <c r="K131" s="4">
        <v>208009953</v>
      </c>
      <c r="L131" s="150" t="s">
        <v>375</v>
      </c>
      <c r="M131" s="4" t="s">
        <v>1776</v>
      </c>
      <c r="N131" s="4" t="s">
        <v>114</v>
      </c>
      <c r="O131" s="4" t="s">
        <v>16</v>
      </c>
      <c r="P131" s="4" t="s">
        <v>16</v>
      </c>
      <c r="Q131" s="4" t="s">
        <v>16</v>
      </c>
      <c r="R131" s="4" t="s">
        <v>16</v>
      </c>
      <c r="S131" s="4" t="s">
        <v>16</v>
      </c>
      <c r="T131" s="4" t="s">
        <v>16</v>
      </c>
      <c r="U131" s="4" t="s">
        <v>16</v>
      </c>
      <c r="V131" s="4" t="s">
        <v>16</v>
      </c>
      <c r="W131" s="4" t="s">
        <v>1777</v>
      </c>
      <c r="X131" s="4" t="s">
        <v>47</v>
      </c>
      <c r="Y131" s="6" t="s">
        <v>16</v>
      </c>
      <c r="Z131" s="4" t="s">
        <v>16</v>
      </c>
      <c r="AA131" t="str">
        <f t="shared" si="2"/>
        <v>Matched</v>
      </c>
      <c r="AB131" s="83">
        <v>242598234</v>
      </c>
    </row>
    <row r="132" spans="1:28" ht="14.25" customHeight="1" x14ac:dyDescent="0.25">
      <c r="Y132" s="6"/>
      <c r="AA132" t="str">
        <f t="shared" si="2"/>
        <v>Not Matched</v>
      </c>
      <c r="AB132" s="83">
        <v>242598242</v>
      </c>
    </row>
    <row r="133" spans="1:28" ht="14.25" customHeight="1" x14ac:dyDescent="0.25">
      <c r="Y133" s="6"/>
      <c r="AA133" t="str">
        <f t="shared" si="2"/>
        <v>Not Matched</v>
      </c>
      <c r="AB133" s="83">
        <v>242598285</v>
      </c>
    </row>
    <row r="134" spans="1:28" ht="14.25" customHeight="1" x14ac:dyDescent="0.25">
      <c r="Y134" s="6"/>
      <c r="AA134" t="str">
        <f t="shared" si="2"/>
        <v>Not Matched</v>
      </c>
      <c r="AB134" s="83">
        <v>242599842</v>
      </c>
    </row>
    <row r="135" spans="1:28" ht="14.25" customHeight="1" x14ac:dyDescent="0.25">
      <c r="Y135" s="6"/>
      <c r="AA135" t="str">
        <f t="shared" si="2"/>
        <v>Not Matched</v>
      </c>
      <c r="AB135" s="83">
        <v>242600654</v>
      </c>
    </row>
    <row r="136" spans="1:28" ht="14.25" customHeight="1" x14ac:dyDescent="0.25">
      <c r="Y136" s="6"/>
      <c r="AA136" t="str">
        <f t="shared" si="2"/>
        <v>Not Matched</v>
      </c>
      <c r="AB136" s="83">
        <v>242598331</v>
      </c>
    </row>
    <row r="137" spans="1:28" ht="14.25" customHeight="1" x14ac:dyDescent="0.25">
      <c r="Y137" s="6"/>
      <c r="AA137" t="str">
        <f t="shared" si="2"/>
        <v>Not Matched</v>
      </c>
      <c r="AB137" s="83">
        <v>242598340</v>
      </c>
    </row>
    <row r="138" spans="1:28" ht="14.25" customHeight="1" x14ac:dyDescent="0.25">
      <c r="Y138" s="6"/>
      <c r="AA138" t="str">
        <f t="shared" si="2"/>
        <v>Not Matched</v>
      </c>
      <c r="AB138" s="82">
        <v>242598366</v>
      </c>
    </row>
    <row r="139" spans="1:28" ht="14.25" customHeight="1" x14ac:dyDescent="0.25">
      <c r="Y139" s="6"/>
      <c r="AA139" t="str">
        <f t="shared" si="2"/>
        <v>Not Matched</v>
      </c>
      <c r="AB139" s="83">
        <v>242598463</v>
      </c>
    </row>
    <row r="140" spans="1:28" ht="14.25" customHeight="1" x14ac:dyDescent="0.25">
      <c r="Y140" s="6"/>
      <c r="AA140" t="str">
        <f t="shared" si="2"/>
        <v>Not Matched</v>
      </c>
      <c r="AB140" s="83">
        <v>242598510</v>
      </c>
    </row>
    <row r="141" spans="1:28" ht="14.25" customHeight="1" x14ac:dyDescent="0.25">
      <c r="Y141" s="6"/>
      <c r="AA141" t="str">
        <f t="shared" si="2"/>
        <v>Not Matched</v>
      </c>
      <c r="AB141" s="83">
        <v>242598579</v>
      </c>
    </row>
    <row r="142" spans="1:28" ht="14.25" customHeight="1" x14ac:dyDescent="0.25">
      <c r="Y142" s="6"/>
      <c r="AA142" t="str">
        <f t="shared" si="2"/>
        <v>Not Matched</v>
      </c>
      <c r="AB142" s="83">
        <v>242600778</v>
      </c>
    </row>
    <row r="143" spans="1:28" ht="14.25" customHeight="1" x14ac:dyDescent="0.25">
      <c r="Y143" s="6"/>
      <c r="AA143" t="str">
        <f t="shared" si="2"/>
        <v>Not Matched</v>
      </c>
      <c r="AB143" s="83">
        <v>242598609</v>
      </c>
    </row>
    <row r="144" spans="1:28" ht="14.25" customHeight="1" x14ac:dyDescent="0.25">
      <c r="Y144" s="6"/>
      <c r="AA144" t="str">
        <f t="shared" si="2"/>
        <v>Not Matched</v>
      </c>
      <c r="AB144" s="83">
        <v>242598625</v>
      </c>
    </row>
    <row r="145" spans="25:28" ht="14.25" customHeight="1" x14ac:dyDescent="0.25">
      <c r="Y145" s="6"/>
      <c r="AA145" t="str">
        <f t="shared" si="2"/>
        <v>Not Matched</v>
      </c>
      <c r="AB145" s="83">
        <v>242598633</v>
      </c>
    </row>
    <row r="146" spans="25:28" ht="14.25" customHeight="1" x14ac:dyDescent="0.25">
      <c r="Y146" s="6"/>
      <c r="AA146" t="str">
        <f t="shared" si="2"/>
        <v>Not Matched</v>
      </c>
      <c r="AB146" s="83">
        <v>242598668</v>
      </c>
    </row>
    <row r="147" spans="25:28" ht="14.25" customHeight="1" x14ac:dyDescent="0.25">
      <c r="Y147" s="6"/>
      <c r="AA147" t="str">
        <f t="shared" si="2"/>
        <v>Not Matched</v>
      </c>
      <c r="AB147" s="83">
        <v>242598684</v>
      </c>
    </row>
    <row r="148" spans="25:28" ht="14.25" customHeight="1" x14ac:dyDescent="0.25">
      <c r="Y148" s="6"/>
      <c r="AA148" t="str">
        <f t="shared" si="2"/>
        <v>Not Matched</v>
      </c>
      <c r="AB148" s="83">
        <v>242598722</v>
      </c>
    </row>
    <row r="149" spans="25:28" ht="14.25" customHeight="1" x14ac:dyDescent="0.25">
      <c r="Y149" s="6"/>
      <c r="AA149" t="str">
        <f t="shared" si="2"/>
        <v>Not Matched</v>
      </c>
      <c r="AB149" s="82">
        <v>242598790</v>
      </c>
    </row>
    <row r="150" spans="25:28" ht="14.25" customHeight="1" x14ac:dyDescent="0.25">
      <c r="Y150" s="6"/>
      <c r="AA150" t="str">
        <f t="shared" si="2"/>
        <v>Not Matched</v>
      </c>
      <c r="AB150" s="82">
        <v>242598846</v>
      </c>
    </row>
    <row r="151" spans="25:28" ht="14.25" customHeight="1" x14ac:dyDescent="0.25">
      <c r="Y151" s="6"/>
      <c r="AA151" t="str">
        <f t="shared" si="2"/>
        <v>Not Matched</v>
      </c>
      <c r="AB151" s="83">
        <v>242599982</v>
      </c>
    </row>
    <row r="152" spans="25:28" ht="14.25" customHeight="1" x14ac:dyDescent="0.25">
      <c r="Y152" s="6"/>
      <c r="AA152" t="str">
        <f t="shared" si="2"/>
        <v>Not Matched</v>
      </c>
      <c r="AB152" s="83">
        <v>242596070</v>
      </c>
    </row>
    <row r="153" spans="25:28" ht="14.25" customHeight="1" x14ac:dyDescent="0.25">
      <c r="Y153" s="6"/>
      <c r="AA153" t="str">
        <f t="shared" si="2"/>
        <v>Not Matched</v>
      </c>
      <c r="AB153" s="83">
        <v>242598951</v>
      </c>
    </row>
    <row r="154" spans="25:28" ht="14.25" customHeight="1" x14ac:dyDescent="0.25">
      <c r="Y154" s="6"/>
      <c r="AA154" t="str">
        <f t="shared" si="2"/>
        <v>Not Matched</v>
      </c>
      <c r="AB154" s="83">
        <v>242599010</v>
      </c>
    </row>
    <row r="155" spans="25:28" ht="14.25" customHeight="1" x14ac:dyDescent="0.25">
      <c r="Y155" s="6"/>
      <c r="AA155" t="str">
        <f t="shared" si="2"/>
        <v>Not Matched</v>
      </c>
      <c r="AB155" s="83">
        <v>242599028</v>
      </c>
    </row>
    <row r="156" spans="25:28" ht="14.25" customHeight="1" x14ac:dyDescent="0.25">
      <c r="Y156" s="6"/>
      <c r="AA156" t="str">
        <f t="shared" si="2"/>
        <v>Not Matched</v>
      </c>
      <c r="AB156" s="83">
        <v>242598714</v>
      </c>
    </row>
    <row r="157" spans="25:28" ht="14.25" customHeight="1" x14ac:dyDescent="0.25">
      <c r="Y157" s="6"/>
      <c r="AA157" t="str">
        <f t="shared" si="2"/>
        <v>Not Matched</v>
      </c>
      <c r="AB157" s="82">
        <v>242599052</v>
      </c>
    </row>
    <row r="158" spans="25:28" ht="14.25" customHeight="1" x14ac:dyDescent="0.25">
      <c r="Y158" s="6"/>
      <c r="AA158" t="str">
        <f t="shared" si="2"/>
        <v>Not Matched</v>
      </c>
      <c r="AB158" s="83">
        <v>242599061</v>
      </c>
    </row>
    <row r="159" spans="25:28" ht="14.25" customHeight="1" x14ac:dyDescent="0.25">
      <c r="Y159" s="6"/>
      <c r="AA159" t="str">
        <f t="shared" si="2"/>
        <v>Not Matched</v>
      </c>
      <c r="AB159" s="82">
        <v>242596681</v>
      </c>
    </row>
    <row r="160" spans="25:28" ht="14.25" customHeight="1" x14ac:dyDescent="0.25">
      <c r="Y160" s="6"/>
      <c r="AA160" t="str">
        <f t="shared" si="2"/>
        <v>Not Matched</v>
      </c>
      <c r="AB160" s="83">
        <v>242599079</v>
      </c>
    </row>
    <row r="161" spans="25:28" ht="14.25" customHeight="1" x14ac:dyDescent="0.25">
      <c r="Y161" s="6"/>
      <c r="AA161" t="str">
        <f t="shared" si="2"/>
        <v>Not Matched</v>
      </c>
      <c r="AB161" s="83">
        <v>242599087</v>
      </c>
    </row>
    <row r="162" spans="25:28" ht="14.25" customHeight="1" x14ac:dyDescent="0.25">
      <c r="Y162" s="6"/>
      <c r="AA162" t="str">
        <f t="shared" si="2"/>
        <v>Not Matched</v>
      </c>
      <c r="AB162" s="83">
        <v>242600301</v>
      </c>
    </row>
    <row r="163" spans="25:28" ht="14.25" customHeight="1" x14ac:dyDescent="0.25">
      <c r="Y163" s="6"/>
      <c r="AA163" t="str">
        <f t="shared" si="2"/>
        <v>Not Matched</v>
      </c>
      <c r="AB163" s="83">
        <v>242599117</v>
      </c>
    </row>
    <row r="164" spans="25:28" ht="14.25" customHeight="1" x14ac:dyDescent="0.25">
      <c r="Y164" s="6"/>
      <c r="AA164" t="str">
        <f t="shared" si="2"/>
        <v>Not Matched</v>
      </c>
      <c r="AB164" s="83">
        <v>242597815</v>
      </c>
    </row>
    <row r="165" spans="25:28" ht="14.25" customHeight="1" x14ac:dyDescent="0.25">
      <c r="Y165" s="6"/>
      <c r="AA165" t="str">
        <f t="shared" si="2"/>
        <v>Not Matched</v>
      </c>
      <c r="AB165" s="83">
        <v>242600093</v>
      </c>
    </row>
    <row r="166" spans="25:28" ht="14.25" customHeight="1" x14ac:dyDescent="0.25">
      <c r="Y166" s="6"/>
      <c r="AA166" t="str">
        <f t="shared" si="2"/>
        <v>Not Matched</v>
      </c>
      <c r="AB166" s="83">
        <v>242599257</v>
      </c>
    </row>
    <row r="167" spans="25:28" ht="14.25" customHeight="1" x14ac:dyDescent="0.25">
      <c r="Y167" s="6"/>
      <c r="AA167" t="str">
        <f t="shared" si="2"/>
        <v>Not Matched</v>
      </c>
      <c r="AB167" s="83">
        <v>242599273</v>
      </c>
    </row>
    <row r="168" spans="25:28" ht="14.25" customHeight="1" x14ac:dyDescent="0.25">
      <c r="Y168" s="6"/>
      <c r="AA168" t="str">
        <f t="shared" si="2"/>
        <v>Not Matched</v>
      </c>
      <c r="AB168" s="83">
        <v>242599290</v>
      </c>
    </row>
    <row r="169" spans="25:28" ht="14.25" customHeight="1" x14ac:dyDescent="0.25">
      <c r="Y169" s="6"/>
      <c r="AA169" t="str">
        <f t="shared" si="2"/>
        <v>Not Matched</v>
      </c>
      <c r="AB169" s="83">
        <v>242601031</v>
      </c>
    </row>
    <row r="170" spans="25:28" ht="14.25" customHeight="1" x14ac:dyDescent="0.25">
      <c r="Y170" s="6"/>
      <c r="AA170" t="str">
        <f t="shared" si="2"/>
        <v>Not Matched</v>
      </c>
      <c r="AB170" s="83">
        <v>242599362</v>
      </c>
    </row>
    <row r="171" spans="25:28" ht="14.25" customHeight="1" x14ac:dyDescent="0.25">
      <c r="Y171" s="6"/>
      <c r="AA171" t="str">
        <f t="shared" si="2"/>
        <v>Not Matched</v>
      </c>
      <c r="AB171" s="83">
        <v>242599371</v>
      </c>
    </row>
    <row r="172" spans="25:28" ht="14.25" customHeight="1" x14ac:dyDescent="0.25">
      <c r="Y172" s="6"/>
      <c r="AA172" t="str">
        <f t="shared" si="2"/>
        <v>Not Matched</v>
      </c>
      <c r="AB172" s="83">
        <v>242599389</v>
      </c>
    </row>
    <row r="173" spans="25:28" ht="14.25" customHeight="1" x14ac:dyDescent="0.25">
      <c r="Y173" s="6"/>
      <c r="AA173" t="str">
        <f t="shared" si="2"/>
        <v>Not Matched</v>
      </c>
      <c r="AB173" s="82">
        <v>242599419</v>
      </c>
    </row>
    <row r="174" spans="25:28" ht="14.25" customHeight="1" x14ac:dyDescent="0.25">
      <c r="Y174" s="6"/>
      <c r="AA174" t="str">
        <f t="shared" si="2"/>
        <v>Not Matched</v>
      </c>
      <c r="AB174" s="83">
        <v>242599427</v>
      </c>
    </row>
    <row r="175" spans="25:28" ht="14.25" customHeight="1" x14ac:dyDescent="0.25">
      <c r="Y175" s="6"/>
      <c r="AA175" t="str">
        <f t="shared" si="2"/>
        <v>Not Matched</v>
      </c>
      <c r="AB175" s="83">
        <v>242599451</v>
      </c>
    </row>
    <row r="176" spans="25:28" ht="14.25" customHeight="1" x14ac:dyDescent="0.25">
      <c r="Y176" s="6"/>
      <c r="AA176" t="str">
        <f t="shared" si="2"/>
        <v>Not Matched</v>
      </c>
      <c r="AB176" s="83">
        <v>242599486</v>
      </c>
    </row>
    <row r="177" spans="25:28" ht="14.25" customHeight="1" x14ac:dyDescent="0.25">
      <c r="Y177" s="6"/>
      <c r="AA177" t="str">
        <f t="shared" si="2"/>
        <v>Not Matched</v>
      </c>
      <c r="AB177" s="83">
        <v>242599516</v>
      </c>
    </row>
    <row r="178" spans="25:28" ht="14.25" customHeight="1" x14ac:dyDescent="0.25">
      <c r="Y178" s="6"/>
      <c r="AA178" t="str">
        <f t="shared" si="2"/>
        <v>Not Matched</v>
      </c>
      <c r="AB178" s="83">
        <v>242599583</v>
      </c>
    </row>
    <row r="179" spans="25:28" ht="14.25" customHeight="1" x14ac:dyDescent="0.25">
      <c r="Y179" s="6"/>
      <c r="AA179" t="str">
        <f t="shared" si="2"/>
        <v>Not Matched</v>
      </c>
      <c r="AB179" s="83">
        <v>242599613</v>
      </c>
    </row>
    <row r="180" spans="25:28" ht="14.25" customHeight="1" x14ac:dyDescent="0.25">
      <c r="Y180" s="6"/>
      <c r="AA180" t="str">
        <f t="shared" si="2"/>
        <v>Not Matched</v>
      </c>
      <c r="AB180" s="83">
        <v>242599648</v>
      </c>
    </row>
    <row r="181" spans="25:28" ht="14.25" customHeight="1" x14ac:dyDescent="0.25">
      <c r="Y181" s="6"/>
      <c r="AA181" t="str">
        <f t="shared" si="2"/>
        <v>Not Matched</v>
      </c>
      <c r="AB181" s="83">
        <v>242599672</v>
      </c>
    </row>
    <row r="182" spans="25:28" ht="14.25" customHeight="1" x14ac:dyDescent="0.25">
      <c r="Y182" s="6"/>
      <c r="AA182" t="str">
        <f t="shared" si="2"/>
        <v>Not Matched</v>
      </c>
      <c r="AB182" s="83">
        <v>242599699</v>
      </c>
    </row>
    <row r="183" spans="25:28" ht="14.25" customHeight="1" x14ac:dyDescent="0.25">
      <c r="Y183" s="6"/>
      <c r="AA183" t="str">
        <f t="shared" si="2"/>
        <v>Not Matched</v>
      </c>
      <c r="AB183" s="83">
        <v>242599711</v>
      </c>
    </row>
    <row r="184" spans="25:28" ht="14.25" customHeight="1" x14ac:dyDescent="0.25">
      <c r="Y184" s="6"/>
      <c r="AA184" t="str">
        <f t="shared" si="2"/>
        <v>Not Matched</v>
      </c>
      <c r="AB184" s="83">
        <v>242599753</v>
      </c>
    </row>
    <row r="185" spans="25:28" ht="14.25" customHeight="1" x14ac:dyDescent="0.25">
      <c r="Y185" s="6"/>
      <c r="AA185" t="str">
        <f t="shared" si="2"/>
        <v>Not Matched</v>
      </c>
      <c r="AB185" s="83">
        <v>242599770</v>
      </c>
    </row>
    <row r="186" spans="25:28" ht="14.25" customHeight="1" x14ac:dyDescent="0.25">
      <c r="Y186" s="6"/>
      <c r="AA186" t="str">
        <f t="shared" si="2"/>
        <v>Not Matched</v>
      </c>
      <c r="AB186" s="83">
        <v>242599818</v>
      </c>
    </row>
    <row r="187" spans="25:28" ht="14.25" customHeight="1" x14ac:dyDescent="0.25">
      <c r="Y187" s="6"/>
      <c r="AA187" t="str">
        <f t="shared" si="2"/>
        <v>Not Matched</v>
      </c>
      <c r="AB187" s="83">
        <v>242599826</v>
      </c>
    </row>
    <row r="188" spans="25:28" ht="14.25" customHeight="1" x14ac:dyDescent="0.25">
      <c r="Y188" s="6"/>
      <c r="AA188" t="str">
        <f t="shared" si="2"/>
        <v>Not Matched</v>
      </c>
      <c r="AB188" s="83">
        <v>242599834</v>
      </c>
    </row>
    <row r="189" spans="25:28" ht="14.25" customHeight="1" x14ac:dyDescent="0.25">
      <c r="Y189" s="6"/>
      <c r="AA189" t="str">
        <f t="shared" si="2"/>
        <v>Not Matched</v>
      </c>
      <c r="AB189" s="82">
        <v>242599851</v>
      </c>
    </row>
    <row r="190" spans="25:28" ht="14.25" customHeight="1" x14ac:dyDescent="0.25">
      <c r="Y190" s="6"/>
      <c r="AA190" t="str">
        <f t="shared" si="2"/>
        <v>Not Matched</v>
      </c>
      <c r="AB190" s="83">
        <v>242599869</v>
      </c>
    </row>
    <row r="191" spans="25:28" ht="14.25" customHeight="1" x14ac:dyDescent="0.25">
      <c r="Y191" s="6"/>
      <c r="AA191" t="str">
        <f t="shared" si="2"/>
        <v>Not Matched</v>
      </c>
      <c r="AB191" s="83">
        <v>242599877</v>
      </c>
    </row>
    <row r="192" spans="25:28" ht="14.25" customHeight="1" x14ac:dyDescent="0.25">
      <c r="Y192" s="6"/>
      <c r="AA192" t="str">
        <f t="shared" si="2"/>
        <v>Not Matched</v>
      </c>
      <c r="AB192" s="83">
        <v>242599893</v>
      </c>
    </row>
    <row r="193" spans="25:28" ht="14.25" customHeight="1" x14ac:dyDescent="0.25">
      <c r="Y193" s="6"/>
      <c r="AA193" t="str">
        <f t="shared" si="2"/>
        <v>Not Matched</v>
      </c>
      <c r="AB193" s="82">
        <v>242600328</v>
      </c>
    </row>
    <row r="194" spans="25:28" ht="14.25" customHeight="1" x14ac:dyDescent="0.25">
      <c r="Y194" s="6"/>
      <c r="AA194" t="str">
        <f t="shared" ref="AA194:AA257" si="3">IF(ISNA(MATCH(B194, AB:AB, 0)), "Not Matched", "Matched")</f>
        <v>Not Matched</v>
      </c>
      <c r="AB194" s="83">
        <v>242599907</v>
      </c>
    </row>
    <row r="195" spans="25:28" ht="14.25" customHeight="1" x14ac:dyDescent="0.25">
      <c r="Y195" s="6"/>
      <c r="AA195" t="str">
        <f t="shared" si="3"/>
        <v>Not Matched</v>
      </c>
      <c r="AB195" s="83">
        <v>242599915</v>
      </c>
    </row>
    <row r="196" spans="25:28" ht="14.25" customHeight="1" x14ac:dyDescent="0.25">
      <c r="Y196" s="6"/>
      <c r="AA196" t="str">
        <f t="shared" si="3"/>
        <v>Not Matched</v>
      </c>
      <c r="AB196" s="82">
        <v>242599940</v>
      </c>
    </row>
    <row r="197" spans="25:28" ht="14.25" customHeight="1" x14ac:dyDescent="0.25">
      <c r="Y197" s="6"/>
      <c r="AA197" t="str">
        <f t="shared" si="3"/>
        <v>Not Matched</v>
      </c>
      <c r="AB197" s="83">
        <v>242599958</v>
      </c>
    </row>
    <row r="198" spans="25:28" ht="14.25" customHeight="1" x14ac:dyDescent="0.25">
      <c r="Y198" s="6"/>
      <c r="AA198" t="str">
        <f t="shared" si="3"/>
        <v>Not Matched</v>
      </c>
      <c r="AB198" s="82">
        <v>242599974</v>
      </c>
    </row>
    <row r="199" spans="25:28" ht="14.25" customHeight="1" x14ac:dyDescent="0.25">
      <c r="Y199" s="6"/>
      <c r="AA199" t="str">
        <f t="shared" si="3"/>
        <v>Not Matched</v>
      </c>
      <c r="AB199" s="83">
        <v>242599991</v>
      </c>
    </row>
    <row r="200" spans="25:28" ht="14.25" customHeight="1" x14ac:dyDescent="0.25">
      <c r="Y200" s="6"/>
      <c r="AA200" t="str">
        <f t="shared" si="3"/>
        <v>Not Matched</v>
      </c>
      <c r="AB200" s="82">
        <v>242600018</v>
      </c>
    </row>
    <row r="201" spans="25:28" ht="14.25" customHeight="1" x14ac:dyDescent="0.25">
      <c r="Y201" s="6"/>
      <c r="AA201" t="str">
        <f t="shared" si="3"/>
        <v>Not Matched</v>
      </c>
      <c r="AB201" s="82">
        <v>242599885</v>
      </c>
    </row>
    <row r="202" spans="25:28" ht="14.25" customHeight="1" x14ac:dyDescent="0.25">
      <c r="Y202" s="6"/>
      <c r="AA202" t="str">
        <f t="shared" si="3"/>
        <v>Not Matched</v>
      </c>
      <c r="AB202" s="83">
        <v>242600450</v>
      </c>
    </row>
    <row r="203" spans="25:28" ht="14.25" customHeight="1" x14ac:dyDescent="0.25">
      <c r="Y203" s="6"/>
      <c r="AA203" t="str">
        <f t="shared" si="3"/>
        <v>Not Matched</v>
      </c>
      <c r="AB203" s="83">
        <v>242600468</v>
      </c>
    </row>
    <row r="204" spans="25:28" ht="14.25" customHeight="1" x14ac:dyDescent="0.25">
      <c r="Y204" s="6"/>
      <c r="AA204" t="str">
        <f t="shared" si="3"/>
        <v>Not Matched</v>
      </c>
      <c r="AB204" s="83">
        <v>242601219</v>
      </c>
    </row>
    <row r="205" spans="25:28" ht="14.25" customHeight="1" x14ac:dyDescent="0.25">
      <c r="Y205" s="6"/>
      <c r="AA205" t="str">
        <f t="shared" si="3"/>
        <v>Not Matched</v>
      </c>
      <c r="AB205" s="83">
        <v>242600085</v>
      </c>
    </row>
    <row r="206" spans="25:28" ht="14.25" customHeight="1" x14ac:dyDescent="0.25">
      <c r="Y206" s="6"/>
      <c r="AA206" t="str">
        <f t="shared" si="3"/>
        <v>Not Matched</v>
      </c>
      <c r="AB206" s="83">
        <v>242600107</v>
      </c>
    </row>
    <row r="207" spans="25:28" ht="14.25" customHeight="1" x14ac:dyDescent="0.25">
      <c r="Y207" s="6"/>
      <c r="AA207" t="str">
        <f t="shared" si="3"/>
        <v>Not Matched</v>
      </c>
      <c r="AB207" s="83">
        <v>242600123</v>
      </c>
    </row>
    <row r="208" spans="25:28" ht="14.25" customHeight="1" x14ac:dyDescent="0.25">
      <c r="Y208" s="6"/>
      <c r="AA208" t="str">
        <f t="shared" si="3"/>
        <v>Not Matched</v>
      </c>
      <c r="AB208" s="83">
        <v>242600867</v>
      </c>
    </row>
    <row r="209" spans="25:28" ht="14.25" customHeight="1" x14ac:dyDescent="0.25">
      <c r="Y209" s="6"/>
      <c r="AA209" t="str">
        <f t="shared" si="3"/>
        <v>Not Matched</v>
      </c>
      <c r="AB209" s="83">
        <v>242600140</v>
      </c>
    </row>
    <row r="210" spans="25:28" ht="14.25" customHeight="1" x14ac:dyDescent="0.25">
      <c r="Y210" s="6"/>
      <c r="AA210" t="str">
        <f t="shared" si="3"/>
        <v>Not Matched</v>
      </c>
      <c r="AB210" s="83">
        <v>242600182</v>
      </c>
    </row>
    <row r="211" spans="25:28" ht="14.25" customHeight="1" x14ac:dyDescent="0.25">
      <c r="Y211" s="6"/>
      <c r="AA211" t="str">
        <f t="shared" si="3"/>
        <v>Not Matched</v>
      </c>
      <c r="AB211" s="83">
        <v>242600221</v>
      </c>
    </row>
    <row r="212" spans="25:28" ht="14.25" customHeight="1" x14ac:dyDescent="0.25">
      <c r="Y212" s="6"/>
      <c r="AA212" t="str">
        <f t="shared" si="3"/>
        <v>Not Matched</v>
      </c>
      <c r="AB212" s="82">
        <v>242600239</v>
      </c>
    </row>
    <row r="213" spans="25:28" ht="14.25" customHeight="1" x14ac:dyDescent="0.25">
      <c r="Y213" s="6"/>
      <c r="AA213" t="str">
        <f t="shared" si="3"/>
        <v>Not Matched</v>
      </c>
      <c r="AB213" s="83">
        <v>242600263</v>
      </c>
    </row>
    <row r="214" spans="25:28" ht="14.25" customHeight="1" x14ac:dyDescent="0.25">
      <c r="Y214" s="6"/>
      <c r="AA214" t="str">
        <f t="shared" si="3"/>
        <v>Not Matched</v>
      </c>
      <c r="AB214" s="83">
        <v>242600247</v>
      </c>
    </row>
    <row r="215" spans="25:28" ht="14.25" customHeight="1" x14ac:dyDescent="0.25">
      <c r="Y215" s="6"/>
      <c r="AA215" t="str">
        <f t="shared" si="3"/>
        <v>Not Matched</v>
      </c>
      <c r="AB215" s="83">
        <v>242600255</v>
      </c>
    </row>
    <row r="216" spans="25:28" ht="14.25" customHeight="1" x14ac:dyDescent="0.25">
      <c r="Y216" s="6"/>
      <c r="AA216" t="str">
        <f t="shared" si="3"/>
        <v>Not Matched</v>
      </c>
      <c r="AB216" s="82">
        <v>242599966</v>
      </c>
    </row>
    <row r="217" spans="25:28" ht="14.25" customHeight="1" x14ac:dyDescent="0.25">
      <c r="Y217" s="6"/>
      <c r="AA217" t="str">
        <f t="shared" si="3"/>
        <v>Not Matched</v>
      </c>
      <c r="AB217" s="83">
        <v>242600298</v>
      </c>
    </row>
    <row r="218" spans="25:28" ht="14.25" customHeight="1" x14ac:dyDescent="0.25">
      <c r="Y218" s="6"/>
      <c r="AA218" t="str">
        <f t="shared" si="3"/>
        <v>Not Matched</v>
      </c>
      <c r="AB218" s="83">
        <v>242600310</v>
      </c>
    </row>
    <row r="219" spans="25:28" ht="14.25" customHeight="1" x14ac:dyDescent="0.25">
      <c r="Y219" s="6"/>
      <c r="AA219" t="str">
        <f t="shared" si="3"/>
        <v>Not Matched</v>
      </c>
      <c r="AB219" s="83">
        <v>242600336</v>
      </c>
    </row>
    <row r="220" spans="25:28" ht="14.25" customHeight="1" x14ac:dyDescent="0.25">
      <c r="Y220" s="6"/>
      <c r="AA220" t="str">
        <f t="shared" si="3"/>
        <v>Not Matched</v>
      </c>
      <c r="AB220" s="82">
        <v>242600352</v>
      </c>
    </row>
    <row r="221" spans="25:28" ht="14.25" customHeight="1" x14ac:dyDescent="0.25">
      <c r="Y221" s="6"/>
      <c r="AA221" t="str">
        <f t="shared" si="3"/>
        <v>Not Matched</v>
      </c>
      <c r="AB221" s="83">
        <v>242600387</v>
      </c>
    </row>
    <row r="222" spans="25:28" ht="14.25" customHeight="1" x14ac:dyDescent="0.25">
      <c r="Y222" s="6"/>
      <c r="AA222" t="str">
        <f t="shared" si="3"/>
        <v>Not Matched</v>
      </c>
      <c r="AB222" s="83">
        <v>242600395</v>
      </c>
    </row>
    <row r="223" spans="25:28" ht="14.25" customHeight="1" x14ac:dyDescent="0.25">
      <c r="Y223" s="6"/>
      <c r="AA223" t="str">
        <f t="shared" si="3"/>
        <v>Not Matched</v>
      </c>
      <c r="AB223" s="83">
        <v>242600425</v>
      </c>
    </row>
    <row r="224" spans="25:28" ht="14.25" customHeight="1" x14ac:dyDescent="0.25">
      <c r="Y224" s="6"/>
      <c r="AA224" t="str">
        <f t="shared" si="3"/>
        <v>Not Matched</v>
      </c>
      <c r="AB224" s="83">
        <v>242600433</v>
      </c>
    </row>
    <row r="225" spans="25:28" ht="14.25" customHeight="1" x14ac:dyDescent="0.25">
      <c r="Y225" s="6"/>
      <c r="AA225" t="str">
        <f t="shared" si="3"/>
        <v>Not Matched</v>
      </c>
      <c r="AB225" s="83">
        <v>242600441</v>
      </c>
    </row>
    <row r="226" spans="25:28" ht="14.25" customHeight="1" x14ac:dyDescent="0.25">
      <c r="Y226" s="6"/>
      <c r="AA226" t="str">
        <f t="shared" si="3"/>
        <v>Not Matched</v>
      </c>
      <c r="AB226" s="83">
        <v>242600484</v>
      </c>
    </row>
    <row r="227" spans="25:28" ht="14.25" customHeight="1" x14ac:dyDescent="0.25">
      <c r="Y227" s="6"/>
      <c r="AA227" t="str">
        <f t="shared" si="3"/>
        <v>Not Matched</v>
      </c>
      <c r="AB227" s="82">
        <v>242600549</v>
      </c>
    </row>
    <row r="228" spans="25:28" ht="14.25" customHeight="1" x14ac:dyDescent="0.25">
      <c r="Y228" s="6"/>
      <c r="AA228" t="str">
        <f t="shared" si="3"/>
        <v>Not Matched</v>
      </c>
      <c r="AB228" s="83">
        <v>242600557</v>
      </c>
    </row>
    <row r="229" spans="25:28" ht="14.25" customHeight="1" x14ac:dyDescent="0.25">
      <c r="Y229" s="6"/>
      <c r="AA229" t="str">
        <f t="shared" si="3"/>
        <v>Not Matched</v>
      </c>
      <c r="AB229" s="83">
        <v>242600565</v>
      </c>
    </row>
    <row r="230" spans="25:28" ht="14.25" customHeight="1" x14ac:dyDescent="0.25">
      <c r="Y230" s="6"/>
      <c r="AA230" t="str">
        <f t="shared" si="3"/>
        <v>Not Matched</v>
      </c>
      <c r="AB230" s="83">
        <v>242601065</v>
      </c>
    </row>
    <row r="231" spans="25:28" ht="14.25" customHeight="1" x14ac:dyDescent="0.25">
      <c r="Y231" s="6"/>
      <c r="AA231" t="str">
        <f t="shared" si="3"/>
        <v>Not Matched</v>
      </c>
      <c r="AB231" s="83">
        <v>242600573</v>
      </c>
    </row>
    <row r="232" spans="25:28" ht="14.25" customHeight="1" x14ac:dyDescent="0.25">
      <c r="Y232" s="6"/>
      <c r="AA232" t="str">
        <f t="shared" si="3"/>
        <v>Not Matched</v>
      </c>
      <c r="AB232" s="83">
        <v>242600603</v>
      </c>
    </row>
    <row r="233" spans="25:28" ht="14.25" customHeight="1" x14ac:dyDescent="0.25">
      <c r="Y233" s="6"/>
      <c r="AA233" t="str">
        <f t="shared" si="3"/>
        <v>Not Matched</v>
      </c>
      <c r="AB233" s="83">
        <v>242600638</v>
      </c>
    </row>
    <row r="234" spans="25:28" ht="14.25" customHeight="1" x14ac:dyDescent="0.25">
      <c r="Y234" s="6"/>
      <c r="AA234" t="str">
        <f t="shared" si="3"/>
        <v>Not Matched</v>
      </c>
      <c r="AB234" s="82">
        <v>242600671</v>
      </c>
    </row>
    <row r="235" spans="25:28" ht="14.25" customHeight="1" x14ac:dyDescent="0.25">
      <c r="Y235" s="6"/>
      <c r="AA235" t="str">
        <f t="shared" si="3"/>
        <v>Not Matched</v>
      </c>
      <c r="AB235" s="83">
        <v>242600689</v>
      </c>
    </row>
    <row r="236" spans="25:28" ht="14.25" customHeight="1" x14ac:dyDescent="0.25">
      <c r="Y236" s="6"/>
      <c r="AA236" t="str">
        <f t="shared" si="3"/>
        <v>Not Matched</v>
      </c>
      <c r="AB236" s="83">
        <v>242600697</v>
      </c>
    </row>
    <row r="237" spans="25:28" ht="14.25" customHeight="1" x14ac:dyDescent="0.25">
      <c r="Y237" s="6"/>
      <c r="AA237" t="str">
        <f t="shared" si="3"/>
        <v>Not Matched</v>
      </c>
      <c r="AB237" s="83">
        <v>242600701</v>
      </c>
    </row>
    <row r="238" spans="25:28" ht="14.25" customHeight="1" x14ac:dyDescent="0.25">
      <c r="Y238" s="6"/>
      <c r="AA238" t="str">
        <f t="shared" si="3"/>
        <v>Not Matched</v>
      </c>
      <c r="AB238" s="83">
        <v>242600719</v>
      </c>
    </row>
    <row r="239" spans="25:28" ht="14.25" customHeight="1" x14ac:dyDescent="0.25">
      <c r="Y239" s="6"/>
      <c r="AA239" t="str">
        <f t="shared" si="3"/>
        <v>Not Matched</v>
      </c>
      <c r="AB239" s="83">
        <v>242600727</v>
      </c>
    </row>
    <row r="240" spans="25:28" ht="14.25" customHeight="1" x14ac:dyDescent="0.25">
      <c r="Y240" s="6"/>
      <c r="AA240" t="str">
        <f t="shared" si="3"/>
        <v>Not Matched</v>
      </c>
      <c r="AB240" s="83">
        <v>242600735</v>
      </c>
    </row>
    <row r="241" spans="25:28" ht="14.25" customHeight="1" x14ac:dyDescent="0.25">
      <c r="Y241" s="6"/>
      <c r="AA241" t="str">
        <f t="shared" si="3"/>
        <v>Not Matched</v>
      </c>
      <c r="AB241" s="83">
        <v>242600760</v>
      </c>
    </row>
    <row r="242" spans="25:28" ht="14.25" customHeight="1" x14ac:dyDescent="0.25">
      <c r="Y242" s="6"/>
      <c r="AA242" t="str">
        <f t="shared" si="3"/>
        <v>Not Matched</v>
      </c>
      <c r="AB242" s="83">
        <v>242600808</v>
      </c>
    </row>
    <row r="243" spans="25:28" ht="14.25" customHeight="1" x14ac:dyDescent="0.25">
      <c r="Y243" s="6"/>
      <c r="AA243" t="str">
        <f t="shared" si="3"/>
        <v>Not Matched</v>
      </c>
      <c r="AB243" s="82">
        <v>242600816</v>
      </c>
    </row>
    <row r="244" spans="25:28" ht="14.25" customHeight="1" x14ac:dyDescent="0.25">
      <c r="Y244" s="6"/>
      <c r="AA244" t="str">
        <f t="shared" si="3"/>
        <v>Not Matched</v>
      </c>
      <c r="AB244" s="82">
        <v>242600824</v>
      </c>
    </row>
    <row r="245" spans="25:28" ht="14.25" customHeight="1" x14ac:dyDescent="0.25">
      <c r="Y245" s="6"/>
      <c r="AA245" t="str">
        <f t="shared" si="3"/>
        <v>Not Matched</v>
      </c>
      <c r="AB245" s="83">
        <v>242600832</v>
      </c>
    </row>
    <row r="246" spans="25:28" ht="14.25" customHeight="1" x14ac:dyDescent="0.25">
      <c r="Y246" s="6"/>
      <c r="AA246" t="str">
        <f t="shared" si="3"/>
        <v>Not Matched</v>
      </c>
      <c r="AB246" s="82">
        <v>242600859</v>
      </c>
    </row>
    <row r="247" spans="25:28" ht="14.25" customHeight="1" x14ac:dyDescent="0.25">
      <c r="Y247" s="6"/>
      <c r="AA247" t="str">
        <f t="shared" si="3"/>
        <v>Not Matched</v>
      </c>
      <c r="AB247" s="82">
        <v>242600875</v>
      </c>
    </row>
    <row r="248" spans="25:28" ht="14.25" customHeight="1" x14ac:dyDescent="0.25">
      <c r="Y248" s="6"/>
      <c r="AA248" t="str">
        <f t="shared" si="3"/>
        <v>Not Matched</v>
      </c>
      <c r="AB248" s="83">
        <v>242600905</v>
      </c>
    </row>
    <row r="249" spans="25:28" ht="14.25" customHeight="1" x14ac:dyDescent="0.25">
      <c r="Y249" s="6"/>
      <c r="AA249" t="str">
        <f t="shared" si="3"/>
        <v>Not Matched</v>
      </c>
      <c r="AB249" s="83">
        <v>242599923</v>
      </c>
    </row>
    <row r="250" spans="25:28" ht="14.25" customHeight="1" x14ac:dyDescent="0.25">
      <c r="Y250" s="6"/>
      <c r="AA250" t="str">
        <f t="shared" si="3"/>
        <v>Not Matched</v>
      </c>
      <c r="AB250" s="83">
        <v>242600948</v>
      </c>
    </row>
    <row r="251" spans="25:28" ht="14.25" customHeight="1" x14ac:dyDescent="0.25">
      <c r="Y251" s="6"/>
      <c r="AA251" t="str">
        <f t="shared" si="3"/>
        <v>Not Matched</v>
      </c>
      <c r="AB251" s="82">
        <v>242601197</v>
      </c>
    </row>
    <row r="252" spans="25:28" ht="14.25" customHeight="1" x14ac:dyDescent="0.25">
      <c r="Y252" s="6"/>
      <c r="AA252" t="str">
        <f t="shared" si="3"/>
        <v>Not Matched</v>
      </c>
      <c r="AB252" s="83">
        <v>242600964</v>
      </c>
    </row>
    <row r="253" spans="25:28" ht="14.25" customHeight="1" x14ac:dyDescent="0.25">
      <c r="Y253" s="6"/>
      <c r="AA253" t="str">
        <f t="shared" si="3"/>
        <v>Not Matched</v>
      </c>
      <c r="AB253" s="83">
        <v>242600999</v>
      </c>
    </row>
    <row r="254" spans="25:28" ht="14.25" customHeight="1" x14ac:dyDescent="0.25">
      <c r="Y254" s="6"/>
      <c r="AA254" t="str">
        <f t="shared" si="3"/>
        <v>Not Matched</v>
      </c>
      <c r="AB254" s="83">
        <v>242601014</v>
      </c>
    </row>
    <row r="255" spans="25:28" ht="14.25" customHeight="1" x14ac:dyDescent="0.25">
      <c r="Y255" s="6"/>
      <c r="AA255" t="str">
        <f t="shared" si="3"/>
        <v>Not Matched</v>
      </c>
      <c r="AB255" s="83">
        <v>242601049</v>
      </c>
    </row>
    <row r="256" spans="25:28" ht="14.25" customHeight="1" x14ac:dyDescent="0.25">
      <c r="Y256" s="6"/>
      <c r="AA256" t="str">
        <f t="shared" si="3"/>
        <v>Not Matched</v>
      </c>
      <c r="AB256" s="83">
        <v>242601090</v>
      </c>
    </row>
    <row r="257" spans="25:28" ht="14.25" customHeight="1" x14ac:dyDescent="0.25">
      <c r="Y257" s="6"/>
      <c r="AA257" t="str">
        <f t="shared" si="3"/>
        <v>Not Matched</v>
      </c>
      <c r="AB257" s="82">
        <v>242601103</v>
      </c>
    </row>
    <row r="258" spans="25:28" ht="14.25" customHeight="1" x14ac:dyDescent="0.25">
      <c r="Y258" s="6"/>
      <c r="AA258" t="str">
        <f t="shared" ref="AA258:AA321" si="4">IF(ISNA(MATCH(B258, AB:AB, 0)), "Not Matched", "Matched")</f>
        <v>Not Matched</v>
      </c>
      <c r="AB258" s="83">
        <v>242601111</v>
      </c>
    </row>
    <row r="259" spans="25:28" ht="14.25" customHeight="1" x14ac:dyDescent="0.25">
      <c r="Y259" s="6"/>
      <c r="AA259" t="str">
        <f t="shared" si="4"/>
        <v>Not Matched</v>
      </c>
      <c r="AB259" s="83">
        <v>242601154</v>
      </c>
    </row>
    <row r="260" spans="25:28" ht="14.25" customHeight="1" x14ac:dyDescent="0.25">
      <c r="Y260" s="6"/>
      <c r="AA260" t="str">
        <f t="shared" si="4"/>
        <v>Not Matched</v>
      </c>
      <c r="AB260" s="82">
        <v>242601171</v>
      </c>
    </row>
    <row r="261" spans="25:28" ht="14.25" customHeight="1" x14ac:dyDescent="0.25">
      <c r="Y261" s="6"/>
      <c r="AA261" t="str">
        <f t="shared" si="4"/>
        <v>Not Matched</v>
      </c>
      <c r="AB261" s="83">
        <v>242601189</v>
      </c>
    </row>
    <row r="262" spans="25:28" ht="14.25" customHeight="1" x14ac:dyDescent="0.25">
      <c r="Y262" s="6"/>
      <c r="AA262" t="str">
        <f t="shared" si="4"/>
        <v>Not Matched</v>
      </c>
      <c r="AB262" s="83">
        <v>242601201</v>
      </c>
    </row>
    <row r="263" spans="25:28" ht="14.25" customHeight="1" x14ac:dyDescent="0.25">
      <c r="Y263" s="6"/>
      <c r="AA263" t="str">
        <f t="shared" si="4"/>
        <v>Not Matched</v>
      </c>
      <c r="AB263" s="82">
        <v>242601243</v>
      </c>
    </row>
    <row r="264" spans="25:28" ht="14.25" customHeight="1" x14ac:dyDescent="0.25">
      <c r="Y264" s="6"/>
      <c r="AA264" t="str">
        <f t="shared" si="4"/>
        <v>Not Matched</v>
      </c>
      <c r="AB264" s="83">
        <v>242600930</v>
      </c>
    </row>
    <row r="265" spans="25:28" ht="14.25" customHeight="1" x14ac:dyDescent="0.25">
      <c r="Y265" s="6"/>
      <c r="AA265" t="str">
        <f t="shared" si="4"/>
        <v>Not Matched</v>
      </c>
      <c r="AB265" s="82">
        <v>242601251</v>
      </c>
    </row>
    <row r="266" spans="25:28" ht="14.25" customHeight="1" x14ac:dyDescent="0.25">
      <c r="Y266" s="6"/>
      <c r="AA266" t="str">
        <f t="shared" si="4"/>
        <v>Not Matched</v>
      </c>
      <c r="AB266" s="83">
        <v>242601260</v>
      </c>
    </row>
    <row r="267" spans="25:28" ht="14.25" customHeight="1" x14ac:dyDescent="0.25">
      <c r="Y267" s="6"/>
      <c r="AA267" t="str">
        <f t="shared" si="4"/>
        <v>Not Matched</v>
      </c>
      <c r="AB267" s="83">
        <v>242601278</v>
      </c>
    </row>
    <row r="268" spans="25:28" ht="14.25" customHeight="1" x14ac:dyDescent="0.25">
      <c r="Y268" s="6"/>
      <c r="AA268" t="str">
        <f t="shared" si="4"/>
        <v>Not Matched</v>
      </c>
      <c r="AB268" s="82">
        <v>242601308</v>
      </c>
    </row>
    <row r="269" spans="25:28" ht="14.25" customHeight="1" x14ac:dyDescent="0.25">
      <c r="Y269" s="6"/>
      <c r="AA269" t="str">
        <f t="shared" si="4"/>
        <v>Not Matched</v>
      </c>
      <c r="AB269" s="83">
        <v>242601316</v>
      </c>
    </row>
    <row r="270" spans="25:28" ht="14.25" customHeight="1" x14ac:dyDescent="0.25">
      <c r="Y270" s="6"/>
      <c r="AA270" t="str">
        <f t="shared" si="4"/>
        <v>Not Matched</v>
      </c>
      <c r="AB270" s="83">
        <v>242601341</v>
      </c>
    </row>
    <row r="271" spans="25:28" ht="14.25" customHeight="1" x14ac:dyDescent="0.25">
      <c r="Y271" s="6"/>
      <c r="AA271" t="str">
        <f t="shared" si="4"/>
        <v>Not Matched</v>
      </c>
      <c r="AB271" s="83">
        <v>242601359</v>
      </c>
    </row>
    <row r="272" spans="25:28" ht="14.25" customHeight="1" x14ac:dyDescent="0.25">
      <c r="Y272" s="6"/>
      <c r="AA272" t="str">
        <f t="shared" si="4"/>
        <v>Not Matched</v>
      </c>
      <c r="AB272" s="83">
        <v>242601367</v>
      </c>
    </row>
    <row r="273" spans="25:28" ht="14.25" customHeight="1" x14ac:dyDescent="0.25">
      <c r="Y273" s="6"/>
      <c r="AA273" t="str">
        <f t="shared" si="4"/>
        <v>Not Matched</v>
      </c>
      <c r="AB273" s="83">
        <v>242601383</v>
      </c>
    </row>
    <row r="274" spans="25:28" ht="14.25" customHeight="1" x14ac:dyDescent="0.25">
      <c r="Y274" s="6"/>
      <c r="AA274" t="str">
        <f t="shared" si="4"/>
        <v>Not Matched</v>
      </c>
      <c r="AB274" s="82">
        <v>242601391</v>
      </c>
    </row>
    <row r="275" spans="25:28" ht="14.25" customHeight="1" x14ac:dyDescent="0.25">
      <c r="Y275" s="6"/>
      <c r="AA275" t="str">
        <f t="shared" si="4"/>
        <v>Not Matched</v>
      </c>
      <c r="AB275" s="83">
        <v>242601413</v>
      </c>
    </row>
    <row r="276" spans="25:28" ht="14.25" customHeight="1" x14ac:dyDescent="0.25">
      <c r="Y276" s="6"/>
      <c r="AA276" t="str">
        <f t="shared" si="4"/>
        <v>Not Matched</v>
      </c>
      <c r="AB276" s="83">
        <v>242601421</v>
      </c>
    </row>
    <row r="277" spans="25:28" ht="14.25" customHeight="1" x14ac:dyDescent="0.25">
      <c r="Y277" s="6"/>
      <c r="AA277" t="str">
        <f t="shared" si="4"/>
        <v>Not Matched</v>
      </c>
      <c r="AB277" s="83">
        <v>242601456</v>
      </c>
    </row>
    <row r="278" spans="25:28" ht="14.25" customHeight="1" x14ac:dyDescent="0.25">
      <c r="Y278" s="6"/>
      <c r="AA278" t="str">
        <f t="shared" si="4"/>
        <v>Not Matched</v>
      </c>
      <c r="AB278" s="83">
        <v>242601472</v>
      </c>
    </row>
    <row r="279" spans="25:28" ht="14.25" customHeight="1" x14ac:dyDescent="0.25">
      <c r="Y279" s="6"/>
      <c r="AA279" t="str">
        <f t="shared" si="4"/>
        <v>Not Matched</v>
      </c>
      <c r="AB279" s="83">
        <v>242601057</v>
      </c>
    </row>
    <row r="280" spans="25:28" ht="14.25" customHeight="1" x14ac:dyDescent="0.25">
      <c r="Y280" s="6"/>
      <c r="AA280" t="str">
        <f t="shared" si="4"/>
        <v>Not Matched</v>
      </c>
      <c r="AB280" s="82">
        <v>242601332</v>
      </c>
    </row>
    <row r="281" spans="25:28" ht="14.25" customHeight="1" x14ac:dyDescent="0.25">
      <c r="Y281" s="6"/>
      <c r="AA281" t="str">
        <f t="shared" si="4"/>
        <v>Not Matched</v>
      </c>
      <c r="AB281" s="83">
        <v>340000147</v>
      </c>
    </row>
    <row r="282" spans="25:28" ht="14.25" customHeight="1" x14ac:dyDescent="0.25">
      <c r="Y282" s="6"/>
      <c r="AA282" t="str">
        <f t="shared" si="4"/>
        <v>Not Matched</v>
      </c>
      <c r="AB282" s="83">
        <v>340000244</v>
      </c>
    </row>
    <row r="283" spans="25:28" ht="14.25" customHeight="1" x14ac:dyDescent="0.25">
      <c r="Y283" s="6"/>
      <c r="AA283" t="str">
        <f t="shared" si="4"/>
        <v>Not Matched</v>
      </c>
      <c r="AB283" s="82">
        <v>242601073</v>
      </c>
    </row>
    <row r="284" spans="25:28" ht="14.25" customHeight="1" x14ac:dyDescent="0.25">
      <c r="Y284" s="6"/>
      <c r="AA284" t="str">
        <f t="shared" si="4"/>
        <v>Not Matched</v>
      </c>
      <c r="AB284" s="83">
        <v>242597891</v>
      </c>
    </row>
    <row r="285" spans="25:28" ht="14.25" customHeight="1" x14ac:dyDescent="0.25">
      <c r="Y285" s="6"/>
      <c r="AA285" t="str">
        <f t="shared" si="4"/>
        <v>Not Matched</v>
      </c>
      <c r="AB285" s="83">
        <v>340001992</v>
      </c>
    </row>
    <row r="286" spans="25:28" ht="14.25" customHeight="1" x14ac:dyDescent="0.25">
      <c r="Y286" s="6"/>
      <c r="AA286" t="str">
        <f t="shared" si="4"/>
        <v>Not Matched</v>
      </c>
      <c r="AB286" s="82">
        <v>340002361</v>
      </c>
    </row>
    <row r="287" spans="25:28" ht="14.25" customHeight="1" x14ac:dyDescent="0.25">
      <c r="Y287" s="6"/>
      <c r="AA287" t="str">
        <f t="shared" si="4"/>
        <v>Not Matched</v>
      </c>
      <c r="AB287" s="64">
        <v>340002374</v>
      </c>
    </row>
    <row r="288" spans="25:28" ht="14.25" customHeight="1" x14ac:dyDescent="0.25">
      <c r="Y288" s="6"/>
      <c r="AA288" t="str">
        <f t="shared" si="4"/>
        <v>Not Matched</v>
      </c>
      <c r="AB288" s="64">
        <v>242601294</v>
      </c>
    </row>
    <row r="289" spans="25:28" ht="14.25" customHeight="1" x14ac:dyDescent="0.25">
      <c r="Y289" s="6"/>
      <c r="AA289" t="str">
        <f t="shared" si="4"/>
        <v>Not Matched</v>
      </c>
      <c r="AB289" s="64">
        <v>340002390</v>
      </c>
    </row>
    <row r="290" spans="25:28" ht="14.25" customHeight="1" x14ac:dyDescent="0.25">
      <c r="Y290" s="6"/>
      <c r="AA290" t="str">
        <f t="shared" si="4"/>
        <v>Not Matched</v>
      </c>
      <c r="AB290" s="64">
        <v>340002412</v>
      </c>
    </row>
    <row r="291" spans="25:28" ht="14.25" customHeight="1" x14ac:dyDescent="0.25">
      <c r="Y291" s="6"/>
      <c r="AA291" t="str">
        <f t="shared" si="4"/>
        <v>Not Matched</v>
      </c>
      <c r="AB291" s="64">
        <v>340002517</v>
      </c>
    </row>
    <row r="292" spans="25:28" ht="15.75" customHeight="1" x14ac:dyDescent="0.25">
      <c r="AA292" t="str">
        <f t="shared" si="4"/>
        <v>Not Matched</v>
      </c>
      <c r="AB292" s="64">
        <v>340002565</v>
      </c>
    </row>
    <row r="293" spans="25:28" ht="15.75" customHeight="1" x14ac:dyDescent="0.25">
      <c r="AA293" t="str">
        <f t="shared" si="4"/>
        <v>Not Matched</v>
      </c>
      <c r="AB293" s="64">
        <v>340002599</v>
      </c>
    </row>
    <row r="294" spans="25:28" ht="15.75" customHeight="1" x14ac:dyDescent="0.25">
      <c r="AA294" t="str">
        <f t="shared" si="4"/>
        <v>Not Matched</v>
      </c>
      <c r="AB294" s="64">
        <v>340002609</v>
      </c>
    </row>
    <row r="295" spans="25:28" ht="15.75" customHeight="1" x14ac:dyDescent="0.25">
      <c r="AA295" t="str">
        <f t="shared" si="4"/>
        <v>Not Matched</v>
      </c>
      <c r="AB295" s="64">
        <v>340002638</v>
      </c>
    </row>
    <row r="296" spans="25:28" ht="15.75" customHeight="1" x14ac:dyDescent="0.25">
      <c r="AA296" t="str">
        <f t="shared" si="4"/>
        <v>Not Matched</v>
      </c>
      <c r="AB296" s="64">
        <v>340193832</v>
      </c>
    </row>
    <row r="297" spans="25:28" ht="15.75" customHeight="1" x14ac:dyDescent="0.25">
      <c r="AA297" t="str">
        <f t="shared" si="4"/>
        <v>Not Matched</v>
      </c>
      <c r="AB297" s="64">
        <v>340002115</v>
      </c>
    </row>
    <row r="298" spans="25:28" ht="15.75" customHeight="1" x14ac:dyDescent="0.25">
      <c r="AA298" t="str">
        <f t="shared" si="4"/>
        <v>Not Matched</v>
      </c>
      <c r="AB298" s="64">
        <v>340336226</v>
      </c>
    </row>
    <row r="299" spans="25:28" ht="15.75" customHeight="1" x14ac:dyDescent="0.25">
      <c r="AA299" t="str">
        <f t="shared" si="4"/>
        <v>Not Matched</v>
      </c>
      <c r="AB299" s="64">
        <v>340002494</v>
      </c>
    </row>
    <row r="300" spans="25:28" ht="15.75" customHeight="1" x14ac:dyDescent="0.25">
      <c r="AA300" t="str">
        <f t="shared" si="4"/>
        <v>Not Matched</v>
      </c>
      <c r="AB300" s="64">
        <v>340347899</v>
      </c>
    </row>
    <row r="301" spans="25:28" ht="15.75" customHeight="1" x14ac:dyDescent="0.25">
      <c r="AA301" t="str">
        <f t="shared" si="4"/>
        <v>Not Matched</v>
      </c>
      <c r="AB301" s="64">
        <v>340660651</v>
      </c>
    </row>
    <row r="302" spans="25:28" ht="15.75" customHeight="1" x14ac:dyDescent="0.25">
      <c r="AA302" t="str">
        <f t="shared" si="4"/>
        <v>Not Matched</v>
      </c>
      <c r="AB302" s="64">
        <v>340367652</v>
      </c>
    </row>
    <row r="303" spans="25:28" ht="15.75" customHeight="1" x14ac:dyDescent="0.25">
      <c r="AA303" t="str">
        <f t="shared" si="4"/>
        <v>Not Matched</v>
      </c>
      <c r="AB303" s="64">
        <v>340486848</v>
      </c>
    </row>
    <row r="304" spans="25:28" ht="15.75" customHeight="1" x14ac:dyDescent="0.25">
      <c r="AA304" t="str">
        <f t="shared" si="4"/>
        <v>Not Matched</v>
      </c>
      <c r="AB304" s="64">
        <v>340499036</v>
      </c>
    </row>
    <row r="305" spans="27:28" ht="15.75" customHeight="1" x14ac:dyDescent="0.25">
      <c r="AA305" t="str">
        <f t="shared" si="4"/>
        <v>Not Matched</v>
      </c>
      <c r="AB305" s="64">
        <v>340002077</v>
      </c>
    </row>
    <row r="306" spans="27:28" ht="15.75" customHeight="1" x14ac:dyDescent="0.25">
      <c r="AA306" t="str">
        <f t="shared" si="4"/>
        <v>Not Matched</v>
      </c>
      <c r="AB306" s="64">
        <v>340752297</v>
      </c>
    </row>
    <row r="307" spans="27:28" ht="15.75" customHeight="1" x14ac:dyDescent="0.25">
      <c r="AA307" t="str">
        <f t="shared" si="4"/>
        <v>Not Matched</v>
      </c>
      <c r="AB307" s="64">
        <v>340863510</v>
      </c>
    </row>
    <row r="308" spans="27:28" ht="15.75" customHeight="1" x14ac:dyDescent="0.25">
      <c r="AA308" t="str">
        <f t="shared" si="4"/>
        <v>Not Matched</v>
      </c>
      <c r="AB308" s="64">
        <v>350000352</v>
      </c>
    </row>
    <row r="309" spans="27:28" ht="15.75" customHeight="1" x14ac:dyDescent="0.25">
      <c r="AA309" t="str">
        <f t="shared" si="4"/>
        <v>Not Matched</v>
      </c>
      <c r="AB309" s="64">
        <v>350000409</v>
      </c>
    </row>
    <row r="310" spans="27:28" ht="15.75" customHeight="1" x14ac:dyDescent="0.25">
      <c r="AA310" t="str">
        <f t="shared" si="4"/>
        <v>Not Matched</v>
      </c>
      <c r="AB310" s="64">
        <v>350000468</v>
      </c>
    </row>
    <row r="311" spans="27:28" ht="15.75" customHeight="1" x14ac:dyDescent="0.25">
      <c r="AA311" t="str">
        <f t="shared" si="4"/>
        <v>Not Matched</v>
      </c>
      <c r="AB311" s="64">
        <v>340001950</v>
      </c>
    </row>
    <row r="312" spans="27:28" ht="15.75" customHeight="1" x14ac:dyDescent="0.25">
      <c r="AA312" t="str">
        <f t="shared" si="4"/>
        <v>Not Matched</v>
      </c>
      <c r="AB312" s="64">
        <v>460000110</v>
      </c>
    </row>
    <row r="313" spans="27:28" ht="15.75" customHeight="1" x14ac:dyDescent="0.25">
      <c r="AA313" t="str">
        <f t="shared" si="4"/>
        <v>Not Matched</v>
      </c>
      <c r="AB313" s="64">
        <v>460000314</v>
      </c>
    </row>
    <row r="314" spans="27:28" ht="15.75" customHeight="1" x14ac:dyDescent="0.25">
      <c r="AA314" t="str">
        <f t="shared" si="4"/>
        <v>Not Matched</v>
      </c>
      <c r="AB314" s="64">
        <v>350000522</v>
      </c>
    </row>
    <row r="315" spans="27:28" ht="15.75" customHeight="1" x14ac:dyDescent="0.25">
      <c r="AA315" t="str">
        <f t="shared" si="4"/>
        <v>Not Matched</v>
      </c>
      <c r="AB315" s="64">
        <v>340823381</v>
      </c>
    </row>
    <row r="316" spans="27:28" ht="15.75" customHeight="1" x14ac:dyDescent="0.25">
      <c r="AA316" t="str">
        <f t="shared" si="4"/>
        <v>Not Matched</v>
      </c>
      <c r="AB316" s="64">
        <v>340000112</v>
      </c>
    </row>
    <row r="317" spans="27:28" ht="15.75" customHeight="1" x14ac:dyDescent="0.25">
      <c r="AA317" t="str">
        <f t="shared" si="4"/>
        <v>Not Matched</v>
      </c>
      <c r="AB317" s="64">
        <v>340000139</v>
      </c>
    </row>
    <row r="318" spans="27:28" ht="15.75" customHeight="1" x14ac:dyDescent="0.25">
      <c r="AA318" t="str">
        <f t="shared" si="4"/>
        <v>Not Matched</v>
      </c>
      <c r="AB318" s="64">
        <v>461020700</v>
      </c>
    </row>
    <row r="319" spans="27:28" ht="15.75" customHeight="1" x14ac:dyDescent="0.25">
      <c r="AA319" t="str">
        <f t="shared" si="4"/>
        <v>Not Matched</v>
      </c>
      <c r="AB319" s="64">
        <v>461214199</v>
      </c>
    </row>
    <row r="320" spans="27:28" ht="15.75" customHeight="1" x14ac:dyDescent="0.25">
      <c r="AA320" t="str">
        <f t="shared" si="4"/>
        <v>Not Matched</v>
      </c>
      <c r="AB320" s="64">
        <v>340002107</v>
      </c>
    </row>
    <row r="321" spans="27:28" ht="15.75" customHeight="1" x14ac:dyDescent="0.25">
      <c r="AA321" t="str">
        <f t="shared" si="4"/>
        <v>Not Matched</v>
      </c>
      <c r="AB321" s="64">
        <v>340002586</v>
      </c>
    </row>
    <row r="322" spans="27:28" ht="15.75" customHeight="1" x14ac:dyDescent="0.25">
      <c r="AA322" t="str">
        <f t="shared" ref="AA322:AA323" si="5">IF(ISNA(MATCH(B322, AB:AB, 0)), "Not Matched", "Matched")</f>
        <v>Not Matched</v>
      </c>
      <c r="AB322" s="64">
        <v>460000349</v>
      </c>
    </row>
    <row r="323" spans="27:28" ht="15.75" customHeight="1" x14ac:dyDescent="0.25">
      <c r="AA323" t="str">
        <f t="shared" si="5"/>
        <v>Not Matched</v>
      </c>
      <c r="AB323" s="64">
        <v>460771639</v>
      </c>
    </row>
    <row r="324" spans="27:28" ht="15.75" customHeight="1" x14ac:dyDescent="0.25"/>
    <row r="325" spans="27:28" ht="15.75" customHeight="1" x14ac:dyDescent="0.25"/>
    <row r="326" spans="27:28" ht="15.75" customHeight="1" x14ac:dyDescent="0.25"/>
    <row r="327" spans="27:28" ht="15.75" customHeight="1" x14ac:dyDescent="0.25"/>
    <row r="328" spans="27:28" ht="15.75" customHeight="1" x14ac:dyDescent="0.25"/>
    <row r="329" spans="27:28" ht="15.75" customHeight="1" x14ac:dyDescent="0.25"/>
    <row r="330" spans="27:28" ht="15.75" customHeight="1" x14ac:dyDescent="0.25"/>
    <row r="331" spans="27:28" ht="15.75" customHeight="1" x14ac:dyDescent="0.25"/>
    <row r="332" spans="27:28" ht="15.75" customHeight="1" x14ac:dyDescent="0.25"/>
    <row r="333" spans="27:28" ht="15.75" customHeight="1" x14ac:dyDescent="0.25"/>
    <row r="334" spans="27:28" ht="15.75" customHeight="1" x14ac:dyDescent="0.25"/>
    <row r="335" spans="27:28" ht="15.75" customHeight="1" x14ac:dyDescent="0.25"/>
    <row r="336" spans="27:28"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autoFilter ref="A1:AB323" xr:uid="{00000000-0001-0000-0800-000000000000}"/>
  <phoneticPr fontId="32" type="noConversion"/>
  <hyperlinks>
    <hyperlink ref="Y19" r:id="rId1" xr:uid="{00000000-0004-0000-0800-000020000000}"/>
    <hyperlink ref="Y20" r:id="rId2" xr:uid="{00000000-0004-0000-0800-000023000000}"/>
    <hyperlink ref="Y21" r:id="rId3" xr:uid="{00000000-0004-0000-0800-000026000000}"/>
    <hyperlink ref="Y22" r:id="rId4" xr:uid="{00000000-0004-0000-0800-000029000000}"/>
    <hyperlink ref="Y23" r:id="rId5" xr:uid="{00000000-0004-0000-0800-00002C000000}"/>
    <hyperlink ref="Y24" r:id="rId6" xr:uid="{00000000-0004-0000-0800-00002F000000}"/>
    <hyperlink ref="Y25" r:id="rId7" xr:uid="{00000000-0004-0000-0800-000032000000}"/>
    <hyperlink ref="Y27" r:id="rId8" xr:uid="{00000000-0004-0000-0800-000037000000}"/>
    <hyperlink ref="Y28" r:id="rId9" xr:uid="{00000000-0004-0000-0800-00003A000000}"/>
    <hyperlink ref="Y29" r:id="rId10" xr:uid="{00000000-0004-0000-0800-00003D000000}"/>
    <hyperlink ref="Y30" r:id="rId11" xr:uid="{00000000-0004-0000-0800-000040000000}"/>
    <hyperlink ref="Y31" r:id="rId12" xr:uid="{00000000-0004-0000-0800-000043000000}"/>
    <hyperlink ref="Y32" r:id="rId13" xr:uid="{00000000-0004-0000-0800-000046000000}"/>
    <hyperlink ref="Y33" r:id="rId14" xr:uid="{00000000-0004-0000-0800-000049000000}"/>
    <hyperlink ref="Y34" r:id="rId15" xr:uid="{00000000-0004-0000-0800-00004C000000}"/>
    <hyperlink ref="Y35" r:id="rId16" xr:uid="{00000000-0004-0000-0800-00004F000000}"/>
    <hyperlink ref="Y36" r:id="rId17" xr:uid="{00000000-0004-0000-0800-000052000000}"/>
    <hyperlink ref="Y37" r:id="rId18" xr:uid="{00000000-0004-0000-0800-000055000000}"/>
    <hyperlink ref="Y38" r:id="rId19" xr:uid="{00000000-0004-0000-0800-000058000000}"/>
    <hyperlink ref="Y68" r:id="rId20" xr:uid="{00000000-0004-0000-0800-000095000000}"/>
    <hyperlink ref="Y69" r:id="rId21" xr:uid="{00000000-0004-0000-0800-000098000000}"/>
    <hyperlink ref="Y70" r:id="rId22" xr:uid="{00000000-0004-0000-0800-00009B000000}"/>
    <hyperlink ref="Y73" r:id="rId23" xr:uid="{00000000-0004-0000-0800-0000A2000000}"/>
    <hyperlink ref="Y77" r:id="rId24" xr:uid="{00000000-0004-0000-0800-0000AB000000}"/>
    <hyperlink ref="Y78" r:id="rId25" xr:uid="{00000000-0004-0000-0800-0000AE000000}"/>
    <hyperlink ref="Y79" r:id="rId26" xr:uid="{00000000-0004-0000-0800-0000B1000000}"/>
    <hyperlink ref="Y80" r:id="rId27" xr:uid="{00000000-0004-0000-0800-0000B4000000}"/>
    <hyperlink ref="Y81" r:id="rId28" xr:uid="{00000000-0004-0000-0800-0000B7000000}"/>
    <hyperlink ref="Y82" r:id="rId29" xr:uid="{00000000-0004-0000-0800-0000BA000000}"/>
    <hyperlink ref="Y83" r:id="rId30" xr:uid="{00000000-0004-0000-0800-0000BD000000}"/>
    <hyperlink ref="Y84" r:id="rId31" xr:uid="{00000000-0004-0000-0800-0000C0000000}"/>
    <hyperlink ref="Y85" r:id="rId32" xr:uid="{00000000-0004-0000-0800-0000C3000000}"/>
    <hyperlink ref="Y86" r:id="rId33" xr:uid="{00000000-0004-0000-0800-0000C6000000}"/>
    <hyperlink ref="Y87" r:id="rId34" xr:uid="{00000000-0004-0000-0800-0000C9000000}"/>
    <hyperlink ref="Y88" r:id="rId35" xr:uid="{00000000-0004-0000-0800-0000CC000000}"/>
    <hyperlink ref="F18" r:id="rId36" xr:uid="{3099E22B-B6FE-49C5-8E9A-1E2306C07480}"/>
    <hyperlink ref="G5" r:id="rId37" xr:uid="{D52FCFB7-8CD8-4A03-8C6F-ACE7565F1C9E}"/>
    <hyperlink ref="F5" r:id="rId38" xr:uid="{8A00C990-0EC2-4CE5-9225-2E580C280158}"/>
    <hyperlink ref="F19" r:id="rId39" xr:uid="{87192C2F-93CB-4513-96BD-282CAD6E4C3F}"/>
    <hyperlink ref="G93" r:id="rId40" xr:uid="{CB42FBAC-CA76-404E-8CAF-59C231A8D4B8}"/>
    <hyperlink ref="F93" r:id="rId41" xr:uid="{FA88077B-78B7-4C40-A7EF-30D71B56711F}"/>
    <hyperlink ref="F94" r:id="rId42" display="Perf-Test-User-10217@mailinator.com" xr:uid="{FE4EEDEC-F281-4DEE-940C-52F04FF7EC52}"/>
    <hyperlink ref="G94" r:id="rId43" display="Perf-Test-User-10217@mailinator.com" xr:uid="{26661D47-5F42-4C68-9A18-EA58FE60719F}"/>
    <hyperlink ref="G96" r:id="rId44" xr:uid="{557F7A70-B981-4C8E-831D-D8D12496FAAD}"/>
    <hyperlink ref="G97" r:id="rId45" xr:uid="{0A900B6C-4ECF-4B7D-B789-77C7EA37E54B}"/>
    <hyperlink ref="G98" r:id="rId46" xr:uid="{24BD99B3-7307-4243-AF2F-27C263C1B19F}"/>
    <hyperlink ref="F96" r:id="rId47" xr:uid="{B85AEEC7-FC50-4400-8422-EC608241F57F}"/>
    <hyperlink ref="F97" r:id="rId48" xr:uid="{59C4D1A9-1662-4AE8-855F-D5F0A721F88E}"/>
    <hyperlink ref="F98" r:id="rId49" xr:uid="{5ADD7055-FFED-4B3B-85C8-14F2BB11E010}"/>
    <hyperlink ref="F6" r:id="rId50" xr:uid="{4D8635FF-4291-4455-8943-8D47D6D74509}"/>
    <hyperlink ref="F10" r:id="rId51" xr:uid="{33BAFFFB-D28B-43D6-BD2B-E52134D7D76B}"/>
    <hyperlink ref="F99" r:id="rId52" xr:uid="{9138B56D-B45D-4CD5-9373-457632286107}"/>
    <hyperlink ref="G99" r:id="rId53" xr:uid="{FC11E31E-7EDA-4E9E-B93E-D6EBB54EF61A}"/>
    <hyperlink ref="F100" r:id="rId54" xr:uid="{C4BD05D2-FEBA-4BD1-AC86-C41118EA9B02}"/>
    <hyperlink ref="G100" r:id="rId55" xr:uid="{E0910685-75C1-4DC8-9582-9590DD0CC4C2}"/>
    <hyperlink ref="G95" r:id="rId56" xr:uid="{4BB80FF0-D342-427A-A817-7DD8B5276E23}"/>
    <hyperlink ref="F95" r:id="rId57" xr:uid="{3C23BD5D-32A3-4B9F-859E-B63777222609}"/>
    <hyperlink ref="F7" r:id="rId58" xr:uid="{6A9E3B93-D481-4B88-A691-4287243626BB}"/>
    <hyperlink ref="G7" r:id="rId59" xr:uid="{B5346C62-E0EC-4055-A431-7E1BD4A87BB9}"/>
    <hyperlink ref="F8" r:id="rId60" xr:uid="{06A80442-C89A-4454-8AF6-3B3739071792}"/>
    <hyperlink ref="G8" r:id="rId61" xr:uid="{650C9800-EE64-4F6F-8E2E-3909D109C2D3}"/>
    <hyperlink ref="F101" r:id="rId62" xr:uid="{3E012D9A-E9E0-4716-BA78-30857C2C586C}"/>
    <hyperlink ref="G101" r:id="rId63" xr:uid="{CBC07F1E-1E22-48A9-82A7-744D43E52E60}"/>
    <hyperlink ref="G102" r:id="rId64" xr:uid="{EDE3CC7C-0E9F-4E9D-ADD3-F4BD96364B62}"/>
    <hyperlink ref="F102" r:id="rId65" xr:uid="{6FBC39E0-6BBE-49FE-872A-4010315B866F}"/>
    <hyperlink ref="G103" r:id="rId66" xr:uid="{C379A359-D988-40BD-B606-527BF11B1C48}"/>
    <hyperlink ref="F103" r:id="rId67" xr:uid="{1D18D3E7-EBBF-4F1A-A4DA-0C8363167FBA}"/>
    <hyperlink ref="G104" r:id="rId68" xr:uid="{DCC5E920-8C82-4462-BB54-94999889E8CE}"/>
    <hyperlink ref="F104" r:id="rId69" xr:uid="{43B17EB6-E26C-4B2D-93CF-9A30DCCBBBAC}"/>
    <hyperlink ref="G105" r:id="rId70" xr:uid="{E750A2D5-786A-43FC-A96E-E33899AF1574}"/>
    <hyperlink ref="F105" r:id="rId71" xr:uid="{894C5A5E-678B-4007-A1D4-5773F0B274DC}"/>
    <hyperlink ref="F20" r:id="rId72" xr:uid="{2FF012C8-4E7C-4C89-8D71-96666A6214C0}"/>
    <hyperlink ref="Y107" r:id="rId73" xr:uid="{165B1977-8033-40A4-9DB0-2AD93D59236D}"/>
    <hyperlink ref="F107" r:id="rId74" xr:uid="{DE9CF796-A2A4-445C-9E92-EF93472A2ABC}"/>
    <hyperlink ref="F108" r:id="rId75" xr:uid="{38149980-87EE-4271-8998-F6A7E41103AC}"/>
    <hyperlink ref="G108" r:id="rId76" xr:uid="{AF631C99-9E80-46DE-9E12-FF19A870D400}"/>
    <hyperlink ref="G109" r:id="rId77" xr:uid="{F1ADEB14-0BA6-4657-BC33-1C702C9C8CBD}"/>
    <hyperlink ref="F109" r:id="rId78" xr:uid="{FA1A742A-B2C0-47FF-BD03-9ABB38B18327}"/>
    <hyperlink ref="F110" r:id="rId79" display="Perf-Test-User-10217@mailinator.com" xr:uid="{A7664246-C98E-4E71-8AFB-721D41B0BEEC}"/>
    <hyperlink ref="G110" r:id="rId80" display="Perf-Test-User-10217@mailinator.com" xr:uid="{FB02FE33-A104-4A2A-BC55-BAC7578DD6A0}"/>
    <hyperlink ref="G111" r:id="rId81" xr:uid="{D5C7CF5D-6609-4CED-9B60-7132EE90386A}"/>
    <hyperlink ref="F111" r:id="rId82" xr:uid="{2131CB70-690B-4EE1-848A-ADC92D012F2B}"/>
    <hyperlink ref="G112" r:id="rId83" xr:uid="{DFCAD0DC-1950-4D97-A1EA-DCDD87323EE8}"/>
    <hyperlink ref="G113" r:id="rId84" xr:uid="{D2E90163-EF63-4DAA-991C-9275DB4EB86B}"/>
    <hyperlink ref="G114" r:id="rId85" xr:uid="{C2050068-0BA8-49F0-8FEA-EAB59E9ECC69}"/>
    <hyperlink ref="F112" r:id="rId86" xr:uid="{FBE92EEA-5572-4F60-BAA3-A061B9E10CA3}"/>
    <hyperlink ref="F113" r:id="rId87" xr:uid="{66007889-8897-4555-AED5-34800104E3C4}"/>
    <hyperlink ref="F114" r:id="rId88" xr:uid="{45E00995-144C-4596-97FC-D97DF0ADE94C}"/>
    <hyperlink ref="G116" r:id="rId89" xr:uid="{C483576C-52DC-4DFF-A204-4AAF0C09F2B1}"/>
    <hyperlink ref="F116" r:id="rId90" xr:uid="{281230B5-EC96-4DF8-8A9F-1D5862C0499E}"/>
    <hyperlink ref="G117" r:id="rId91" xr:uid="{A56F31E0-F30A-4AE7-83D7-DEA09D51D8DE}"/>
    <hyperlink ref="F117" r:id="rId92" xr:uid="{6E2EF905-64EB-441F-BD7D-954A8EFAFE37}"/>
    <hyperlink ref="F119" r:id="rId93" xr:uid="{96371FBD-6D6F-4574-85C0-D5F41836D6E7}"/>
    <hyperlink ref="G119" r:id="rId94" xr:uid="{9282B0A4-647D-4948-B0EC-C7CC534C1DC5}"/>
    <hyperlink ref="F120" r:id="rId95" display="Perf-Test-User-10217@mailinator.com" xr:uid="{9B5A33DB-D7E5-43CF-AD6D-FF675220FF3F}"/>
    <hyperlink ref="G120" r:id="rId96" display="Perf-Test-User-10217@mailinator.com" xr:uid="{73FC6C64-6B1F-4AA1-A6E7-06D88F6F3298}"/>
    <hyperlink ref="G121" r:id="rId97" xr:uid="{D02D604B-F047-4016-A9D2-8A83743E21D4}"/>
    <hyperlink ref="F121" r:id="rId98" xr:uid="{116C06A1-4205-4CD6-9C84-1C0B1EF9FA81}"/>
    <hyperlink ref="G115" r:id="rId99" xr:uid="{953883B5-EC72-433B-BD9D-1CC10B94DFEA}"/>
    <hyperlink ref="F115" r:id="rId100" xr:uid="{C99EB172-313A-463F-AC86-ED56F4BBE1AB}"/>
    <hyperlink ref="G126" r:id="rId101" xr:uid="{686B0629-3CA6-446B-8996-DB3E709EB6C0}"/>
    <hyperlink ref="G125" r:id="rId102" xr:uid="{985AA37F-205A-44CE-B165-BC15F40C7E7D}"/>
    <hyperlink ref="F123" r:id="rId103" xr:uid="{1E588723-D7E9-44D5-8AF4-F265C12B7CBE}"/>
    <hyperlink ref="F124" r:id="rId104" xr:uid="{7DE232CC-8BA2-40BE-B09E-6D7E6E4DD890}"/>
    <hyperlink ref="F126" r:id="rId105" xr:uid="{28B55EC5-D101-4464-9893-76D74FFFCEFB}"/>
    <hyperlink ref="F127" r:id="rId106" xr:uid="{616389CC-93BD-423B-89DD-8DD091DB3B96}"/>
    <hyperlink ref="F128" r:id="rId107" xr:uid="{70E40D09-D096-4557-BE21-75FC990F6372}"/>
    <hyperlink ref="F125" r:id="rId108" xr:uid="{4FFF40F5-6964-47EF-9D03-FCFC913E1632}"/>
    <hyperlink ref="G122" r:id="rId109" xr:uid="{1F9BC7C6-E2F7-474E-9F6B-53D940D718F2}"/>
    <hyperlink ref="F122" r:id="rId110" xr:uid="{55711299-23A9-4896-B665-2F19AFDE9F4A}"/>
    <hyperlink ref="F118" r:id="rId111" xr:uid="{195392E3-D6BF-4763-93D6-8BF4B71DECBB}"/>
    <hyperlink ref="F92" r:id="rId112" xr:uid="{8352328F-7BFB-4C8F-849B-79385AA8F543}"/>
    <hyperlink ref="F91" r:id="rId113" xr:uid="{9CF3165E-8249-4280-8093-97C3EA54438D}"/>
    <hyperlink ref="F88" r:id="rId114" xr:uid="{28FB6795-8B8F-4B2D-83A3-29552AF46891}"/>
    <hyperlink ref="G88" r:id="rId115" xr:uid="{50EDB487-FC71-4F1F-8DC2-185023D115C6}"/>
    <hyperlink ref="F89" r:id="rId116" display="UAT-Web-Auth72@mailinator.com" xr:uid="{E0BD479D-CA32-46DD-846F-AB694F6DC676}"/>
    <hyperlink ref="F87" r:id="rId117" display="UAT-Web-Auth70@mailinator.com" xr:uid="{44D42046-F4A7-41FB-BFD7-80FDB067392B}"/>
    <hyperlink ref="F86" r:id="rId118" xr:uid="{09B06970-280C-4211-9033-C4A9F1F21458}"/>
    <hyperlink ref="F85" r:id="rId119" xr:uid="{D69EDD0E-FA91-4755-A026-513F3A0D3C85}"/>
    <hyperlink ref="F27" r:id="rId120" xr:uid="{40C43AA6-5545-41D9-AD1A-52E61A7282E1}"/>
    <hyperlink ref="F28" r:id="rId121" xr:uid="{CD934D09-A5C0-4A2B-9EA3-60C45793971B}"/>
    <hyperlink ref="F29" r:id="rId122" xr:uid="{1AD0D57C-D407-468B-B173-7F4E0EFBC684}"/>
    <hyperlink ref="F31" r:id="rId123" xr:uid="{B43E43B9-2A9A-4E24-A58D-85FF0B564588}"/>
    <hyperlink ref="F129" r:id="rId124" xr:uid="{79AB2665-C243-4881-9086-5E5B47E32D0C}"/>
    <hyperlink ref="F130" r:id="rId125" xr:uid="{87D68447-3544-444B-AD85-EFB0FB255F14}"/>
    <hyperlink ref="F90" r:id="rId126" xr:uid="{AF3F2C2B-8459-4DD0-859F-1F57C3C93862}"/>
    <hyperlink ref="F21" r:id="rId127" xr:uid="{1E98DEA5-8D9C-42EE-84AA-E492B9804841}"/>
    <hyperlink ref="F23" r:id="rId128" xr:uid="{57F004F4-0FC1-433C-8AC5-4171B51E9691}"/>
    <hyperlink ref="F131" r:id="rId129" xr:uid="{1EC86A7D-AD19-4F45-A1D9-1DAA11CEAB50}"/>
    <hyperlink ref="F30" r:id="rId130" xr:uid="{54C236E9-BB29-41A1-BBBB-60D6D3F9E391}"/>
    <hyperlink ref="F24" r:id="rId131" xr:uid="{AA71A64D-8274-4BEC-A9ED-2429F3D0151B}"/>
  </hyperlinks>
  <pageMargins left="0.7" right="0.7" top="0.75" bottom="0.75" header="0" footer="0"/>
  <pageSetup orientation="portrait"/>
  <headerFooter>
    <oddHeader>&amp;L&amp;"Aptos"&amp;10&amp;K000000 Classification: Internal Use&amp;1#_x000D_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9EDCC-AF68-4EB0-8E7C-1A9A9B5EDD82}">
  <sheetPr>
    <tabColor rgb="FF00B0F0"/>
  </sheetPr>
  <dimension ref="A1:AZ263"/>
  <sheetViews>
    <sheetView tabSelected="1" zoomScale="78" zoomScaleNormal="78" workbookViewId="0">
      <selection activeCell="F16" sqref="F16"/>
    </sheetView>
  </sheetViews>
  <sheetFormatPr defaultColWidth="8.85546875" defaultRowHeight="15" x14ac:dyDescent="0.25"/>
  <cols>
    <col min="1" max="1" width="18.7109375" style="166" bestFit="1" customWidth="1"/>
    <col min="2" max="2" width="11.5703125" style="166" bestFit="1" customWidth="1"/>
    <col min="3" max="3" width="42.28515625" style="166" bestFit="1" customWidth="1"/>
    <col min="4" max="4" width="15.85546875" style="166" customWidth="1"/>
    <col min="5" max="5" width="21.28515625" style="166" bestFit="1" customWidth="1"/>
    <col min="6" max="6" width="24.5703125" style="166" bestFit="1" customWidth="1"/>
    <col min="7" max="7" width="16.7109375" style="166" bestFit="1" customWidth="1"/>
    <col min="8" max="8" width="28.28515625" style="166" bestFit="1" customWidth="1"/>
    <col min="9" max="9" width="13.42578125" style="166" customWidth="1"/>
    <col min="10" max="10" width="10.7109375" style="166" bestFit="1" customWidth="1"/>
    <col min="11" max="11" width="13.42578125" style="166" customWidth="1"/>
    <col min="12" max="12" width="16.7109375" style="166" bestFit="1" customWidth="1"/>
    <col min="13" max="13" width="18.5703125" style="177" customWidth="1"/>
    <col min="14" max="14" width="14.42578125" style="166" bestFit="1" customWidth="1"/>
    <col min="15" max="15" width="13.140625" style="166" bestFit="1" customWidth="1"/>
    <col min="16" max="16" width="18.7109375" style="166" customWidth="1"/>
    <col min="17" max="17" width="26.5703125" style="166" bestFit="1" customWidth="1"/>
    <col min="18" max="18" width="21.42578125" style="166" bestFit="1" customWidth="1"/>
    <col min="19" max="19" width="20.42578125" style="166" bestFit="1" customWidth="1"/>
    <col min="20" max="20" width="20.28515625" style="166" bestFit="1" customWidth="1"/>
    <col min="21" max="21" width="22.5703125" style="166" bestFit="1" customWidth="1"/>
    <col min="22" max="22" width="35.7109375" style="166" customWidth="1"/>
    <col min="23" max="23" width="40.5703125" style="166" customWidth="1"/>
    <col min="24" max="24" width="40.5703125" style="166" bestFit="1" customWidth="1"/>
    <col min="25" max="25" width="29.85546875" style="166" customWidth="1"/>
    <col min="26" max="26" width="14.28515625" style="166" bestFit="1" customWidth="1"/>
    <col min="27" max="27" width="103.5703125" style="166" bestFit="1" customWidth="1"/>
    <col min="28" max="28" width="70.140625" style="166" bestFit="1" customWidth="1"/>
    <col min="29" max="37" width="8.85546875" style="166"/>
    <col min="38" max="38" width="11.140625" style="166" bestFit="1" customWidth="1"/>
    <col min="39" max="42" width="8.85546875" style="166"/>
    <col min="43" max="43" width="41.85546875" style="166" customWidth="1"/>
    <col min="44" max="44" width="45.85546875" style="166" customWidth="1"/>
    <col min="45" max="46" width="8.85546875" style="166"/>
    <col min="47" max="47" width="37.85546875" style="166" bestFit="1" customWidth="1"/>
    <col min="48" max="48" width="28.140625" style="166" customWidth="1"/>
    <col min="49" max="49" width="11.28515625" style="166" bestFit="1" customWidth="1"/>
    <col min="50" max="50" width="14.140625" style="166" customWidth="1"/>
    <col min="51" max="51" width="12.7109375" style="166" bestFit="1" customWidth="1"/>
    <col min="52" max="52" width="15.85546875" style="166" customWidth="1"/>
    <col min="53" max="16384" width="8.85546875" style="166"/>
  </cols>
  <sheetData>
    <row r="1" spans="1:52" x14ac:dyDescent="0.25">
      <c r="A1" s="165" t="s">
        <v>1825</v>
      </c>
      <c r="B1" s="165" t="s">
        <v>1826</v>
      </c>
      <c r="C1" s="165" t="s">
        <v>5</v>
      </c>
      <c r="D1" s="165" t="s">
        <v>37</v>
      </c>
      <c r="E1" s="165" t="s">
        <v>1827</v>
      </c>
      <c r="F1" s="165" t="s">
        <v>1828</v>
      </c>
      <c r="G1" s="165" t="s">
        <v>1829</v>
      </c>
      <c r="H1" s="165" t="s">
        <v>1830</v>
      </c>
      <c r="I1" s="165" t="s">
        <v>7</v>
      </c>
      <c r="J1" s="165" t="s">
        <v>1831</v>
      </c>
      <c r="K1" s="165" t="s">
        <v>1832</v>
      </c>
      <c r="L1" s="165" t="s">
        <v>1833</v>
      </c>
      <c r="M1" s="165" t="s">
        <v>318</v>
      </c>
      <c r="N1" s="165" t="s">
        <v>1834</v>
      </c>
      <c r="O1" s="165" t="s">
        <v>315</v>
      </c>
      <c r="P1" s="165" t="s">
        <v>1835</v>
      </c>
      <c r="Q1" s="165" t="s">
        <v>1836</v>
      </c>
      <c r="R1" s="165" t="s">
        <v>1837</v>
      </c>
      <c r="S1" s="165" t="s">
        <v>1838</v>
      </c>
      <c r="T1" s="165" t="s">
        <v>1839</v>
      </c>
      <c r="U1" s="165" t="s">
        <v>1840</v>
      </c>
      <c r="V1" s="165" t="s">
        <v>1841</v>
      </c>
      <c r="W1" s="165" t="s">
        <v>1842</v>
      </c>
      <c r="X1" s="165" t="s">
        <v>1843</v>
      </c>
      <c r="Y1" s="165" t="s">
        <v>2</v>
      </c>
      <c r="Z1" s="165" t="s">
        <v>1844</v>
      </c>
      <c r="AA1" s="165" t="s">
        <v>1845</v>
      </c>
      <c r="AB1" s="165" t="s">
        <v>1846</v>
      </c>
    </row>
    <row r="2" spans="1:52" ht="34.15" customHeight="1" x14ac:dyDescent="0.25">
      <c r="A2" s="167" t="s">
        <v>1438</v>
      </c>
      <c r="B2" s="167" t="s">
        <v>1847</v>
      </c>
      <c r="C2" s="167" t="s">
        <v>1848</v>
      </c>
      <c r="D2" s="167" t="s">
        <v>1849</v>
      </c>
      <c r="E2" s="167" t="s">
        <v>1850</v>
      </c>
      <c r="F2" s="167" t="s">
        <v>1355</v>
      </c>
      <c r="G2" s="167" t="s">
        <v>1851</v>
      </c>
      <c r="H2" s="167" t="s">
        <v>1852</v>
      </c>
      <c r="I2" s="167">
        <v>100</v>
      </c>
      <c r="J2" s="167" t="s">
        <v>1355</v>
      </c>
      <c r="K2" s="168" t="str">
        <f>IF(W2=$AU$4, $AX$4,
IF(W2=$AU$2,$AX$2, ""))</f>
        <v>HIDDERLEY</v>
      </c>
      <c r="L2" s="168" t="str">
        <f t="shared" ref="L2:L65" si="0">IF(X2=$AU$5, $AX$5,
IF(X2=$AU$3,$AX$3, ""))</f>
        <v/>
      </c>
      <c r="M2" s="168">
        <f t="shared" ref="M2:M65" si="1">IF(W2=$AU$4, $AW$4,
IF(W2=$AU$2,$AW$2, ""))</f>
        <v>35736</v>
      </c>
      <c r="N2" s="168" t="str">
        <f t="shared" ref="N2:N65" si="2">IF(X2=$AU$5, $AW$5,
IF(X2=$AU$3,$AW$3, ""))</f>
        <v/>
      </c>
      <c r="O2" s="168" t="str">
        <f t="shared" ref="O2:O65" si="3">IF(W2=$AU$4, $AV$4,
IF(W2=$AU$2,$AV$2, ""))</f>
        <v>242597904</v>
      </c>
      <c r="P2" s="168" t="str">
        <f t="shared" ref="P2:P65" si="4">IF(X2=$AU$5, $AV$5,
IF(X2=$AU$3,$AV$3, ""))</f>
        <v/>
      </c>
      <c r="Q2" s="167" t="s">
        <v>1355</v>
      </c>
      <c r="R2" s="167" t="s">
        <v>1355</v>
      </c>
      <c r="S2" s="167" t="s">
        <v>1355</v>
      </c>
      <c r="T2" s="167" t="s">
        <v>1355</v>
      </c>
      <c r="U2" s="167" t="s">
        <v>1355</v>
      </c>
      <c r="V2" s="167" t="s">
        <v>1355</v>
      </c>
      <c r="W2" s="169" t="str">
        <f t="shared" ref="W2:W65" si="5">IF(E2="Y", $AU$4,
IF(E2="N",$AU$2,
IF(E2="Y,Y",  $AU$4,
IF(E2="N,N",$AU$2,
IF(E2="Y,N", $AU$4,
IF(E2="N,Y", $AU$2, ""))))))</f>
        <v>UAT-WF-User77@mailinator.com</v>
      </c>
      <c r="X2" s="167" t="str">
        <f t="shared" ref="X2:X65" si="6">IF(E2="Y,Y", $AU$5,
IF(E2="N,N", $AU$3,
IF(E2="Y,N", $AU$3,
IF(E2="N,Y",$AU$5, ""))))</f>
        <v/>
      </c>
      <c r="Y2" s="168" t="str">
        <f t="shared" ref="Y2:Y65" si="7">IF(W2=$AU$2, $AZ$2,
IF(W2=$AU$4,$AZ$4, ""))</f>
        <v>Dummy!2024</v>
      </c>
      <c r="Z2" s="168" t="str">
        <f t="shared" ref="Z2:Z65" si="8">IF(W2=$AU$4, $AY$4,
IF(W2=$AU$2,$AY$2, ""))</f>
        <v>020-8030031</v>
      </c>
      <c r="AA2" s="167"/>
      <c r="AB2" s="167" t="s">
        <v>1853</v>
      </c>
      <c r="AL2" s="166" t="str">
        <f>IF(W2=$AU$4, $AV$4,
IF(W2=$AU$2,$AV$2, ""))</f>
        <v>242597904</v>
      </c>
      <c r="AQ2" s="166" t="str">
        <f t="shared" ref="AQ2:AQ65" si="9">IF(E2="Y", $AU$4,
IF(E2="N",$AU$2,
IF(E2="Y,Y",  $AU$4,
IF(E2="N,N",$AU$2,
IF(E2="Y,N", $AU$4,
IF(E2="N,Y", $AU$2, ""))))))</f>
        <v>UAT-WF-User77@mailinator.com</v>
      </c>
      <c r="AR2" s="166" t="str">
        <f t="shared" ref="AR2:AR65" si="10">IF(E2="Y,Y", $AU$5,
IF(E2="N,N", $AU$3,
IF(E2="Y,N", $AU$3,
IF(E2="N,Y",$AU$5, ""))))</f>
        <v/>
      </c>
      <c r="AT2" s="166" t="s">
        <v>1854</v>
      </c>
      <c r="AU2" s="170" t="s">
        <v>1855</v>
      </c>
      <c r="AV2" s="171" t="s">
        <v>1856</v>
      </c>
      <c r="AW2" s="172">
        <v>21248</v>
      </c>
      <c r="AX2" s="166" t="s">
        <v>486</v>
      </c>
      <c r="AY2" s="166" t="s">
        <v>1857</v>
      </c>
      <c r="AZ2" s="166" t="s">
        <v>64</v>
      </c>
    </row>
    <row r="3" spans="1:52" ht="50.45" customHeight="1" x14ac:dyDescent="0.25">
      <c r="A3" s="167" t="s">
        <v>1439</v>
      </c>
      <c r="B3" s="167" t="s">
        <v>1858</v>
      </c>
      <c r="C3" s="167" t="s">
        <v>24</v>
      </c>
      <c r="D3" s="167" t="s">
        <v>1849</v>
      </c>
      <c r="E3" s="167" t="s">
        <v>1850</v>
      </c>
      <c r="F3" s="167" t="s">
        <v>1355</v>
      </c>
      <c r="G3" s="167" t="s">
        <v>1859</v>
      </c>
      <c r="H3" s="167"/>
      <c r="I3" s="167" t="s">
        <v>60</v>
      </c>
      <c r="J3" s="167" t="s">
        <v>1355</v>
      </c>
      <c r="K3" s="168" t="str">
        <f>IF(W3=$AU$4, $AX$4,
IF(W3=$AU$2,$AX$2, ""))</f>
        <v>HIDDERLEY</v>
      </c>
      <c r="L3" s="168" t="str">
        <f t="shared" si="0"/>
        <v/>
      </c>
      <c r="M3" s="168">
        <f t="shared" si="1"/>
        <v>35736</v>
      </c>
      <c r="N3" s="168" t="str">
        <f t="shared" si="2"/>
        <v/>
      </c>
      <c r="O3" s="168" t="str">
        <f t="shared" si="3"/>
        <v>242597904</v>
      </c>
      <c r="P3" s="168" t="str">
        <f t="shared" si="4"/>
        <v/>
      </c>
      <c r="Q3" s="167" t="s">
        <v>1355</v>
      </c>
      <c r="R3" s="167" t="s">
        <v>1355</v>
      </c>
      <c r="S3" s="167" t="s">
        <v>1355</v>
      </c>
      <c r="T3" s="167" t="s">
        <v>1355</v>
      </c>
      <c r="U3" s="167" t="s">
        <v>1355</v>
      </c>
      <c r="V3" s="167" t="s">
        <v>1355</v>
      </c>
      <c r="W3" s="169" t="str">
        <f t="shared" si="5"/>
        <v>UAT-WF-User77@mailinator.com</v>
      </c>
      <c r="X3" s="167" t="str">
        <f t="shared" si="6"/>
        <v/>
      </c>
      <c r="Y3" s="168" t="str">
        <f t="shared" si="7"/>
        <v>Dummy!2024</v>
      </c>
      <c r="Z3" s="168" t="str">
        <f t="shared" si="8"/>
        <v>020-8030031</v>
      </c>
      <c r="AA3" s="167"/>
      <c r="AB3" s="167" t="s">
        <v>1853</v>
      </c>
      <c r="AQ3" s="166" t="str">
        <f t="shared" si="9"/>
        <v>UAT-WF-User77@mailinator.com</v>
      </c>
      <c r="AR3" s="166" t="str">
        <f t="shared" si="10"/>
        <v/>
      </c>
      <c r="AT3" s="166" t="s">
        <v>1854</v>
      </c>
      <c r="AU3" s="170" t="s">
        <v>1860</v>
      </c>
      <c r="AV3" s="173" t="s">
        <v>1861</v>
      </c>
      <c r="AW3" s="172">
        <v>23480</v>
      </c>
      <c r="AX3" s="166" t="s">
        <v>1862</v>
      </c>
    </row>
    <row r="4" spans="1:52" ht="39" customHeight="1" x14ac:dyDescent="0.25">
      <c r="A4" s="167" t="s">
        <v>1440</v>
      </c>
      <c r="B4" s="167" t="s">
        <v>1355</v>
      </c>
      <c r="C4" s="167" t="s">
        <v>1863</v>
      </c>
      <c r="D4" s="167" t="s">
        <v>1849</v>
      </c>
      <c r="E4" s="167" t="s">
        <v>1850</v>
      </c>
      <c r="F4" s="167" t="s">
        <v>1355</v>
      </c>
      <c r="G4" s="167" t="s">
        <v>1864</v>
      </c>
      <c r="H4" s="167" t="s">
        <v>1865</v>
      </c>
      <c r="I4" s="167" t="s">
        <v>1866</v>
      </c>
      <c r="J4" s="167" t="s">
        <v>1355</v>
      </c>
      <c r="K4" s="168" t="str">
        <f>IF(W4=$AU$4, $AX$4,
IF(W4=$AU$2,$AX$2, ""))</f>
        <v>HIDDERLEY</v>
      </c>
      <c r="L4" s="168" t="str">
        <f t="shared" si="0"/>
        <v/>
      </c>
      <c r="M4" s="168">
        <f t="shared" si="1"/>
        <v>35736</v>
      </c>
      <c r="N4" s="168" t="str">
        <f t="shared" si="2"/>
        <v/>
      </c>
      <c r="O4" s="168" t="str">
        <f t="shared" si="3"/>
        <v>242597904</v>
      </c>
      <c r="P4" s="168" t="str">
        <f t="shared" si="4"/>
        <v/>
      </c>
      <c r="Q4" s="167" t="s">
        <v>1355</v>
      </c>
      <c r="R4" s="167" t="s">
        <v>1355</v>
      </c>
      <c r="S4" s="167" t="s">
        <v>1355</v>
      </c>
      <c r="T4" s="167" t="s">
        <v>1355</v>
      </c>
      <c r="U4" s="167" t="s">
        <v>1355</v>
      </c>
      <c r="V4" s="167" t="s">
        <v>1355</v>
      </c>
      <c r="W4" s="169" t="str">
        <f t="shared" si="5"/>
        <v>UAT-WF-User77@mailinator.com</v>
      </c>
      <c r="X4" s="167" t="str">
        <f t="shared" si="6"/>
        <v/>
      </c>
      <c r="Y4" s="168" t="str">
        <f t="shared" si="7"/>
        <v>Dummy!2024</v>
      </c>
      <c r="Z4" s="168" t="str">
        <f t="shared" si="8"/>
        <v>020-8030031</v>
      </c>
      <c r="AA4" s="167"/>
      <c r="AB4" s="167" t="s">
        <v>1853</v>
      </c>
      <c r="AQ4" s="166" t="str">
        <f t="shared" si="9"/>
        <v>UAT-WF-User77@mailinator.com</v>
      </c>
      <c r="AR4" s="166" t="str">
        <f t="shared" si="10"/>
        <v/>
      </c>
      <c r="AT4" s="166" t="s">
        <v>1867</v>
      </c>
      <c r="AU4" s="170" t="s">
        <v>220</v>
      </c>
      <c r="AV4" s="173" t="s">
        <v>1868</v>
      </c>
      <c r="AW4" s="172">
        <v>35736</v>
      </c>
      <c r="AX4" s="174" t="s">
        <v>1869</v>
      </c>
      <c r="AY4" s="166" t="s">
        <v>77</v>
      </c>
      <c r="AZ4" s="166" t="s">
        <v>84</v>
      </c>
    </row>
    <row r="5" spans="1:52" ht="39.6" customHeight="1" x14ac:dyDescent="0.25">
      <c r="A5" s="167" t="s">
        <v>1441</v>
      </c>
      <c r="B5" s="167" t="s">
        <v>1355</v>
      </c>
      <c r="C5" s="167" t="s">
        <v>1870</v>
      </c>
      <c r="D5" s="167" t="s">
        <v>1849</v>
      </c>
      <c r="E5" s="167" t="s">
        <v>1850</v>
      </c>
      <c r="F5" s="167" t="s">
        <v>1355</v>
      </c>
      <c r="G5" s="167" t="s">
        <v>1871</v>
      </c>
      <c r="H5" s="167" t="s">
        <v>1872</v>
      </c>
      <c r="I5" s="167" t="s">
        <v>1873</v>
      </c>
      <c r="J5" s="167" t="s">
        <v>1355</v>
      </c>
      <c r="K5" s="168" t="str">
        <f>IF(W5=$AU$4, $AX$4,
IF(W5=$AU$2,$AX$2, ""))</f>
        <v>HIDDERLEY</v>
      </c>
      <c r="L5" s="168" t="str">
        <f t="shared" si="0"/>
        <v/>
      </c>
      <c r="M5" s="168">
        <f t="shared" si="1"/>
        <v>35736</v>
      </c>
      <c r="N5" s="168" t="str">
        <f t="shared" si="2"/>
        <v/>
      </c>
      <c r="O5" s="168" t="str">
        <f t="shared" si="3"/>
        <v>242597904</v>
      </c>
      <c r="P5" s="168" t="str">
        <f t="shared" si="4"/>
        <v/>
      </c>
      <c r="Q5" s="167" t="s">
        <v>1355</v>
      </c>
      <c r="R5" s="167" t="s">
        <v>1355</v>
      </c>
      <c r="S5" s="167" t="s">
        <v>1355</v>
      </c>
      <c r="T5" s="167" t="s">
        <v>1355</v>
      </c>
      <c r="U5" s="167" t="s">
        <v>1355</v>
      </c>
      <c r="V5" s="167" t="s">
        <v>1355</v>
      </c>
      <c r="W5" s="169" t="str">
        <f t="shared" si="5"/>
        <v>UAT-WF-User77@mailinator.com</v>
      </c>
      <c r="X5" s="167" t="str">
        <f t="shared" si="6"/>
        <v/>
      </c>
      <c r="Y5" s="168" t="str">
        <f t="shared" si="7"/>
        <v>Dummy!2024</v>
      </c>
      <c r="Z5" s="168" t="str">
        <f t="shared" si="8"/>
        <v>020-8030031</v>
      </c>
      <c r="AA5" s="167"/>
      <c r="AB5" s="167" t="s">
        <v>1853</v>
      </c>
      <c r="AQ5" s="166" t="str">
        <f t="shared" si="9"/>
        <v>UAT-WF-User77@mailinator.com</v>
      </c>
      <c r="AR5" s="166" t="str">
        <f t="shared" si="10"/>
        <v/>
      </c>
      <c r="AT5" s="166" t="s">
        <v>1867</v>
      </c>
      <c r="AU5" s="170" t="s">
        <v>94</v>
      </c>
      <c r="AV5" s="173" t="s">
        <v>1874</v>
      </c>
      <c r="AW5" s="172">
        <v>31390</v>
      </c>
      <c r="AX5" s="166" t="s">
        <v>1875</v>
      </c>
    </row>
    <row r="6" spans="1:52" ht="45.6" customHeight="1" x14ac:dyDescent="0.25">
      <c r="A6" s="167" t="s">
        <v>1442</v>
      </c>
      <c r="B6" s="167" t="s">
        <v>1355</v>
      </c>
      <c r="C6" s="167" t="s">
        <v>1876</v>
      </c>
      <c r="D6" s="167" t="s">
        <v>1849</v>
      </c>
      <c r="E6" s="167" t="s">
        <v>1850</v>
      </c>
      <c r="F6" s="167" t="s">
        <v>79</v>
      </c>
      <c r="G6" s="167" t="s">
        <v>1877</v>
      </c>
      <c r="H6" s="167"/>
      <c r="I6" s="167" t="s">
        <v>1355</v>
      </c>
      <c r="J6" s="167" t="s">
        <v>1878</v>
      </c>
      <c r="K6" s="167" t="s">
        <v>1879</v>
      </c>
      <c r="L6" s="168" t="str">
        <f t="shared" si="0"/>
        <v/>
      </c>
      <c r="M6" s="168">
        <f t="shared" si="1"/>
        <v>35736</v>
      </c>
      <c r="N6" s="168" t="str">
        <f t="shared" si="2"/>
        <v/>
      </c>
      <c r="O6" s="168" t="str">
        <f t="shared" si="3"/>
        <v>242597904</v>
      </c>
      <c r="P6" s="168" t="str">
        <f t="shared" si="4"/>
        <v/>
      </c>
      <c r="Q6" s="167" t="s">
        <v>1880</v>
      </c>
      <c r="R6" s="167" t="s">
        <v>1881</v>
      </c>
      <c r="S6" s="167" t="s">
        <v>1882</v>
      </c>
      <c r="T6" s="167" t="s">
        <v>1883</v>
      </c>
      <c r="U6" s="167" t="s">
        <v>1884</v>
      </c>
      <c r="V6" s="167" t="s">
        <v>1885</v>
      </c>
      <c r="W6" s="169" t="str">
        <f t="shared" si="5"/>
        <v>UAT-WF-User77@mailinator.com</v>
      </c>
      <c r="X6" s="167" t="str">
        <f t="shared" si="6"/>
        <v/>
      </c>
      <c r="Y6" s="168" t="str">
        <f t="shared" si="7"/>
        <v>Dummy!2024</v>
      </c>
      <c r="Z6" s="168" t="str">
        <f t="shared" si="8"/>
        <v>020-8030031</v>
      </c>
      <c r="AA6" s="167"/>
      <c r="AB6" s="167" t="s">
        <v>1853</v>
      </c>
      <c r="AQ6" s="166" t="str">
        <f t="shared" si="9"/>
        <v>UAT-WF-User77@mailinator.com</v>
      </c>
      <c r="AR6" s="166" t="str">
        <f t="shared" si="10"/>
        <v/>
      </c>
    </row>
    <row r="7" spans="1:52" ht="42.75" x14ac:dyDescent="0.25">
      <c r="A7" s="167" t="s">
        <v>1443</v>
      </c>
      <c r="B7" s="167" t="s">
        <v>1355</v>
      </c>
      <c r="C7" s="167" t="s">
        <v>1886</v>
      </c>
      <c r="D7" s="167" t="s">
        <v>1849</v>
      </c>
      <c r="E7" s="167" t="s">
        <v>1850</v>
      </c>
      <c r="F7" s="167" t="s">
        <v>1355</v>
      </c>
      <c r="G7" s="167" t="s">
        <v>1887</v>
      </c>
      <c r="H7" s="167" t="s">
        <v>1852</v>
      </c>
      <c r="I7" s="167" t="s">
        <v>1355</v>
      </c>
      <c r="J7" s="167" t="s">
        <v>1355</v>
      </c>
      <c r="K7" s="168" t="str">
        <f>IF(W7=$AU$4, $AX$4,
IF(W7=$AU$2,$AX$2, ""))</f>
        <v>HIDDERLEY</v>
      </c>
      <c r="L7" s="168" t="str">
        <f t="shared" si="0"/>
        <v/>
      </c>
      <c r="M7" s="168">
        <f t="shared" si="1"/>
        <v>35736</v>
      </c>
      <c r="N7" s="168" t="str">
        <f t="shared" si="2"/>
        <v/>
      </c>
      <c r="O7" s="168" t="str">
        <f t="shared" si="3"/>
        <v>242597904</v>
      </c>
      <c r="P7" s="168" t="str">
        <f t="shared" si="4"/>
        <v/>
      </c>
      <c r="Q7" s="167" t="s">
        <v>1888</v>
      </c>
      <c r="R7" s="167" t="s">
        <v>1889</v>
      </c>
      <c r="S7" s="167" t="s">
        <v>1890</v>
      </c>
      <c r="T7" s="167" t="s">
        <v>1355</v>
      </c>
      <c r="U7" s="167" t="s">
        <v>1355</v>
      </c>
      <c r="V7" s="167" t="s">
        <v>1355</v>
      </c>
      <c r="W7" s="169" t="str">
        <f t="shared" si="5"/>
        <v>UAT-WF-User77@mailinator.com</v>
      </c>
      <c r="X7" s="167" t="str">
        <f t="shared" si="6"/>
        <v/>
      </c>
      <c r="Y7" s="168" t="str">
        <f t="shared" si="7"/>
        <v>Dummy!2024</v>
      </c>
      <c r="Z7" s="168" t="str">
        <f t="shared" si="8"/>
        <v>020-8030031</v>
      </c>
      <c r="AA7" s="167"/>
      <c r="AB7" s="167" t="s">
        <v>1853</v>
      </c>
      <c r="AQ7" s="166" t="str">
        <f t="shared" si="9"/>
        <v>UAT-WF-User77@mailinator.com</v>
      </c>
      <c r="AR7" s="166" t="str">
        <f t="shared" si="10"/>
        <v/>
      </c>
      <c r="AU7" s="170" t="s">
        <v>1855</v>
      </c>
    </row>
    <row r="8" spans="1:52" ht="42.75" x14ac:dyDescent="0.25">
      <c r="A8" s="167" t="s">
        <v>1891</v>
      </c>
      <c r="B8" s="167" t="s">
        <v>1355</v>
      </c>
      <c r="C8" s="167" t="s">
        <v>1892</v>
      </c>
      <c r="D8" s="167" t="s">
        <v>1849</v>
      </c>
      <c r="E8" s="167" t="s">
        <v>1850</v>
      </c>
      <c r="F8" s="167" t="s">
        <v>79</v>
      </c>
      <c r="G8" s="167" t="s">
        <v>1893</v>
      </c>
      <c r="H8" s="167"/>
      <c r="I8" s="167" t="s">
        <v>1355</v>
      </c>
      <c r="J8" s="167"/>
      <c r="K8" s="168" t="str">
        <f>IF(W8=$AU$4, $AX$4,
IF(W8=$AU$2,$AX$2, ""))</f>
        <v>HIDDERLEY</v>
      </c>
      <c r="L8" s="168" t="str">
        <f t="shared" si="0"/>
        <v/>
      </c>
      <c r="M8" s="168">
        <f t="shared" si="1"/>
        <v>35736</v>
      </c>
      <c r="N8" s="168" t="str">
        <f t="shared" si="2"/>
        <v/>
      </c>
      <c r="O8" s="168" t="str">
        <f t="shared" si="3"/>
        <v>242597904</v>
      </c>
      <c r="P8" s="168" t="str">
        <f t="shared" si="4"/>
        <v/>
      </c>
      <c r="Q8" s="167" t="s">
        <v>1894</v>
      </c>
      <c r="R8" s="167" t="s">
        <v>1895</v>
      </c>
      <c r="S8" s="167" t="s">
        <v>1882</v>
      </c>
      <c r="T8" s="167" t="s">
        <v>1883</v>
      </c>
      <c r="U8" s="167" t="s">
        <v>1884</v>
      </c>
      <c r="V8" s="167" t="s">
        <v>1885</v>
      </c>
      <c r="W8" s="169" t="str">
        <f t="shared" si="5"/>
        <v>UAT-WF-User77@mailinator.com</v>
      </c>
      <c r="X8" s="167" t="str">
        <f t="shared" si="6"/>
        <v/>
      </c>
      <c r="Y8" s="168" t="str">
        <f t="shared" si="7"/>
        <v>Dummy!2024</v>
      </c>
      <c r="Z8" s="168" t="str">
        <f t="shared" si="8"/>
        <v>020-8030031</v>
      </c>
      <c r="AA8" s="167"/>
      <c r="AB8" s="167" t="s">
        <v>1853</v>
      </c>
      <c r="AQ8" s="166" t="str">
        <f t="shared" si="9"/>
        <v>UAT-WF-User77@mailinator.com</v>
      </c>
      <c r="AR8" s="166" t="str">
        <f t="shared" si="10"/>
        <v/>
      </c>
    </row>
    <row r="9" spans="1:52" ht="42.75" x14ac:dyDescent="0.25">
      <c r="A9" s="167" t="s">
        <v>1444</v>
      </c>
      <c r="B9" s="167" t="s">
        <v>1355</v>
      </c>
      <c r="C9" s="167" t="s">
        <v>1896</v>
      </c>
      <c r="D9" s="167" t="s">
        <v>1849</v>
      </c>
      <c r="E9" s="167" t="s">
        <v>1850</v>
      </c>
      <c r="F9" s="167" t="s">
        <v>36</v>
      </c>
      <c r="G9" s="167" t="s">
        <v>1897</v>
      </c>
      <c r="H9" s="167" t="s">
        <v>1872</v>
      </c>
      <c r="I9" s="167" t="s">
        <v>1898</v>
      </c>
      <c r="J9" s="167" t="s">
        <v>1355</v>
      </c>
      <c r="K9" s="168" t="str">
        <f>IF(W9=$AU$4, $AX$4,
IF(W9=$AU$2,$AX$2, ""))</f>
        <v>HIDDERLEY</v>
      </c>
      <c r="L9" s="168" t="str">
        <f t="shared" si="0"/>
        <v/>
      </c>
      <c r="M9" s="168">
        <f t="shared" si="1"/>
        <v>35736</v>
      </c>
      <c r="N9" s="168" t="str">
        <f t="shared" si="2"/>
        <v/>
      </c>
      <c r="O9" s="168" t="str">
        <f t="shared" si="3"/>
        <v>242597904</v>
      </c>
      <c r="P9" s="168" t="str">
        <f t="shared" si="4"/>
        <v/>
      </c>
      <c r="Q9" s="167" t="s">
        <v>1888</v>
      </c>
      <c r="R9" s="167" t="s">
        <v>1889</v>
      </c>
      <c r="S9" s="167" t="s">
        <v>1890</v>
      </c>
      <c r="T9" s="167" t="s">
        <v>1883</v>
      </c>
      <c r="U9" s="167" t="s">
        <v>1884</v>
      </c>
      <c r="V9" s="167" t="s">
        <v>1355</v>
      </c>
      <c r="W9" s="169" t="str">
        <f t="shared" si="5"/>
        <v>UAT-WF-User77@mailinator.com</v>
      </c>
      <c r="X9" s="167" t="str">
        <f t="shared" si="6"/>
        <v/>
      </c>
      <c r="Y9" s="168" t="str">
        <f t="shared" si="7"/>
        <v>Dummy!2024</v>
      </c>
      <c r="Z9" s="168" t="str">
        <f t="shared" si="8"/>
        <v>020-8030031</v>
      </c>
      <c r="AA9" s="167"/>
      <c r="AB9" s="167" t="s">
        <v>1853</v>
      </c>
      <c r="AQ9" s="166" t="str">
        <f t="shared" si="9"/>
        <v>UAT-WF-User77@mailinator.com</v>
      </c>
      <c r="AR9" s="166" t="str">
        <f t="shared" si="10"/>
        <v/>
      </c>
      <c r="AU9" s="170" t="s">
        <v>1855</v>
      </c>
      <c r="AV9" s="173" t="s">
        <v>1856</v>
      </c>
      <c r="AW9" s="172">
        <v>21248</v>
      </c>
      <c r="AX9" s="166" t="s">
        <v>486</v>
      </c>
      <c r="AY9" s="166" t="s">
        <v>1857</v>
      </c>
      <c r="AZ9" s="166" t="s">
        <v>64</v>
      </c>
    </row>
    <row r="10" spans="1:52" ht="42.75" x14ac:dyDescent="0.25">
      <c r="A10" s="167" t="s">
        <v>1899</v>
      </c>
      <c r="B10" s="167" t="s">
        <v>1355</v>
      </c>
      <c r="C10" s="167" t="s">
        <v>1876</v>
      </c>
      <c r="D10" s="167" t="s">
        <v>1849</v>
      </c>
      <c r="E10" s="167" t="s">
        <v>1850</v>
      </c>
      <c r="F10" s="167" t="s">
        <v>36</v>
      </c>
      <c r="G10" s="167" t="s">
        <v>1852</v>
      </c>
      <c r="H10" s="167"/>
      <c r="I10" s="167" t="s">
        <v>1355</v>
      </c>
      <c r="J10" s="167" t="s">
        <v>1878</v>
      </c>
      <c r="K10" s="167" t="s">
        <v>1879</v>
      </c>
      <c r="L10" s="168" t="str">
        <f t="shared" si="0"/>
        <v/>
      </c>
      <c r="M10" s="168">
        <f t="shared" si="1"/>
        <v>35736</v>
      </c>
      <c r="N10" s="168" t="str">
        <f t="shared" si="2"/>
        <v/>
      </c>
      <c r="O10" s="168" t="str">
        <f t="shared" si="3"/>
        <v>242597904</v>
      </c>
      <c r="P10" s="168" t="str">
        <f t="shared" si="4"/>
        <v/>
      </c>
      <c r="Q10" s="167" t="s">
        <v>1880</v>
      </c>
      <c r="R10" s="167" t="s">
        <v>1881</v>
      </c>
      <c r="S10" s="167" t="s">
        <v>1882</v>
      </c>
      <c r="T10" s="167" t="s">
        <v>1883</v>
      </c>
      <c r="U10" s="167" t="s">
        <v>1884</v>
      </c>
      <c r="V10" s="167" t="s">
        <v>1885</v>
      </c>
      <c r="W10" s="169" t="str">
        <f t="shared" si="5"/>
        <v>UAT-WF-User77@mailinator.com</v>
      </c>
      <c r="X10" s="167" t="str">
        <f t="shared" si="6"/>
        <v/>
      </c>
      <c r="Y10" s="168" t="str">
        <f t="shared" si="7"/>
        <v>Dummy!2024</v>
      </c>
      <c r="Z10" s="168" t="str">
        <f t="shared" si="8"/>
        <v>020-8030031</v>
      </c>
      <c r="AA10" s="167"/>
      <c r="AB10" s="167" t="s">
        <v>1853</v>
      </c>
      <c r="AQ10" s="166" t="str">
        <f t="shared" si="9"/>
        <v>UAT-WF-User77@mailinator.com</v>
      </c>
      <c r="AR10" s="166" t="str">
        <f t="shared" si="10"/>
        <v/>
      </c>
    </row>
    <row r="11" spans="1:52" ht="42.75" x14ac:dyDescent="0.25">
      <c r="A11" s="167" t="s">
        <v>558</v>
      </c>
      <c r="B11" s="167" t="s">
        <v>1355</v>
      </c>
      <c r="C11" s="167" t="s">
        <v>1886</v>
      </c>
      <c r="D11" s="167" t="s">
        <v>1849</v>
      </c>
      <c r="E11" s="167" t="s">
        <v>1850</v>
      </c>
      <c r="F11" s="167" t="s">
        <v>36</v>
      </c>
      <c r="G11" s="167" t="s">
        <v>1851</v>
      </c>
      <c r="H11" s="167" t="s">
        <v>1865</v>
      </c>
      <c r="I11" s="167" t="s">
        <v>1355</v>
      </c>
      <c r="J11" s="167" t="s">
        <v>1355</v>
      </c>
      <c r="K11" s="168" t="str">
        <f t="shared" ref="K11:K16" si="11">IF(W11=$AU$4, $AX$4,
IF(W11=$AU$2,$AX$2, ""))</f>
        <v>HIDDERLEY</v>
      </c>
      <c r="L11" s="168" t="str">
        <f t="shared" si="0"/>
        <v/>
      </c>
      <c r="M11" s="168">
        <f t="shared" si="1"/>
        <v>35736</v>
      </c>
      <c r="N11" s="168" t="str">
        <f t="shared" si="2"/>
        <v/>
      </c>
      <c r="O11" s="168" t="str">
        <f t="shared" si="3"/>
        <v>242597904</v>
      </c>
      <c r="P11" s="168" t="str">
        <f t="shared" si="4"/>
        <v/>
      </c>
      <c r="Q11" s="167" t="s">
        <v>1888</v>
      </c>
      <c r="R11" s="167" t="s">
        <v>1889</v>
      </c>
      <c r="S11" s="167" t="s">
        <v>1890</v>
      </c>
      <c r="T11" s="167" t="s">
        <v>1883</v>
      </c>
      <c r="U11" s="167" t="s">
        <v>1884</v>
      </c>
      <c r="V11" s="167" t="s">
        <v>1355</v>
      </c>
      <c r="W11" s="169" t="str">
        <f t="shared" si="5"/>
        <v>UAT-WF-User77@mailinator.com</v>
      </c>
      <c r="X11" s="167" t="str">
        <f t="shared" si="6"/>
        <v/>
      </c>
      <c r="Y11" s="168" t="str">
        <f t="shared" si="7"/>
        <v>Dummy!2024</v>
      </c>
      <c r="Z11" s="168" t="str">
        <f t="shared" si="8"/>
        <v>020-8030031</v>
      </c>
      <c r="AA11" s="167"/>
      <c r="AB11" s="167" t="s">
        <v>1853</v>
      </c>
      <c r="AQ11" s="166" t="str">
        <f t="shared" si="9"/>
        <v>UAT-WF-User77@mailinator.com</v>
      </c>
      <c r="AR11" s="166" t="str">
        <f t="shared" si="10"/>
        <v/>
      </c>
    </row>
    <row r="12" spans="1:52" ht="42.75" x14ac:dyDescent="0.25">
      <c r="A12" s="167" t="s">
        <v>568</v>
      </c>
      <c r="B12" s="167" t="s">
        <v>1355</v>
      </c>
      <c r="C12" s="167" t="s">
        <v>1892</v>
      </c>
      <c r="D12" s="167" t="s">
        <v>1849</v>
      </c>
      <c r="E12" s="167" t="s">
        <v>1850</v>
      </c>
      <c r="F12" s="167" t="s">
        <v>36</v>
      </c>
      <c r="G12" s="167" t="s">
        <v>1859</v>
      </c>
      <c r="H12" s="167"/>
      <c r="I12" s="167" t="s">
        <v>1355</v>
      </c>
      <c r="J12" s="167"/>
      <c r="K12" s="168" t="str">
        <f t="shared" si="11"/>
        <v>HIDDERLEY</v>
      </c>
      <c r="L12" s="168" t="str">
        <f t="shared" si="0"/>
        <v/>
      </c>
      <c r="M12" s="168">
        <f t="shared" si="1"/>
        <v>35736</v>
      </c>
      <c r="N12" s="168" t="str">
        <f t="shared" si="2"/>
        <v/>
      </c>
      <c r="O12" s="168" t="str">
        <f t="shared" si="3"/>
        <v>242597904</v>
      </c>
      <c r="P12" s="168" t="str">
        <f t="shared" si="4"/>
        <v/>
      </c>
      <c r="Q12" s="167" t="s">
        <v>1894</v>
      </c>
      <c r="R12" s="167" t="s">
        <v>1895</v>
      </c>
      <c r="S12" s="167" t="s">
        <v>1882</v>
      </c>
      <c r="T12" s="167" t="s">
        <v>1883</v>
      </c>
      <c r="U12" s="167" t="s">
        <v>1884</v>
      </c>
      <c r="V12" s="167" t="s">
        <v>1885</v>
      </c>
      <c r="W12" s="169" t="str">
        <f t="shared" si="5"/>
        <v>UAT-WF-User77@mailinator.com</v>
      </c>
      <c r="X12" s="167" t="str">
        <f t="shared" si="6"/>
        <v/>
      </c>
      <c r="Y12" s="168" t="str">
        <f t="shared" si="7"/>
        <v>Dummy!2024</v>
      </c>
      <c r="Z12" s="168" t="str">
        <f t="shared" si="8"/>
        <v>020-8030031</v>
      </c>
      <c r="AA12" s="167"/>
      <c r="AB12" s="167" t="s">
        <v>1853</v>
      </c>
      <c r="AQ12" s="166" t="str">
        <f t="shared" si="9"/>
        <v>UAT-WF-User77@mailinator.com</v>
      </c>
      <c r="AR12" s="166" t="str">
        <f t="shared" si="10"/>
        <v/>
      </c>
    </row>
    <row r="13" spans="1:52" ht="42.75" x14ac:dyDescent="0.25">
      <c r="A13" s="167" t="s">
        <v>1356</v>
      </c>
      <c r="B13" s="167" t="s">
        <v>1847</v>
      </c>
      <c r="C13" s="167" t="s">
        <v>1848</v>
      </c>
      <c r="D13" s="167" t="s">
        <v>1849</v>
      </c>
      <c r="E13" s="167" t="s">
        <v>1900</v>
      </c>
      <c r="F13" s="167"/>
      <c r="G13" s="167" t="s">
        <v>1864</v>
      </c>
      <c r="H13" s="167" t="s">
        <v>1852</v>
      </c>
      <c r="I13" s="167"/>
      <c r="J13" s="167"/>
      <c r="K13" s="168" t="str">
        <f t="shared" si="11"/>
        <v>KASTING</v>
      </c>
      <c r="L13" s="168" t="str">
        <f t="shared" si="0"/>
        <v/>
      </c>
      <c r="M13" s="168">
        <f t="shared" si="1"/>
        <v>21248</v>
      </c>
      <c r="N13" s="168" t="str">
        <f t="shared" si="2"/>
        <v/>
      </c>
      <c r="O13" s="168" t="str">
        <f t="shared" si="3"/>
        <v>242597653</v>
      </c>
      <c r="P13" s="168" t="str">
        <f t="shared" si="4"/>
        <v/>
      </c>
      <c r="Q13" s="167"/>
      <c r="R13" s="167"/>
      <c r="S13" s="167"/>
      <c r="T13" s="167"/>
      <c r="U13" s="167"/>
      <c r="V13" s="167"/>
      <c r="W13" s="169" t="str">
        <f t="shared" si="5"/>
        <v>Perf-Test-User-112801@mailinator.com</v>
      </c>
      <c r="X13" s="167" t="str">
        <f t="shared" si="6"/>
        <v/>
      </c>
      <c r="Y13" s="168" t="str">
        <f t="shared" si="7"/>
        <v>Dummy!2022</v>
      </c>
      <c r="Z13" s="168" t="str">
        <f t="shared" si="8"/>
        <v>020-8010888</v>
      </c>
      <c r="AA13" s="167" t="s">
        <v>1901</v>
      </c>
      <c r="AB13" s="167" t="s">
        <v>1853</v>
      </c>
      <c r="AQ13" s="166" t="str">
        <f t="shared" si="9"/>
        <v>Perf-Test-User-112801@mailinator.com</v>
      </c>
      <c r="AR13" s="166" t="str">
        <f t="shared" si="10"/>
        <v/>
      </c>
    </row>
    <row r="14" spans="1:52" ht="42.75" x14ac:dyDescent="0.25">
      <c r="A14" s="167" t="s">
        <v>1468</v>
      </c>
      <c r="B14" s="167" t="s">
        <v>1858</v>
      </c>
      <c r="C14" s="167" t="s">
        <v>24</v>
      </c>
      <c r="D14" s="167" t="s">
        <v>1849</v>
      </c>
      <c r="E14" s="167" t="s">
        <v>1900</v>
      </c>
      <c r="F14" s="167"/>
      <c r="G14" s="167" t="s">
        <v>1871</v>
      </c>
      <c r="H14" s="167"/>
      <c r="I14" s="167"/>
      <c r="J14" s="167"/>
      <c r="K14" s="168" t="str">
        <f t="shared" si="11"/>
        <v>KASTING</v>
      </c>
      <c r="L14" s="168" t="str">
        <f t="shared" si="0"/>
        <v/>
      </c>
      <c r="M14" s="168">
        <f t="shared" si="1"/>
        <v>21248</v>
      </c>
      <c r="N14" s="168" t="str">
        <f t="shared" si="2"/>
        <v/>
      </c>
      <c r="O14" s="168" t="str">
        <f t="shared" si="3"/>
        <v>242597653</v>
      </c>
      <c r="P14" s="168" t="str">
        <f t="shared" si="4"/>
        <v/>
      </c>
      <c r="Q14" s="167"/>
      <c r="R14" s="167"/>
      <c r="S14" s="167"/>
      <c r="T14" s="167"/>
      <c r="U14" s="167"/>
      <c r="V14" s="167"/>
      <c r="W14" s="169" t="str">
        <f t="shared" si="5"/>
        <v>Perf-Test-User-112801@mailinator.com</v>
      </c>
      <c r="X14" s="167" t="str">
        <f t="shared" si="6"/>
        <v/>
      </c>
      <c r="Y14" s="168" t="str">
        <f t="shared" si="7"/>
        <v>Dummy!2022</v>
      </c>
      <c r="Z14" s="168" t="str">
        <f t="shared" si="8"/>
        <v>020-8010888</v>
      </c>
      <c r="AA14" s="167" t="s">
        <v>1902</v>
      </c>
      <c r="AB14" s="167" t="s">
        <v>1853</v>
      </c>
      <c r="AQ14" s="166" t="str">
        <f t="shared" si="9"/>
        <v>Perf-Test-User-112801@mailinator.com</v>
      </c>
      <c r="AR14" s="166" t="str">
        <f t="shared" si="10"/>
        <v/>
      </c>
    </row>
    <row r="15" spans="1:52" ht="42.75" x14ac:dyDescent="0.25">
      <c r="A15" s="167" t="s">
        <v>1903</v>
      </c>
      <c r="B15" s="167" t="s">
        <v>1355</v>
      </c>
      <c r="C15" s="167" t="s">
        <v>1863</v>
      </c>
      <c r="D15" s="167" t="s">
        <v>1849</v>
      </c>
      <c r="E15" s="167" t="s">
        <v>1900</v>
      </c>
      <c r="F15" s="167"/>
      <c r="G15" s="167" t="s">
        <v>1877</v>
      </c>
      <c r="H15" s="167" t="s">
        <v>1865</v>
      </c>
      <c r="I15" s="167"/>
      <c r="J15" s="167"/>
      <c r="K15" s="168" t="str">
        <f t="shared" si="11"/>
        <v>KASTING</v>
      </c>
      <c r="L15" s="168" t="str">
        <f t="shared" si="0"/>
        <v/>
      </c>
      <c r="M15" s="168">
        <f t="shared" si="1"/>
        <v>21248</v>
      </c>
      <c r="N15" s="168" t="str">
        <f t="shared" si="2"/>
        <v/>
      </c>
      <c r="O15" s="168" t="str">
        <f t="shared" si="3"/>
        <v>242597653</v>
      </c>
      <c r="P15" s="168" t="str">
        <f t="shared" si="4"/>
        <v/>
      </c>
      <c r="Q15" s="167"/>
      <c r="R15" s="167"/>
      <c r="S15" s="167"/>
      <c r="T15" s="167"/>
      <c r="U15" s="167"/>
      <c r="V15" s="167"/>
      <c r="W15" s="169" t="str">
        <f t="shared" si="5"/>
        <v>Perf-Test-User-112801@mailinator.com</v>
      </c>
      <c r="X15" s="167" t="str">
        <f t="shared" si="6"/>
        <v/>
      </c>
      <c r="Y15" s="168" t="str">
        <f t="shared" si="7"/>
        <v>Dummy!2022</v>
      </c>
      <c r="Z15" s="168" t="str">
        <f t="shared" si="8"/>
        <v>020-8010888</v>
      </c>
      <c r="AA15" s="167" t="s">
        <v>1904</v>
      </c>
      <c r="AB15" s="167" t="s">
        <v>1853</v>
      </c>
      <c r="AQ15" s="166" t="str">
        <f t="shared" si="9"/>
        <v>Perf-Test-User-112801@mailinator.com</v>
      </c>
      <c r="AR15" s="166" t="str">
        <f t="shared" si="10"/>
        <v/>
      </c>
    </row>
    <row r="16" spans="1:52" ht="42.75" x14ac:dyDescent="0.25">
      <c r="A16" s="167" t="s">
        <v>1905</v>
      </c>
      <c r="B16" s="167" t="s">
        <v>1355</v>
      </c>
      <c r="C16" s="167" t="s">
        <v>1870</v>
      </c>
      <c r="D16" s="167" t="s">
        <v>1849</v>
      </c>
      <c r="E16" s="167" t="s">
        <v>1900</v>
      </c>
      <c r="F16" s="167"/>
      <c r="G16" s="167" t="s">
        <v>1887</v>
      </c>
      <c r="H16" s="167" t="s">
        <v>1872</v>
      </c>
      <c r="I16" s="167"/>
      <c r="J16" s="167"/>
      <c r="K16" s="168" t="str">
        <f t="shared" si="11"/>
        <v>KASTING</v>
      </c>
      <c r="L16" s="168" t="str">
        <f t="shared" si="0"/>
        <v/>
      </c>
      <c r="M16" s="168">
        <f t="shared" si="1"/>
        <v>21248</v>
      </c>
      <c r="N16" s="168" t="str">
        <f t="shared" si="2"/>
        <v/>
      </c>
      <c r="O16" s="168" t="str">
        <f t="shared" si="3"/>
        <v>242597653</v>
      </c>
      <c r="P16" s="168" t="str">
        <f t="shared" si="4"/>
        <v/>
      </c>
      <c r="Q16" s="167"/>
      <c r="R16" s="167"/>
      <c r="S16" s="167"/>
      <c r="T16" s="167"/>
      <c r="U16" s="167"/>
      <c r="V16" s="167"/>
      <c r="W16" s="169" t="str">
        <f t="shared" si="5"/>
        <v>Perf-Test-User-112801@mailinator.com</v>
      </c>
      <c r="X16" s="167" t="str">
        <f t="shared" si="6"/>
        <v/>
      </c>
      <c r="Y16" s="168" t="str">
        <f t="shared" si="7"/>
        <v>Dummy!2022</v>
      </c>
      <c r="Z16" s="168" t="str">
        <f t="shared" si="8"/>
        <v>020-8010888</v>
      </c>
      <c r="AA16" s="167" t="s">
        <v>1906</v>
      </c>
      <c r="AB16" s="167" t="s">
        <v>1853</v>
      </c>
      <c r="AQ16" s="166" t="str">
        <f t="shared" si="9"/>
        <v>Perf-Test-User-112801@mailinator.com</v>
      </c>
      <c r="AR16" s="166" t="str">
        <f t="shared" si="10"/>
        <v/>
      </c>
    </row>
    <row r="17" spans="1:44" ht="42.75" x14ac:dyDescent="0.25">
      <c r="A17" s="167" t="s">
        <v>1907</v>
      </c>
      <c r="B17" s="167" t="s">
        <v>1355</v>
      </c>
      <c r="C17" s="167" t="s">
        <v>1876</v>
      </c>
      <c r="D17" s="167" t="s">
        <v>1849</v>
      </c>
      <c r="E17" s="167" t="s">
        <v>1900</v>
      </c>
      <c r="F17" s="167" t="s">
        <v>79</v>
      </c>
      <c r="G17" s="167" t="s">
        <v>1893</v>
      </c>
      <c r="H17" s="167"/>
      <c r="I17" s="167"/>
      <c r="J17" s="167" t="s">
        <v>1878</v>
      </c>
      <c r="K17" s="167" t="s">
        <v>1879</v>
      </c>
      <c r="L17" s="168" t="str">
        <f t="shared" si="0"/>
        <v/>
      </c>
      <c r="M17" s="168">
        <f t="shared" si="1"/>
        <v>21248</v>
      </c>
      <c r="N17" s="168" t="str">
        <f t="shared" si="2"/>
        <v/>
      </c>
      <c r="O17" s="168" t="str">
        <f t="shared" si="3"/>
        <v>242597653</v>
      </c>
      <c r="P17" s="168" t="str">
        <f t="shared" si="4"/>
        <v/>
      </c>
      <c r="Q17" s="167" t="s">
        <v>1880</v>
      </c>
      <c r="R17" s="167" t="s">
        <v>1881</v>
      </c>
      <c r="S17" s="167" t="s">
        <v>1882</v>
      </c>
      <c r="T17" s="167" t="s">
        <v>1883</v>
      </c>
      <c r="U17" s="167" t="s">
        <v>1884</v>
      </c>
      <c r="V17" s="167" t="s">
        <v>1885</v>
      </c>
      <c r="W17" s="169" t="str">
        <f t="shared" si="5"/>
        <v>Perf-Test-User-112801@mailinator.com</v>
      </c>
      <c r="X17" s="167" t="str">
        <f t="shared" si="6"/>
        <v/>
      </c>
      <c r="Y17" s="168" t="str">
        <f t="shared" si="7"/>
        <v>Dummy!2022</v>
      </c>
      <c r="Z17" s="168" t="str">
        <f t="shared" si="8"/>
        <v>020-8010888</v>
      </c>
      <c r="AA17" s="167" t="s">
        <v>1908</v>
      </c>
      <c r="AB17" s="167" t="s">
        <v>1853</v>
      </c>
      <c r="AQ17" s="166" t="str">
        <f t="shared" si="9"/>
        <v>Perf-Test-User-112801@mailinator.com</v>
      </c>
      <c r="AR17" s="166" t="str">
        <f t="shared" si="10"/>
        <v/>
      </c>
    </row>
    <row r="18" spans="1:44" ht="42.75" x14ac:dyDescent="0.25">
      <c r="A18" s="167" t="s">
        <v>1909</v>
      </c>
      <c r="B18" s="167" t="s">
        <v>1355</v>
      </c>
      <c r="C18" s="167" t="s">
        <v>1886</v>
      </c>
      <c r="D18" s="167" t="s">
        <v>1849</v>
      </c>
      <c r="E18" s="167" t="s">
        <v>1900</v>
      </c>
      <c r="F18" s="167" t="s">
        <v>79</v>
      </c>
      <c r="G18" s="167" t="s">
        <v>1897</v>
      </c>
      <c r="H18" s="167" t="s">
        <v>1852</v>
      </c>
      <c r="I18" s="167"/>
      <c r="J18" s="167"/>
      <c r="K18" s="168" t="str">
        <f>IF(W18=$AU$4, $AX$4,
IF(W18=$AU$2,$AX$2, ""))</f>
        <v>KASTING</v>
      </c>
      <c r="L18" s="168" t="str">
        <f t="shared" si="0"/>
        <v/>
      </c>
      <c r="M18" s="168">
        <f t="shared" si="1"/>
        <v>21248</v>
      </c>
      <c r="N18" s="168" t="str">
        <f t="shared" si="2"/>
        <v/>
      </c>
      <c r="O18" s="168" t="str">
        <f t="shared" si="3"/>
        <v>242597653</v>
      </c>
      <c r="P18" s="168" t="str">
        <f t="shared" si="4"/>
        <v/>
      </c>
      <c r="Q18" s="167" t="s">
        <v>1880</v>
      </c>
      <c r="R18" s="167" t="s">
        <v>1881</v>
      </c>
      <c r="S18" s="167" t="s">
        <v>1882</v>
      </c>
      <c r="T18" s="167" t="s">
        <v>1883</v>
      </c>
      <c r="U18" s="167" t="s">
        <v>1884</v>
      </c>
      <c r="V18" s="167"/>
      <c r="W18" s="169" t="str">
        <f t="shared" si="5"/>
        <v>Perf-Test-User-112801@mailinator.com</v>
      </c>
      <c r="X18" s="167" t="str">
        <f t="shared" si="6"/>
        <v/>
      </c>
      <c r="Y18" s="168" t="str">
        <f t="shared" si="7"/>
        <v>Dummy!2022</v>
      </c>
      <c r="Z18" s="168" t="str">
        <f t="shared" si="8"/>
        <v>020-8010888</v>
      </c>
      <c r="AA18" s="167" t="s">
        <v>1910</v>
      </c>
      <c r="AB18" s="167" t="s">
        <v>1853</v>
      </c>
      <c r="AQ18" s="166" t="str">
        <f t="shared" si="9"/>
        <v>Perf-Test-User-112801@mailinator.com</v>
      </c>
      <c r="AR18" s="166" t="str">
        <f t="shared" si="10"/>
        <v/>
      </c>
    </row>
    <row r="19" spans="1:44" ht="42.75" x14ac:dyDescent="0.25">
      <c r="A19" s="167" t="s">
        <v>1911</v>
      </c>
      <c r="B19" s="167" t="s">
        <v>1355</v>
      </c>
      <c r="C19" s="167" t="s">
        <v>1892</v>
      </c>
      <c r="D19" s="167" t="s">
        <v>1849</v>
      </c>
      <c r="E19" s="167" t="s">
        <v>1900</v>
      </c>
      <c r="F19" s="167" t="s">
        <v>36</v>
      </c>
      <c r="G19" s="167" t="s">
        <v>1852</v>
      </c>
      <c r="H19" s="167"/>
      <c r="I19" s="167"/>
      <c r="J19" s="167"/>
      <c r="K19" s="168" t="str">
        <f>IF(W19=$AU$4, $AX$4,
IF(W19=$AU$2,$AX$2, ""))</f>
        <v>KASTING</v>
      </c>
      <c r="L19" s="168" t="str">
        <f t="shared" si="0"/>
        <v/>
      </c>
      <c r="M19" s="168">
        <f t="shared" si="1"/>
        <v>21248</v>
      </c>
      <c r="N19" s="168" t="str">
        <f t="shared" si="2"/>
        <v/>
      </c>
      <c r="O19" s="168" t="str">
        <f t="shared" si="3"/>
        <v>242597653</v>
      </c>
      <c r="P19" s="168" t="str">
        <f t="shared" si="4"/>
        <v/>
      </c>
      <c r="Q19" s="167" t="s">
        <v>1880</v>
      </c>
      <c r="R19" s="167" t="s">
        <v>1881</v>
      </c>
      <c r="S19" s="167" t="s">
        <v>1912</v>
      </c>
      <c r="T19" s="167" t="s">
        <v>1883</v>
      </c>
      <c r="U19" s="167" t="s">
        <v>1884</v>
      </c>
      <c r="V19" s="167"/>
      <c r="W19" s="169" t="str">
        <f t="shared" si="5"/>
        <v>Perf-Test-User-112801@mailinator.com</v>
      </c>
      <c r="X19" s="167" t="str">
        <f t="shared" si="6"/>
        <v/>
      </c>
      <c r="Y19" s="168" t="str">
        <f t="shared" si="7"/>
        <v>Dummy!2022</v>
      </c>
      <c r="Z19" s="168" t="str">
        <f t="shared" si="8"/>
        <v>020-8010888</v>
      </c>
      <c r="AA19" s="167" t="s">
        <v>1913</v>
      </c>
      <c r="AB19" s="167" t="s">
        <v>1853</v>
      </c>
      <c r="AQ19" s="166" t="str">
        <f t="shared" si="9"/>
        <v>Perf-Test-User-112801@mailinator.com</v>
      </c>
      <c r="AR19" s="166" t="str">
        <f t="shared" si="10"/>
        <v/>
      </c>
    </row>
    <row r="20" spans="1:44" ht="42.75" x14ac:dyDescent="0.25">
      <c r="A20" s="167" t="s">
        <v>1914</v>
      </c>
      <c r="B20" s="167" t="s">
        <v>1355</v>
      </c>
      <c r="C20" s="167" t="s">
        <v>1896</v>
      </c>
      <c r="D20" s="167" t="s">
        <v>1849</v>
      </c>
      <c r="E20" s="167" t="s">
        <v>1900</v>
      </c>
      <c r="F20" s="167" t="s">
        <v>36</v>
      </c>
      <c r="G20" s="167" t="s">
        <v>1851</v>
      </c>
      <c r="H20" s="167" t="s">
        <v>1872</v>
      </c>
      <c r="I20" s="167"/>
      <c r="J20" s="167"/>
      <c r="K20" s="168" t="str">
        <f>IF(W20=$AU$4, $AX$4,
IF(W20=$AU$2,$AX$2, ""))</f>
        <v>KASTING</v>
      </c>
      <c r="L20" s="168" t="str">
        <f t="shared" si="0"/>
        <v/>
      </c>
      <c r="M20" s="168">
        <f t="shared" si="1"/>
        <v>21248</v>
      </c>
      <c r="N20" s="168" t="str">
        <f t="shared" si="2"/>
        <v/>
      </c>
      <c r="O20" s="168" t="str">
        <f t="shared" si="3"/>
        <v>242597653</v>
      </c>
      <c r="P20" s="168" t="str">
        <f t="shared" si="4"/>
        <v/>
      </c>
      <c r="Q20" s="167" t="s">
        <v>1880</v>
      </c>
      <c r="R20" s="167" t="s">
        <v>1881</v>
      </c>
      <c r="S20" s="167" t="s">
        <v>1915</v>
      </c>
      <c r="T20" s="167" t="s">
        <v>1883</v>
      </c>
      <c r="U20" s="167" t="s">
        <v>1884</v>
      </c>
      <c r="V20" s="167"/>
      <c r="W20" s="169" t="str">
        <f t="shared" si="5"/>
        <v>Perf-Test-User-112801@mailinator.com</v>
      </c>
      <c r="X20" s="167" t="str">
        <f t="shared" si="6"/>
        <v/>
      </c>
      <c r="Y20" s="168" t="str">
        <f t="shared" si="7"/>
        <v>Dummy!2022</v>
      </c>
      <c r="Z20" s="168" t="str">
        <f t="shared" si="8"/>
        <v>020-8010888</v>
      </c>
      <c r="AA20" s="167" t="s">
        <v>1916</v>
      </c>
      <c r="AB20" s="167" t="s">
        <v>1853</v>
      </c>
      <c r="AQ20" s="166" t="str">
        <f t="shared" si="9"/>
        <v>Perf-Test-User-112801@mailinator.com</v>
      </c>
      <c r="AR20" s="166" t="str">
        <f t="shared" si="10"/>
        <v/>
      </c>
    </row>
    <row r="21" spans="1:44" ht="42.75" x14ac:dyDescent="0.25">
      <c r="A21" s="167" t="s">
        <v>1917</v>
      </c>
      <c r="B21" s="167" t="s">
        <v>1355</v>
      </c>
      <c r="C21" s="167" t="s">
        <v>1876</v>
      </c>
      <c r="D21" s="167" t="s">
        <v>1849</v>
      </c>
      <c r="E21" s="167" t="s">
        <v>1900</v>
      </c>
      <c r="F21" s="167" t="s">
        <v>36</v>
      </c>
      <c r="G21" s="167" t="s">
        <v>1897</v>
      </c>
      <c r="H21" s="167"/>
      <c r="I21" s="167"/>
      <c r="J21" s="167" t="s">
        <v>1878</v>
      </c>
      <c r="K21" s="167" t="s">
        <v>1879</v>
      </c>
      <c r="L21" s="168" t="str">
        <f t="shared" si="0"/>
        <v/>
      </c>
      <c r="M21" s="168">
        <f t="shared" si="1"/>
        <v>21248</v>
      </c>
      <c r="N21" s="168" t="str">
        <f t="shared" si="2"/>
        <v/>
      </c>
      <c r="O21" s="168" t="str">
        <f t="shared" si="3"/>
        <v>242597653</v>
      </c>
      <c r="P21" s="168" t="str">
        <f t="shared" si="4"/>
        <v/>
      </c>
      <c r="Q21" s="167" t="s">
        <v>1880</v>
      </c>
      <c r="R21" s="167" t="s">
        <v>1881</v>
      </c>
      <c r="S21" s="167" t="s">
        <v>1882</v>
      </c>
      <c r="T21" s="167" t="s">
        <v>1883</v>
      </c>
      <c r="U21" s="167" t="s">
        <v>1884</v>
      </c>
      <c r="V21" s="167" t="s">
        <v>1885</v>
      </c>
      <c r="W21" s="169" t="str">
        <f t="shared" si="5"/>
        <v>Perf-Test-User-112801@mailinator.com</v>
      </c>
      <c r="X21" s="167" t="str">
        <f t="shared" si="6"/>
        <v/>
      </c>
      <c r="Y21" s="168" t="str">
        <f t="shared" si="7"/>
        <v>Dummy!2022</v>
      </c>
      <c r="Z21" s="168" t="str">
        <f t="shared" si="8"/>
        <v>020-8010888</v>
      </c>
      <c r="AA21" s="167" t="s">
        <v>1918</v>
      </c>
      <c r="AB21" s="167" t="s">
        <v>1853</v>
      </c>
      <c r="AQ21" s="166" t="str">
        <f t="shared" si="9"/>
        <v>Perf-Test-User-112801@mailinator.com</v>
      </c>
      <c r="AR21" s="166" t="str">
        <f t="shared" si="10"/>
        <v/>
      </c>
    </row>
    <row r="22" spans="1:44" ht="42.75" x14ac:dyDescent="0.25">
      <c r="A22" s="167" t="s">
        <v>1445</v>
      </c>
      <c r="B22" s="167" t="s">
        <v>1355</v>
      </c>
      <c r="C22" s="167" t="s">
        <v>1886</v>
      </c>
      <c r="D22" s="167" t="s">
        <v>1849</v>
      </c>
      <c r="E22" s="167" t="s">
        <v>1900</v>
      </c>
      <c r="F22" s="167" t="s">
        <v>36</v>
      </c>
      <c r="G22" s="167" t="s">
        <v>1864</v>
      </c>
      <c r="H22" s="167" t="s">
        <v>1865</v>
      </c>
      <c r="I22" s="167"/>
      <c r="J22" s="167"/>
      <c r="K22" s="168" t="str">
        <f t="shared" ref="K22:K27" si="12">IF(W22=$AU$4, $AX$4,
IF(W22=$AU$2,$AX$2, ""))</f>
        <v>KASTING</v>
      </c>
      <c r="L22" s="168" t="str">
        <f t="shared" si="0"/>
        <v/>
      </c>
      <c r="M22" s="168">
        <f t="shared" si="1"/>
        <v>21248</v>
      </c>
      <c r="N22" s="168" t="str">
        <f t="shared" si="2"/>
        <v/>
      </c>
      <c r="O22" s="168" t="str">
        <f t="shared" si="3"/>
        <v>242597653</v>
      </c>
      <c r="P22" s="168" t="str">
        <f t="shared" si="4"/>
        <v/>
      </c>
      <c r="Q22" s="167" t="s">
        <v>1880</v>
      </c>
      <c r="R22" s="167" t="s">
        <v>1881</v>
      </c>
      <c r="S22" s="167" t="s">
        <v>1919</v>
      </c>
      <c r="T22" s="167" t="s">
        <v>1883</v>
      </c>
      <c r="U22" s="167" t="s">
        <v>1884</v>
      </c>
      <c r="V22" s="167"/>
      <c r="W22" s="169" t="str">
        <f t="shared" si="5"/>
        <v>Perf-Test-User-112801@mailinator.com</v>
      </c>
      <c r="X22" s="167" t="str">
        <f t="shared" si="6"/>
        <v/>
      </c>
      <c r="Y22" s="168" t="str">
        <f t="shared" si="7"/>
        <v>Dummy!2022</v>
      </c>
      <c r="Z22" s="168" t="str">
        <f t="shared" si="8"/>
        <v>020-8010888</v>
      </c>
      <c r="AA22" s="167" t="s">
        <v>1920</v>
      </c>
      <c r="AB22" s="167" t="s">
        <v>1853</v>
      </c>
      <c r="AQ22" s="166" t="str">
        <f t="shared" si="9"/>
        <v>Perf-Test-User-112801@mailinator.com</v>
      </c>
      <c r="AR22" s="166" t="str">
        <f t="shared" si="10"/>
        <v/>
      </c>
    </row>
    <row r="23" spans="1:44" ht="42.75" x14ac:dyDescent="0.25">
      <c r="A23" s="167" t="s">
        <v>1446</v>
      </c>
      <c r="B23" s="167" t="s">
        <v>1355</v>
      </c>
      <c r="C23" s="167" t="s">
        <v>1892</v>
      </c>
      <c r="D23" s="167" t="s">
        <v>1849</v>
      </c>
      <c r="E23" s="167" t="s">
        <v>1900</v>
      </c>
      <c r="F23" s="167" t="s">
        <v>36</v>
      </c>
      <c r="G23" s="167" t="s">
        <v>1871</v>
      </c>
      <c r="H23" s="167"/>
      <c r="I23" s="167"/>
      <c r="J23" s="167"/>
      <c r="K23" s="168" t="str">
        <f t="shared" si="12"/>
        <v>KASTING</v>
      </c>
      <c r="L23" s="168" t="str">
        <f t="shared" si="0"/>
        <v/>
      </c>
      <c r="M23" s="168">
        <f t="shared" si="1"/>
        <v>21248</v>
      </c>
      <c r="N23" s="168" t="str">
        <f t="shared" si="2"/>
        <v/>
      </c>
      <c r="O23" s="168" t="str">
        <f t="shared" si="3"/>
        <v>242597653</v>
      </c>
      <c r="P23" s="168" t="str">
        <f t="shared" si="4"/>
        <v/>
      </c>
      <c r="Q23" s="167" t="s">
        <v>1880</v>
      </c>
      <c r="R23" s="167" t="s">
        <v>1881</v>
      </c>
      <c r="S23" s="167" t="s">
        <v>1921</v>
      </c>
      <c r="T23" s="167" t="s">
        <v>1883</v>
      </c>
      <c r="U23" s="167" t="s">
        <v>1884</v>
      </c>
      <c r="V23" s="167"/>
      <c r="W23" s="169" t="str">
        <f t="shared" si="5"/>
        <v>Perf-Test-User-112801@mailinator.com</v>
      </c>
      <c r="X23" s="167" t="str">
        <f t="shared" si="6"/>
        <v/>
      </c>
      <c r="Y23" s="168" t="str">
        <f t="shared" si="7"/>
        <v>Dummy!2022</v>
      </c>
      <c r="Z23" s="168" t="str">
        <f t="shared" si="8"/>
        <v>020-8010888</v>
      </c>
      <c r="AA23" s="167" t="s">
        <v>1922</v>
      </c>
      <c r="AB23" s="167" t="s">
        <v>1853</v>
      </c>
      <c r="AQ23" s="166" t="str">
        <f t="shared" si="9"/>
        <v>Perf-Test-User-112801@mailinator.com</v>
      </c>
      <c r="AR23" s="166" t="str">
        <f t="shared" si="10"/>
        <v/>
      </c>
    </row>
    <row r="24" spans="1:44" ht="42.75" x14ac:dyDescent="0.25">
      <c r="A24" s="167" t="s">
        <v>1447</v>
      </c>
      <c r="B24" s="167" t="s">
        <v>1847</v>
      </c>
      <c r="C24" s="167" t="s">
        <v>1848</v>
      </c>
      <c r="D24" s="167" t="s">
        <v>1923</v>
      </c>
      <c r="E24" s="167" t="s">
        <v>1850</v>
      </c>
      <c r="F24" s="167" t="s">
        <v>1355</v>
      </c>
      <c r="G24" s="167" t="s">
        <v>1877</v>
      </c>
      <c r="H24" s="167" t="s">
        <v>1852</v>
      </c>
      <c r="I24" s="167">
        <v>100</v>
      </c>
      <c r="J24" s="167" t="s">
        <v>1355</v>
      </c>
      <c r="K24" s="168" t="str">
        <f t="shared" si="12"/>
        <v>HIDDERLEY</v>
      </c>
      <c r="L24" s="168" t="str">
        <f t="shared" si="0"/>
        <v/>
      </c>
      <c r="M24" s="168">
        <f t="shared" si="1"/>
        <v>35736</v>
      </c>
      <c r="N24" s="168" t="str">
        <f t="shared" si="2"/>
        <v/>
      </c>
      <c r="O24" s="168" t="str">
        <f t="shared" si="3"/>
        <v>242597904</v>
      </c>
      <c r="P24" s="168" t="str">
        <f t="shared" si="4"/>
        <v/>
      </c>
      <c r="Q24" s="167" t="s">
        <v>1355</v>
      </c>
      <c r="R24" s="167" t="s">
        <v>1355</v>
      </c>
      <c r="S24" s="167" t="s">
        <v>1355</v>
      </c>
      <c r="T24" s="167" t="s">
        <v>1355</v>
      </c>
      <c r="U24" s="167" t="s">
        <v>1355</v>
      </c>
      <c r="V24" s="167" t="s">
        <v>1355</v>
      </c>
      <c r="W24" s="169" t="str">
        <f t="shared" si="5"/>
        <v>UAT-WF-User77@mailinator.com</v>
      </c>
      <c r="X24" s="167" t="str">
        <f t="shared" si="6"/>
        <v/>
      </c>
      <c r="Y24" s="168" t="str">
        <f t="shared" si="7"/>
        <v>Dummy!2024</v>
      </c>
      <c r="Z24" s="168" t="str">
        <f t="shared" si="8"/>
        <v>020-8030031</v>
      </c>
      <c r="AA24" s="167"/>
      <c r="AB24" s="167" t="s">
        <v>1853</v>
      </c>
      <c r="AQ24" s="166" t="str">
        <f t="shared" si="9"/>
        <v>UAT-WF-User77@mailinator.com</v>
      </c>
      <c r="AR24" s="166" t="str">
        <f t="shared" si="10"/>
        <v/>
      </c>
    </row>
    <row r="25" spans="1:44" ht="42.75" x14ac:dyDescent="0.25">
      <c r="A25" s="167" t="s">
        <v>1416</v>
      </c>
      <c r="B25" s="167" t="s">
        <v>1858</v>
      </c>
      <c r="C25" s="167" t="s">
        <v>24</v>
      </c>
      <c r="D25" s="167" t="s">
        <v>1923</v>
      </c>
      <c r="E25" s="167" t="s">
        <v>1850</v>
      </c>
      <c r="F25" s="167" t="s">
        <v>1355</v>
      </c>
      <c r="G25" s="167" t="s">
        <v>1887</v>
      </c>
      <c r="H25" s="167"/>
      <c r="I25" s="167" t="s">
        <v>60</v>
      </c>
      <c r="J25" s="167" t="s">
        <v>1355</v>
      </c>
      <c r="K25" s="168" t="str">
        <f t="shared" si="12"/>
        <v>HIDDERLEY</v>
      </c>
      <c r="L25" s="168" t="str">
        <f t="shared" si="0"/>
        <v/>
      </c>
      <c r="M25" s="168">
        <f t="shared" si="1"/>
        <v>35736</v>
      </c>
      <c r="N25" s="168" t="str">
        <f t="shared" si="2"/>
        <v/>
      </c>
      <c r="O25" s="168" t="str">
        <f t="shared" si="3"/>
        <v>242597904</v>
      </c>
      <c r="P25" s="168" t="str">
        <f t="shared" si="4"/>
        <v/>
      </c>
      <c r="Q25" s="167" t="s">
        <v>1355</v>
      </c>
      <c r="R25" s="167" t="s">
        <v>1355</v>
      </c>
      <c r="S25" s="167" t="s">
        <v>1355</v>
      </c>
      <c r="T25" s="167" t="s">
        <v>1355</v>
      </c>
      <c r="U25" s="167" t="s">
        <v>1355</v>
      </c>
      <c r="V25" s="167" t="s">
        <v>1355</v>
      </c>
      <c r="W25" s="169" t="str">
        <f t="shared" si="5"/>
        <v>UAT-WF-User77@mailinator.com</v>
      </c>
      <c r="X25" s="167" t="str">
        <f t="shared" si="6"/>
        <v/>
      </c>
      <c r="Y25" s="168" t="str">
        <f t="shared" si="7"/>
        <v>Dummy!2024</v>
      </c>
      <c r="Z25" s="168" t="str">
        <f t="shared" si="8"/>
        <v>020-8030031</v>
      </c>
      <c r="AA25" s="167"/>
      <c r="AB25" s="167" t="s">
        <v>1853</v>
      </c>
      <c r="AQ25" s="166" t="str">
        <f t="shared" si="9"/>
        <v>UAT-WF-User77@mailinator.com</v>
      </c>
      <c r="AR25" s="166" t="str">
        <f t="shared" si="10"/>
        <v/>
      </c>
    </row>
    <row r="26" spans="1:44" ht="42.75" x14ac:dyDescent="0.25">
      <c r="A26" s="167" t="s">
        <v>1448</v>
      </c>
      <c r="B26" s="167" t="s">
        <v>1355</v>
      </c>
      <c r="C26" s="167" t="s">
        <v>1863</v>
      </c>
      <c r="D26" s="167" t="s">
        <v>1923</v>
      </c>
      <c r="E26" s="167" t="s">
        <v>1850</v>
      </c>
      <c r="F26" s="167" t="s">
        <v>1355</v>
      </c>
      <c r="G26" s="167" t="s">
        <v>1893</v>
      </c>
      <c r="H26" s="167" t="s">
        <v>1865</v>
      </c>
      <c r="I26" s="167" t="s">
        <v>1866</v>
      </c>
      <c r="J26" s="167" t="s">
        <v>1355</v>
      </c>
      <c r="K26" s="168" t="str">
        <f t="shared" si="12"/>
        <v>HIDDERLEY</v>
      </c>
      <c r="L26" s="168" t="str">
        <f t="shared" si="0"/>
        <v/>
      </c>
      <c r="M26" s="168">
        <f t="shared" si="1"/>
        <v>35736</v>
      </c>
      <c r="N26" s="168" t="str">
        <f t="shared" si="2"/>
        <v/>
      </c>
      <c r="O26" s="168" t="str">
        <f t="shared" si="3"/>
        <v>242597904</v>
      </c>
      <c r="P26" s="168" t="str">
        <f t="shared" si="4"/>
        <v/>
      </c>
      <c r="Q26" s="167" t="s">
        <v>1355</v>
      </c>
      <c r="R26" s="167" t="s">
        <v>1355</v>
      </c>
      <c r="S26" s="167" t="s">
        <v>1355</v>
      </c>
      <c r="T26" s="167" t="s">
        <v>1355</v>
      </c>
      <c r="U26" s="167" t="s">
        <v>1355</v>
      </c>
      <c r="V26" s="167" t="s">
        <v>1355</v>
      </c>
      <c r="W26" s="169" t="str">
        <f t="shared" si="5"/>
        <v>UAT-WF-User77@mailinator.com</v>
      </c>
      <c r="X26" s="167" t="str">
        <f t="shared" si="6"/>
        <v/>
      </c>
      <c r="Y26" s="168" t="str">
        <f t="shared" si="7"/>
        <v>Dummy!2024</v>
      </c>
      <c r="Z26" s="168" t="str">
        <f t="shared" si="8"/>
        <v>020-8030031</v>
      </c>
      <c r="AA26" s="167"/>
      <c r="AB26" s="167" t="s">
        <v>1853</v>
      </c>
      <c r="AQ26" s="166" t="str">
        <f t="shared" si="9"/>
        <v>UAT-WF-User77@mailinator.com</v>
      </c>
      <c r="AR26" s="166" t="str">
        <f t="shared" si="10"/>
        <v/>
      </c>
    </row>
    <row r="27" spans="1:44" ht="42.75" x14ac:dyDescent="0.25">
      <c r="A27" s="167" t="s">
        <v>1449</v>
      </c>
      <c r="B27" s="167" t="s">
        <v>1355</v>
      </c>
      <c r="C27" s="167" t="s">
        <v>1870</v>
      </c>
      <c r="D27" s="167" t="s">
        <v>1923</v>
      </c>
      <c r="E27" s="167" t="s">
        <v>1850</v>
      </c>
      <c r="F27" s="167" t="s">
        <v>1355</v>
      </c>
      <c r="G27" s="167" t="s">
        <v>1897</v>
      </c>
      <c r="H27" s="167" t="s">
        <v>1872</v>
      </c>
      <c r="I27" s="167" t="s">
        <v>1873</v>
      </c>
      <c r="J27" s="167" t="s">
        <v>1355</v>
      </c>
      <c r="K27" s="168" t="str">
        <f t="shared" si="12"/>
        <v>HIDDERLEY</v>
      </c>
      <c r="L27" s="168" t="str">
        <f t="shared" si="0"/>
        <v/>
      </c>
      <c r="M27" s="168">
        <f t="shared" si="1"/>
        <v>35736</v>
      </c>
      <c r="N27" s="168" t="str">
        <f t="shared" si="2"/>
        <v/>
      </c>
      <c r="O27" s="168" t="str">
        <f t="shared" si="3"/>
        <v>242597904</v>
      </c>
      <c r="P27" s="168" t="str">
        <f t="shared" si="4"/>
        <v/>
      </c>
      <c r="Q27" s="167" t="s">
        <v>1355</v>
      </c>
      <c r="R27" s="167" t="s">
        <v>1355</v>
      </c>
      <c r="S27" s="167" t="s">
        <v>1355</v>
      </c>
      <c r="T27" s="167" t="s">
        <v>1355</v>
      </c>
      <c r="U27" s="167" t="s">
        <v>1355</v>
      </c>
      <c r="V27" s="167" t="s">
        <v>1355</v>
      </c>
      <c r="W27" s="169" t="str">
        <f t="shared" si="5"/>
        <v>UAT-WF-User77@mailinator.com</v>
      </c>
      <c r="X27" s="167" t="str">
        <f t="shared" si="6"/>
        <v/>
      </c>
      <c r="Y27" s="168" t="str">
        <f t="shared" si="7"/>
        <v>Dummy!2024</v>
      </c>
      <c r="Z27" s="168" t="str">
        <f t="shared" si="8"/>
        <v>020-8030031</v>
      </c>
      <c r="AA27" s="167"/>
      <c r="AB27" s="167" t="s">
        <v>1853</v>
      </c>
      <c r="AQ27" s="166" t="str">
        <f t="shared" si="9"/>
        <v>UAT-WF-User77@mailinator.com</v>
      </c>
      <c r="AR27" s="166" t="str">
        <f t="shared" si="10"/>
        <v/>
      </c>
    </row>
    <row r="28" spans="1:44" ht="42.75" x14ac:dyDescent="0.25">
      <c r="A28" s="167" t="s">
        <v>1450</v>
      </c>
      <c r="B28" s="167" t="s">
        <v>1355</v>
      </c>
      <c r="C28" s="167" t="s">
        <v>1876</v>
      </c>
      <c r="D28" s="167" t="s">
        <v>1923</v>
      </c>
      <c r="E28" s="167" t="s">
        <v>1850</v>
      </c>
      <c r="F28" s="167" t="s">
        <v>79</v>
      </c>
      <c r="G28" s="167" t="s">
        <v>1852</v>
      </c>
      <c r="H28" s="167"/>
      <c r="I28" s="167" t="s">
        <v>1355</v>
      </c>
      <c r="J28" s="167" t="s">
        <v>1878</v>
      </c>
      <c r="K28" s="167" t="s">
        <v>1879</v>
      </c>
      <c r="L28" s="168" t="str">
        <f t="shared" si="0"/>
        <v/>
      </c>
      <c r="M28" s="168">
        <f t="shared" si="1"/>
        <v>35736</v>
      </c>
      <c r="N28" s="168" t="str">
        <f t="shared" si="2"/>
        <v/>
      </c>
      <c r="O28" s="168" t="str">
        <f t="shared" si="3"/>
        <v>242597904</v>
      </c>
      <c r="P28" s="168" t="str">
        <f t="shared" si="4"/>
        <v/>
      </c>
      <c r="Q28" s="167" t="s">
        <v>1880</v>
      </c>
      <c r="R28" s="167" t="s">
        <v>1881</v>
      </c>
      <c r="S28" s="167" t="s">
        <v>1882</v>
      </c>
      <c r="T28" s="167" t="s">
        <v>1883</v>
      </c>
      <c r="U28" s="167" t="s">
        <v>1884</v>
      </c>
      <c r="V28" s="167" t="s">
        <v>1885</v>
      </c>
      <c r="W28" s="169" t="str">
        <f t="shared" si="5"/>
        <v>UAT-WF-User77@mailinator.com</v>
      </c>
      <c r="X28" s="167" t="str">
        <f t="shared" si="6"/>
        <v/>
      </c>
      <c r="Y28" s="168" t="str">
        <f t="shared" si="7"/>
        <v>Dummy!2024</v>
      </c>
      <c r="Z28" s="168" t="str">
        <f t="shared" si="8"/>
        <v>020-8030031</v>
      </c>
      <c r="AA28" s="167"/>
      <c r="AB28" s="167" t="s">
        <v>1853</v>
      </c>
      <c r="AQ28" s="166" t="str">
        <f t="shared" si="9"/>
        <v>UAT-WF-User77@mailinator.com</v>
      </c>
      <c r="AR28" s="166" t="str">
        <f t="shared" si="10"/>
        <v/>
      </c>
    </row>
    <row r="29" spans="1:44" ht="42.75" x14ac:dyDescent="0.25">
      <c r="A29" s="167" t="s">
        <v>1451</v>
      </c>
      <c r="B29" s="167" t="s">
        <v>1355</v>
      </c>
      <c r="C29" s="167" t="s">
        <v>1886</v>
      </c>
      <c r="D29" s="167" t="s">
        <v>1923</v>
      </c>
      <c r="E29" s="167" t="s">
        <v>1850</v>
      </c>
      <c r="F29" s="167" t="s">
        <v>1355</v>
      </c>
      <c r="G29" s="167" t="s">
        <v>1851</v>
      </c>
      <c r="H29" s="167" t="s">
        <v>1852</v>
      </c>
      <c r="I29" s="167" t="s">
        <v>1355</v>
      </c>
      <c r="J29" s="167" t="s">
        <v>1355</v>
      </c>
      <c r="K29" s="168" t="str">
        <f>IF(W29=$AU$4, $AX$4,
IF(W29=$AU$2,$AX$2, ""))</f>
        <v>HIDDERLEY</v>
      </c>
      <c r="L29" s="168" t="str">
        <f t="shared" si="0"/>
        <v/>
      </c>
      <c r="M29" s="168">
        <f t="shared" si="1"/>
        <v>35736</v>
      </c>
      <c r="N29" s="168" t="str">
        <f t="shared" si="2"/>
        <v/>
      </c>
      <c r="O29" s="168" t="str">
        <f t="shared" si="3"/>
        <v>242597904</v>
      </c>
      <c r="P29" s="168" t="str">
        <f t="shared" si="4"/>
        <v/>
      </c>
      <c r="Q29" s="167" t="s">
        <v>1888</v>
      </c>
      <c r="R29" s="167" t="s">
        <v>1889</v>
      </c>
      <c r="S29" s="167" t="s">
        <v>1890</v>
      </c>
      <c r="T29" s="167" t="s">
        <v>1355</v>
      </c>
      <c r="U29" s="167" t="s">
        <v>1355</v>
      </c>
      <c r="V29" s="167" t="s">
        <v>1355</v>
      </c>
      <c r="W29" s="169" t="str">
        <f t="shared" si="5"/>
        <v>UAT-WF-User77@mailinator.com</v>
      </c>
      <c r="X29" s="167" t="str">
        <f t="shared" si="6"/>
        <v/>
      </c>
      <c r="Y29" s="168" t="str">
        <f t="shared" si="7"/>
        <v>Dummy!2024</v>
      </c>
      <c r="Z29" s="168" t="str">
        <f t="shared" si="8"/>
        <v>020-8030031</v>
      </c>
      <c r="AA29" s="167"/>
      <c r="AB29" s="167" t="s">
        <v>1853</v>
      </c>
      <c r="AQ29" s="166" t="str">
        <f t="shared" si="9"/>
        <v>UAT-WF-User77@mailinator.com</v>
      </c>
      <c r="AR29" s="166" t="str">
        <f t="shared" si="10"/>
        <v/>
      </c>
    </row>
    <row r="30" spans="1:44" ht="42.75" x14ac:dyDescent="0.25">
      <c r="A30" s="167" t="s">
        <v>1579</v>
      </c>
      <c r="B30" s="167" t="s">
        <v>1355</v>
      </c>
      <c r="C30" s="167" t="s">
        <v>1892</v>
      </c>
      <c r="D30" s="167" t="s">
        <v>1923</v>
      </c>
      <c r="E30" s="167" t="s">
        <v>1850</v>
      </c>
      <c r="F30" s="167" t="s">
        <v>79</v>
      </c>
      <c r="G30" s="167" t="s">
        <v>1859</v>
      </c>
      <c r="H30" s="167"/>
      <c r="I30" s="167" t="s">
        <v>1355</v>
      </c>
      <c r="J30" s="167"/>
      <c r="K30" s="168" t="str">
        <f>IF(W30=$AU$4, $AX$4,
IF(W30=$AU$2,$AX$2, ""))</f>
        <v>HIDDERLEY</v>
      </c>
      <c r="L30" s="168" t="str">
        <f t="shared" si="0"/>
        <v/>
      </c>
      <c r="M30" s="168">
        <f t="shared" si="1"/>
        <v>35736</v>
      </c>
      <c r="N30" s="168" t="str">
        <f t="shared" si="2"/>
        <v/>
      </c>
      <c r="O30" s="168" t="str">
        <f t="shared" si="3"/>
        <v>242597904</v>
      </c>
      <c r="P30" s="168" t="str">
        <f t="shared" si="4"/>
        <v/>
      </c>
      <c r="Q30" s="167" t="s">
        <v>1894</v>
      </c>
      <c r="R30" s="167" t="s">
        <v>1895</v>
      </c>
      <c r="S30" s="167" t="s">
        <v>1882</v>
      </c>
      <c r="T30" s="167" t="s">
        <v>1883</v>
      </c>
      <c r="U30" s="167" t="s">
        <v>1884</v>
      </c>
      <c r="V30" s="167" t="s">
        <v>1885</v>
      </c>
      <c r="W30" s="169" t="str">
        <f t="shared" si="5"/>
        <v>UAT-WF-User77@mailinator.com</v>
      </c>
      <c r="X30" s="167" t="str">
        <f t="shared" si="6"/>
        <v/>
      </c>
      <c r="Y30" s="168" t="str">
        <f t="shared" si="7"/>
        <v>Dummy!2024</v>
      </c>
      <c r="Z30" s="168" t="str">
        <f t="shared" si="8"/>
        <v>020-8030031</v>
      </c>
      <c r="AA30" s="167"/>
      <c r="AB30" s="167" t="s">
        <v>1853</v>
      </c>
      <c r="AQ30" s="166" t="str">
        <f t="shared" si="9"/>
        <v>UAT-WF-User77@mailinator.com</v>
      </c>
      <c r="AR30" s="166" t="str">
        <f t="shared" si="10"/>
        <v/>
      </c>
    </row>
    <row r="31" spans="1:44" ht="42.75" x14ac:dyDescent="0.25">
      <c r="A31" s="167" t="s">
        <v>1580</v>
      </c>
      <c r="B31" s="167" t="s">
        <v>1355</v>
      </c>
      <c r="C31" s="167" t="s">
        <v>1896</v>
      </c>
      <c r="D31" s="167" t="s">
        <v>1923</v>
      </c>
      <c r="E31" s="167" t="s">
        <v>1850</v>
      </c>
      <c r="F31" s="167" t="s">
        <v>36</v>
      </c>
      <c r="G31" s="167" t="s">
        <v>1864</v>
      </c>
      <c r="H31" s="167" t="s">
        <v>1872</v>
      </c>
      <c r="I31" s="167" t="s">
        <v>1898</v>
      </c>
      <c r="J31" s="167" t="s">
        <v>1355</v>
      </c>
      <c r="K31" s="168" t="str">
        <f>IF(W31=$AU$4, $AX$4,
IF(W31=$AU$2,$AX$2, ""))</f>
        <v>HIDDERLEY</v>
      </c>
      <c r="L31" s="168" t="str">
        <f t="shared" si="0"/>
        <v/>
      </c>
      <c r="M31" s="168">
        <f t="shared" si="1"/>
        <v>35736</v>
      </c>
      <c r="N31" s="168" t="str">
        <f t="shared" si="2"/>
        <v/>
      </c>
      <c r="O31" s="168" t="str">
        <f t="shared" si="3"/>
        <v>242597904</v>
      </c>
      <c r="P31" s="168" t="str">
        <f t="shared" si="4"/>
        <v/>
      </c>
      <c r="Q31" s="167" t="s">
        <v>1888</v>
      </c>
      <c r="R31" s="167" t="s">
        <v>1889</v>
      </c>
      <c r="S31" s="167" t="s">
        <v>1890</v>
      </c>
      <c r="T31" s="167" t="s">
        <v>1924</v>
      </c>
      <c r="U31" s="167" t="s">
        <v>1925</v>
      </c>
      <c r="V31" s="167" t="s">
        <v>1355</v>
      </c>
      <c r="W31" s="169" t="str">
        <f t="shared" si="5"/>
        <v>UAT-WF-User77@mailinator.com</v>
      </c>
      <c r="X31" s="167" t="str">
        <f t="shared" si="6"/>
        <v/>
      </c>
      <c r="Y31" s="168" t="str">
        <f t="shared" si="7"/>
        <v>Dummy!2024</v>
      </c>
      <c r="Z31" s="168" t="str">
        <f t="shared" si="8"/>
        <v>020-8030031</v>
      </c>
      <c r="AA31" s="167"/>
      <c r="AB31" s="167" t="s">
        <v>1853</v>
      </c>
      <c r="AQ31" s="166" t="str">
        <f t="shared" si="9"/>
        <v>UAT-WF-User77@mailinator.com</v>
      </c>
      <c r="AR31" s="166" t="str">
        <f t="shared" si="10"/>
        <v/>
      </c>
    </row>
    <row r="32" spans="1:44" ht="42.75" x14ac:dyDescent="0.25">
      <c r="A32" s="167" t="s">
        <v>1402</v>
      </c>
      <c r="B32" s="167" t="s">
        <v>1355</v>
      </c>
      <c r="C32" s="167" t="s">
        <v>1876</v>
      </c>
      <c r="D32" s="167" t="s">
        <v>1923</v>
      </c>
      <c r="E32" s="167" t="s">
        <v>1850</v>
      </c>
      <c r="F32" s="167" t="s">
        <v>36</v>
      </c>
      <c r="G32" s="167" t="s">
        <v>1871</v>
      </c>
      <c r="H32" s="167"/>
      <c r="I32" s="167" t="s">
        <v>1355</v>
      </c>
      <c r="J32" s="167" t="s">
        <v>1878</v>
      </c>
      <c r="K32" s="167" t="s">
        <v>1879</v>
      </c>
      <c r="L32" s="168" t="str">
        <f t="shared" si="0"/>
        <v/>
      </c>
      <c r="M32" s="168">
        <f t="shared" si="1"/>
        <v>35736</v>
      </c>
      <c r="N32" s="168" t="str">
        <f t="shared" si="2"/>
        <v/>
      </c>
      <c r="O32" s="168" t="str">
        <f t="shared" si="3"/>
        <v>242597904</v>
      </c>
      <c r="P32" s="168" t="str">
        <f t="shared" si="4"/>
        <v/>
      </c>
      <c r="Q32" s="167" t="s">
        <v>1880</v>
      </c>
      <c r="R32" s="167" t="s">
        <v>1881</v>
      </c>
      <c r="S32" s="167" t="s">
        <v>1882</v>
      </c>
      <c r="T32" s="167" t="s">
        <v>1883</v>
      </c>
      <c r="U32" s="167" t="s">
        <v>1884</v>
      </c>
      <c r="V32" s="167" t="s">
        <v>1885</v>
      </c>
      <c r="W32" s="169" t="str">
        <f t="shared" si="5"/>
        <v>UAT-WF-User77@mailinator.com</v>
      </c>
      <c r="X32" s="167" t="str">
        <f t="shared" si="6"/>
        <v/>
      </c>
      <c r="Y32" s="168" t="str">
        <f t="shared" si="7"/>
        <v>Dummy!2024</v>
      </c>
      <c r="Z32" s="168" t="str">
        <f t="shared" si="8"/>
        <v>020-8030031</v>
      </c>
      <c r="AA32" s="167"/>
      <c r="AB32" s="167" t="s">
        <v>1853</v>
      </c>
      <c r="AQ32" s="166" t="str">
        <f t="shared" si="9"/>
        <v>UAT-WF-User77@mailinator.com</v>
      </c>
      <c r="AR32" s="166" t="str">
        <f t="shared" si="10"/>
        <v/>
      </c>
    </row>
    <row r="33" spans="1:44" ht="42.75" x14ac:dyDescent="0.25">
      <c r="A33" s="167" t="s">
        <v>1403</v>
      </c>
      <c r="B33" s="167" t="s">
        <v>1355</v>
      </c>
      <c r="C33" s="167" t="s">
        <v>1886</v>
      </c>
      <c r="D33" s="167" t="s">
        <v>1923</v>
      </c>
      <c r="E33" s="167" t="s">
        <v>1850</v>
      </c>
      <c r="F33" s="167" t="s">
        <v>36</v>
      </c>
      <c r="G33" s="167" t="s">
        <v>1877</v>
      </c>
      <c r="H33" s="167" t="s">
        <v>1865</v>
      </c>
      <c r="I33" s="167" t="s">
        <v>1355</v>
      </c>
      <c r="J33" s="167" t="s">
        <v>1355</v>
      </c>
      <c r="K33" s="168" t="str">
        <f t="shared" ref="K33:K38" si="13">IF(W33=$AU$4, $AX$4,
IF(W33=$AU$2,$AX$2, ""))</f>
        <v>HIDDERLEY</v>
      </c>
      <c r="L33" s="168" t="str">
        <f t="shared" si="0"/>
        <v/>
      </c>
      <c r="M33" s="168">
        <f t="shared" si="1"/>
        <v>35736</v>
      </c>
      <c r="N33" s="168" t="str">
        <f t="shared" si="2"/>
        <v/>
      </c>
      <c r="O33" s="168" t="str">
        <f t="shared" si="3"/>
        <v>242597904</v>
      </c>
      <c r="P33" s="168" t="str">
        <f t="shared" si="4"/>
        <v/>
      </c>
      <c r="Q33" s="167" t="s">
        <v>1888</v>
      </c>
      <c r="R33" s="167" t="s">
        <v>1889</v>
      </c>
      <c r="S33" s="167" t="s">
        <v>1890</v>
      </c>
      <c r="T33" s="167" t="s">
        <v>1883</v>
      </c>
      <c r="U33" s="167" t="s">
        <v>1884</v>
      </c>
      <c r="V33" s="167" t="s">
        <v>1355</v>
      </c>
      <c r="W33" s="169" t="str">
        <f t="shared" si="5"/>
        <v>UAT-WF-User77@mailinator.com</v>
      </c>
      <c r="X33" s="167" t="str">
        <f t="shared" si="6"/>
        <v/>
      </c>
      <c r="Y33" s="168" t="str">
        <f t="shared" si="7"/>
        <v>Dummy!2024</v>
      </c>
      <c r="Z33" s="168" t="str">
        <f t="shared" si="8"/>
        <v>020-8030031</v>
      </c>
      <c r="AA33" s="167"/>
      <c r="AB33" s="167" t="s">
        <v>1853</v>
      </c>
      <c r="AQ33" s="166" t="str">
        <f t="shared" si="9"/>
        <v>UAT-WF-User77@mailinator.com</v>
      </c>
      <c r="AR33" s="166" t="str">
        <f t="shared" si="10"/>
        <v/>
      </c>
    </row>
    <row r="34" spans="1:44" ht="42.75" x14ac:dyDescent="0.25">
      <c r="A34" s="167" t="s">
        <v>1404</v>
      </c>
      <c r="B34" s="167" t="s">
        <v>1355</v>
      </c>
      <c r="C34" s="167" t="s">
        <v>1892</v>
      </c>
      <c r="D34" s="167" t="s">
        <v>1923</v>
      </c>
      <c r="E34" s="167" t="s">
        <v>1850</v>
      </c>
      <c r="F34" s="167" t="s">
        <v>36</v>
      </c>
      <c r="G34" s="167" t="s">
        <v>1887</v>
      </c>
      <c r="H34" s="167"/>
      <c r="I34" s="167" t="s">
        <v>1355</v>
      </c>
      <c r="J34" s="167"/>
      <c r="K34" s="168" t="str">
        <f t="shared" si="13"/>
        <v>HIDDERLEY</v>
      </c>
      <c r="L34" s="168" t="str">
        <f t="shared" si="0"/>
        <v/>
      </c>
      <c r="M34" s="168">
        <f t="shared" si="1"/>
        <v>35736</v>
      </c>
      <c r="N34" s="168" t="str">
        <f t="shared" si="2"/>
        <v/>
      </c>
      <c r="O34" s="168" t="str">
        <f t="shared" si="3"/>
        <v>242597904</v>
      </c>
      <c r="P34" s="168" t="str">
        <f t="shared" si="4"/>
        <v/>
      </c>
      <c r="Q34" s="167" t="s">
        <v>1894</v>
      </c>
      <c r="R34" s="167" t="s">
        <v>1895</v>
      </c>
      <c r="S34" s="167" t="s">
        <v>1882</v>
      </c>
      <c r="T34" s="167" t="s">
        <v>1883</v>
      </c>
      <c r="U34" s="167" t="s">
        <v>1884</v>
      </c>
      <c r="V34" s="167" t="s">
        <v>1885</v>
      </c>
      <c r="W34" s="169" t="str">
        <f t="shared" si="5"/>
        <v>UAT-WF-User77@mailinator.com</v>
      </c>
      <c r="X34" s="167" t="str">
        <f t="shared" si="6"/>
        <v/>
      </c>
      <c r="Y34" s="168" t="str">
        <f t="shared" si="7"/>
        <v>Dummy!2024</v>
      </c>
      <c r="Z34" s="168" t="str">
        <f t="shared" si="8"/>
        <v>020-8030031</v>
      </c>
      <c r="AA34" s="167"/>
      <c r="AB34" s="167" t="s">
        <v>1853</v>
      </c>
      <c r="AQ34" s="166" t="str">
        <f t="shared" si="9"/>
        <v>UAT-WF-User77@mailinator.com</v>
      </c>
      <c r="AR34" s="166" t="str">
        <f t="shared" si="10"/>
        <v/>
      </c>
    </row>
    <row r="35" spans="1:44" ht="42.75" x14ac:dyDescent="0.25">
      <c r="A35" s="167" t="s">
        <v>1405</v>
      </c>
      <c r="B35" s="167" t="s">
        <v>1847</v>
      </c>
      <c r="C35" s="167" t="s">
        <v>1848</v>
      </c>
      <c r="D35" s="167" t="s">
        <v>1923</v>
      </c>
      <c r="E35" s="167" t="s">
        <v>1900</v>
      </c>
      <c r="F35" s="167"/>
      <c r="G35" s="167" t="s">
        <v>1893</v>
      </c>
      <c r="H35" s="167" t="s">
        <v>1852</v>
      </c>
      <c r="I35" s="167"/>
      <c r="J35" s="167"/>
      <c r="K35" s="168" t="str">
        <f t="shared" si="13"/>
        <v>KASTING</v>
      </c>
      <c r="L35" s="168" t="str">
        <f t="shared" si="0"/>
        <v/>
      </c>
      <c r="M35" s="168">
        <f t="shared" si="1"/>
        <v>21248</v>
      </c>
      <c r="N35" s="168" t="str">
        <f t="shared" si="2"/>
        <v/>
      </c>
      <c r="O35" s="168" t="str">
        <f t="shared" si="3"/>
        <v>242597653</v>
      </c>
      <c r="P35" s="168" t="str">
        <f t="shared" si="4"/>
        <v/>
      </c>
      <c r="Q35" s="167"/>
      <c r="R35" s="167"/>
      <c r="S35" s="167"/>
      <c r="T35" s="167"/>
      <c r="U35" s="167"/>
      <c r="V35" s="167"/>
      <c r="W35" s="169" t="str">
        <f t="shared" si="5"/>
        <v>Perf-Test-User-112801@mailinator.com</v>
      </c>
      <c r="X35" s="167" t="str">
        <f t="shared" si="6"/>
        <v/>
      </c>
      <c r="Y35" s="168" t="str">
        <f t="shared" si="7"/>
        <v>Dummy!2022</v>
      </c>
      <c r="Z35" s="168" t="str">
        <f t="shared" si="8"/>
        <v>020-8010888</v>
      </c>
      <c r="AA35" s="167" t="s">
        <v>1926</v>
      </c>
      <c r="AB35" s="167" t="s">
        <v>1853</v>
      </c>
      <c r="AQ35" s="166" t="str">
        <f t="shared" si="9"/>
        <v>Perf-Test-User-112801@mailinator.com</v>
      </c>
      <c r="AR35" s="166" t="str">
        <f t="shared" si="10"/>
        <v/>
      </c>
    </row>
    <row r="36" spans="1:44" ht="42.75" x14ac:dyDescent="0.25">
      <c r="A36" s="167" t="s">
        <v>1406</v>
      </c>
      <c r="B36" s="167" t="s">
        <v>1858</v>
      </c>
      <c r="C36" s="167" t="s">
        <v>24</v>
      </c>
      <c r="D36" s="167" t="s">
        <v>1923</v>
      </c>
      <c r="E36" s="167" t="s">
        <v>1900</v>
      </c>
      <c r="F36" s="167"/>
      <c r="G36" s="167" t="s">
        <v>1897</v>
      </c>
      <c r="H36" s="167"/>
      <c r="I36" s="167"/>
      <c r="J36" s="167"/>
      <c r="K36" s="168" t="str">
        <f t="shared" si="13"/>
        <v>KASTING</v>
      </c>
      <c r="L36" s="168" t="str">
        <f t="shared" si="0"/>
        <v/>
      </c>
      <c r="M36" s="168">
        <f t="shared" si="1"/>
        <v>21248</v>
      </c>
      <c r="N36" s="168" t="str">
        <f t="shared" si="2"/>
        <v/>
      </c>
      <c r="O36" s="168" t="str">
        <f t="shared" si="3"/>
        <v>242597653</v>
      </c>
      <c r="P36" s="168" t="str">
        <f t="shared" si="4"/>
        <v/>
      </c>
      <c r="Q36" s="167"/>
      <c r="R36" s="167"/>
      <c r="S36" s="167"/>
      <c r="T36" s="167"/>
      <c r="U36" s="167"/>
      <c r="V36" s="167"/>
      <c r="W36" s="169" t="str">
        <f t="shared" si="5"/>
        <v>Perf-Test-User-112801@mailinator.com</v>
      </c>
      <c r="X36" s="167" t="str">
        <f t="shared" si="6"/>
        <v/>
      </c>
      <c r="Y36" s="168" t="str">
        <f t="shared" si="7"/>
        <v>Dummy!2022</v>
      </c>
      <c r="Z36" s="168" t="str">
        <f t="shared" si="8"/>
        <v>020-8010888</v>
      </c>
      <c r="AA36" s="167" t="s">
        <v>1927</v>
      </c>
      <c r="AB36" s="167" t="s">
        <v>1853</v>
      </c>
      <c r="AQ36" s="166" t="str">
        <f t="shared" si="9"/>
        <v>Perf-Test-User-112801@mailinator.com</v>
      </c>
      <c r="AR36" s="166" t="str">
        <f t="shared" si="10"/>
        <v/>
      </c>
    </row>
    <row r="37" spans="1:44" ht="42.75" x14ac:dyDescent="0.25">
      <c r="A37" s="167" t="s">
        <v>1407</v>
      </c>
      <c r="B37" s="167" t="s">
        <v>1355</v>
      </c>
      <c r="C37" s="167" t="s">
        <v>1863</v>
      </c>
      <c r="D37" s="167" t="s">
        <v>1923</v>
      </c>
      <c r="E37" s="167" t="s">
        <v>1900</v>
      </c>
      <c r="F37" s="167"/>
      <c r="G37" s="167" t="s">
        <v>1852</v>
      </c>
      <c r="H37" s="167" t="s">
        <v>1865</v>
      </c>
      <c r="I37" s="167"/>
      <c r="J37" s="167"/>
      <c r="K37" s="168" t="str">
        <f t="shared" si="13"/>
        <v>KASTING</v>
      </c>
      <c r="L37" s="168" t="str">
        <f t="shared" si="0"/>
        <v/>
      </c>
      <c r="M37" s="168">
        <f t="shared" si="1"/>
        <v>21248</v>
      </c>
      <c r="N37" s="168" t="str">
        <f t="shared" si="2"/>
        <v/>
      </c>
      <c r="O37" s="168" t="str">
        <f t="shared" si="3"/>
        <v>242597653</v>
      </c>
      <c r="P37" s="168" t="str">
        <f t="shared" si="4"/>
        <v/>
      </c>
      <c r="Q37" s="167"/>
      <c r="R37" s="167"/>
      <c r="S37" s="167"/>
      <c r="T37" s="167"/>
      <c r="U37" s="167"/>
      <c r="V37" s="167"/>
      <c r="W37" s="169" t="str">
        <f t="shared" si="5"/>
        <v>Perf-Test-User-112801@mailinator.com</v>
      </c>
      <c r="X37" s="167" t="str">
        <f t="shared" si="6"/>
        <v/>
      </c>
      <c r="Y37" s="168" t="str">
        <f t="shared" si="7"/>
        <v>Dummy!2022</v>
      </c>
      <c r="Z37" s="168" t="str">
        <f t="shared" si="8"/>
        <v>020-8010888</v>
      </c>
      <c r="AA37" s="167" t="s">
        <v>1928</v>
      </c>
      <c r="AB37" s="167" t="s">
        <v>1853</v>
      </c>
      <c r="AQ37" s="166" t="str">
        <f t="shared" si="9"/>
        <v>Perf-Test-User-112801@mailinator.com</v>
      </c>
      <c r="AR37" s="166" t="str">
        <f t="shared" si="10"/>
        <v/>
      </c>
    </row>
    <row r="38" spans="1:44" ht="42.75" x14ac:dyDescent="0.25">
      <c r="A38" s="167" t="s">
        <v>1400</v>
      </c>
      <c r="B38" s="167" t="s">
        <v>1355</v>
      </c>
      <c r="C38" s="167" t="s">
        <v>1870</v>
      </c>
      <c r="D38" s="167" t="s">
        <v>1923</v>
      </c>
      <c r="E38" s="167" t="s">
        <v>1900</v>
      </c>
      <c r="F38" s="167"/>
      <c r="G38" s="167" t="s">
        <v>1851</v>
      </c>
      <c r="H38" s="167" t="s">
        <v>1872</v>
      </c>
      <c r="I38" s="167"/>
      <c r="J38" s="167"/>
      <c r="K38" s="168" t="str">
        <f t="shared" si="13"/>
        <v>KASTING</v>
      </c>
      <c r="L38" s="168" t="str">
        <f t="shared" si="0"/>
        <v/>
      </c>
      <c r="M38" s="168">
        <f t="shared" si="1"/>
        <v>21248</v>
      </c>
      <c r="N38" s="168" t="str">
        <f t="shared" si="2"/>
        <v/>
      </c>
      <c r="O38" s="168" t="str">
        <f t="shared" si="3"/>
        <v>242597653</v>
      </c>
      <c r="P38" s="168" t="str">
        <f t="shared" si="4"/>
        <v/>
      </c>
      <c r="Q38" s="167"/>
      <c r="R38" s="167"/>
      <c r="S38" s="167"/>
      <c r="T38" s="167"/>
      <c r="U38" s="167"/>
      <c r="V38" s="167"/>
      <c r="W38" s="169" t="str">
        <f t="shared" si="5"/>
        <v>Perf-Test-User-112801@mailinator.com</v>
      </c>
      <c r="X38" s="167" t="str">
        <f t="shared" si="6"/>
        <v/>
      </c>
      <c r="Y38" s="168" t="str">
        <f t="shared" si="7"/>
        <v>Dummy!2022</v>
      </c>
      <c r="Z38" s="168" t="str">
        <f t="shared" si="8"/>
        <v>020-8010888</v>
      </c>
      <c r="AA38" s="167" t="s">
        <v>1929</v>
      </c>
      <c r="AB38" s="167" t="s">
        <v>1853</v>
      </c>
      <c r="AQ38" s="166" t="str">
        <f t="shared" si="9"/>
        <v>Perf-Test-User-112801@mailinator.com</v>
      </c>
      <c r="AR38" s="166" t="str">
        <f t="shared" si="10"/>
        <v/>
      </c>
    </row>
    <row r="39" spans="1:44" ht="42.75" x14ac:dyDescent="0.25">
      <c r="A39" s="167" t="s">
        <v>1401</v>
      </c>
      <c r="B39" s="167" t="s">
        <v>1355</v>
      </c>
      <c r="C39" s="167" t="s">
        <v>1876</v>
      </c>
      <c r="D39" s="167" t="s">
        <v>1923</v>
      </c>
      <c r="E39" s="167" t="s">
        <v>1900</v>
      </c>
      <c r="F39" s="167" t="s">
        <v>79</v>
      </c>
      <c r="G39" s="167" t="s">
        <v>1859</v>
      </c>
      <c r="H39" s="167"/>
      <c r="I39" s="167"/>
      <c r="J39" s="167" t="s">
        <v>1878</v>
      </c>
      <c r="K39" s="167" t="s">
        <v>1879</v>
      </c>
      <c r="L39" s="168" t="str">
        <f t="shared" si="0"/>
        <v/>
      </c>
      <c r="M39" s="168">
        <f t="shared" si="1"/>
        <v>21248</v>
      </c>
      <c r="N39" s="168" t="str">
        <f t="shared" si="2"/>
        <v/>
      </c>
      <c r="O39" s="168" t="str">
        <f t="shared" si="3"/>
        <v>242597653</v>
      </c>
      <c r="P39" s="168" t="str">
        <f t="shared" si="4"/>
        <v/>
      </c>
      <c r="Q39" s="167" t="s">
        <v>1880</v>
      </c>
      <c r="R39" s="167" t="s">
        <v>1881</v>
      </c>
      <c r="S39" s="167" t="s">
        <v>1882</v>
      </c>
      <c r="T39" s="167" t="s">
        <v>1883</v>
      </c>
      <c r="U39" s="167" t="s">
        <v>1884</v>
      </c>
      <c r="V39" s="167" t="s">
        <v>1885</v>
      </c>
      <c r="W39" s="169" t="str">
        <f t="shared" si="5"/>
        <v>Perf-Test-User-112801@mailinator.com</v>
      </c>
      <c r="X39" s="167" t="str">
        <f t="shared" si="6"/>
        <v/>
      </c>
      <c r="Y39" s="168" t="str">
        <f t="shared" si="7"/>
        <v>Dummy!2022</v>
      </c>
      <c r="Z39" s="168" t="str">
        <f t="shared" si="8"/>
        <v>020-8010888</v>
      </c>
      <c r="AA39" s="167" t="s">
        <v>1930</v>
      </c>
      <c r="AB39" s="167" t="s">
        <v>1853</v>
      </c>
      <c r="AQ39" s="166" t="str">
        <f t="shared" si="9"/>
        <v>Perf-Test-User-112801@mailinator.com</v>
      </c>
      <c r="AR39" s="166" t="str">
        <f t="shared" si="10"/>
        <v/>
      </c>
    </row>
    <row r="40" spans="1:44" ht="42.75" x14ac:dyDescent="0.25">
      <c r="A40" s="167" t="s">
        <v>1581</v>
      </c>
      <c r="B40" s="167" t="s">
        <v>1355</v>
      </c>
      <c r="C40" s="167" t="s">
        <v>1886</v>
      </c>
      <c r="D40" s="167" t="s">
        <v>1923</v>
      </c>
      <c r="E40" s="167" t="s">
        <v>1900</v>
      </c>
      <c r="F40" s="167" t="s">
        <v>79</v>
      </c>
      <c r="G40" s="167" t="s">
        <v>1864</v>
      </c>
      <c r="H40" s="167" t="s">
        <v>1852</v>
      </c>
      <c r="I40" s="167"/>
      <c r="J40" s="167"/>
      <c r="K40" s="168" t="str">
        <f>IF(W40=$AU$4, $AX$4,
IF(W40=$AU$2,$AX$2, ""))</f>
        <v>KASTING</v>
      </c>
      <c r="L40" s="168" t="str">
        <f t="shared" si="0"/>
        <v/>
      </c>
      <c r="M40" s="168">
        <f t="shared" si="1"/>
        <v>21248</v>
      </c>
      <c r="N40" s="168" t="str">
        <f t="shared" si="2"/>
        <v/>
      </c>
      <c r="O40" s="168" t="str">
        <f t="shared" si="3"/>
        <v>242597653</v>
      </c>
      <c r="P40" s="168" t="str">
        <f t="shared" si="4"/>
        <v/>
      </c>
      <c r="Q40" s="167" t="s">
        <v>1880</v>
      </c>
      <c r="R40" s="167" t="s">
        <v>1881</v>
      </c>
      <c r="S40" s="167" t="s">
        <v>1882</v>
      </c>
      <c r="T40" s="167" t="s">
        <v>1883</v>
      </c>
      <c r="U40" s="167" t="s">
        <v>1884</v>
      </c>
      <c r="V40" s="167"/>
      <c r="W40" s="169" t="str">
        <f t="shared" si="5"/>
        <v>Perf-Test-User-112801@mailinator.com</v>
      </c>
      <c r="X40" s="167" t="str">
        <f t="shared" si="6"/>
        <v/>
      </c>
      <c r="Y40" s="168" t="str">
        <f t="shared" si="7"/>
        <v>Dummy!2022</v>
      </c>
      <c r="Z40" s="168" t="str">
        <f t="shared" si="8"/>
        <v>020-8010888</v>
      </c>
      <c r="AA40" s="167" t="s">
        <v>1931</v>
      </c>
      <c r="AB40" s="167" t="s">
        <v>1853</v>
      </c>
      <c r="AQ40" s="166" t="str">
        <f t="shared" si="9"/>
        <v>Perf-Test-User-112801@mailinator.com</v>
      </c>
      <c r="AR40" s="166" t="str">
        <f t="shared" si="10"/>
        <v/>
      </c>
    </row>
    <row r="41" spans="1:44" ht="42.75" x14ac:dyDescent="0.25">
      <c r="A41" s="167" t="s">
        <v>1408</v>
      </c>
      <c r="B41" s="167" t="s">
        <v>1355</v>
      </c>
      <c r="C41" s="167" t="s">
        <v>1892</v>
      </c>
      <c r="D41" s="167" t="s">
        <v>1923</v>
      </c>
      <c r="E41" s="167" t="s">
        <v>1900</v>
      </c>
      <c r="F41" s="167" t="s">
        <v>36</v>
      </c>
      <c r="G41" s="167" t="s">
        <v>1871</v>
      </c>
      <c r="H41" s="167"/>
      <c r="I41" s="167"/>
      <c r="J41" s="167"/>
      <c r="K41" s="168" t="str">
        <f>IF(W41=$AU$4, $AX$4,
IF(W41=$AU$2,$AX$2, ""))</f>
        <v>KASTING</v>
      </c>
      <c r="L41" s="168" t="str">
        <f t="shared" si="0"/>
        <v/>
      </c>
      <c r="M41" s="168">
        <f t="shared" si="1"/>
        <v>21248</v>
      </c>
      <c r="N41" s="168" t="str">
        <f t="shared" si="2"/>
        <v/>
      </c>
      <c r="O41" s="168" t="str">
        <f t="shared" si="3"/>
        <v>242597653</v>
      </c>
      <c r="P41" s="168" t="str">
        <f t="shared" si="4"/>
        <v/>
      </c>
      <c r="Q41" s="167" t="s">
        <v>1880</v>
      </c>
      <c r="R41" s="167" t="s">
        <v>1881</v>
      </c>
      <c r="S41" s="167" t="s">
        <v>1912</v>
      </c>
      <c r="T41" s="167" t="s">
        <v>1883</v>
      </c>
      <c r="U41" s="167" t="s">
        <v>1884</v>
      </c>
      <c r="V41" s="167"/>
      <c r="W41" s="169" t="str">
        <f t="shared" si="5"/>
        <v>Perf-Test-User-112801@mailinator.com</v>
      </c>
      <c r="X41" s="167" t="str">
        <f t="shared" si="6"/>
        <v/>
      </c>
      <c r="Y41" s="168" t="str">
        <f t="shared" si="7"/>
        <v>Dummy!2022</v>
      </c>
      <c r="Z41" s="168" t="str">
        <f t="shared" si="8"/>
        <v>020-8010888</v>
      </c>
      <c r="AA41" s="167" t="s">
        <v>1932</v>
      </c>
      <c r="AB41" s="167" t="s">
        <v>1853</v>
      </c>
      <c r="AQ41" s="166" t="str">
        <f t="shared" si="9"/>
        <v>Perf-Test-User-112801@mailinator.com</v>
      </c>
      <c r="AR41" s="166" t="str">
        <f t="shared" si="10"/>
        <v/>
      </c>
    </row>
    <row r="42" spans="1:44" ht="42.75" x14ac:dyDescent="0.25">
      <c r="A42" s="167" t="s">
        <v>1409</v>
      </c>
      <c r="B42" s="167" t="s">
        <v>1355</v>
      </c>
      <c r="C42" s="167" t="s">
        <v>1896</v>
      </c>
      <c r="D42" s="167" t="s">
        <v>1923</v>
      </c>
      <c r="E42" s="167" t="s">
        <v>1900</v>
      </c>
      <c r="F42" s="167" t="s">
        <v>36</v>
      </c>
      <c r="G42" s="167" t="s">
        <v>1877</v>
      </c>
      <c r="H42" s="167" t="s">
        <v>1872</v>
      </c>
      <c r="I42" s="167"/>
      <c r="J42" s="167"/>
      <c r="K42" s="168" t="str">
        <f>IF(W42=$AU$4, $AX$4,
IF(W42=$AU$2,$AX$2, ""))</f>
        <v>KASTING</v>
      </c>
      <c r="L42" s="168" t="str">
        <f t="shared" si="0"/>
        <v/>
      </c>
      <c r="M42" s="168">
        <f t="shared" si="1"/>
        <v>21248</v>
      </c>
      <c r="N42" s="168" t="str">
        <f t="shared" si="2"/>
        <v/>
      </c>
      <c r="O42" s="168" t="str">
        <f t="shared" si="3"/>
        <v>242597653</v>
      </c>
      <c r="P42" s="168" t="str">
        <f t="shared" si="4"/>
        <v/>
      </c>
      <c r="Q42" s="167" t="s">
        <v>1880</v>
      </c>
      <c r="R42" s="167" t="s">
        <v>1881</v>
      </c>
      <c r="S42" s="167" t="s">
        <v>1915</v>
      </c>
      <c r="T42" s="167" t="s">
        <v>1883</v>
      </c>
      <c r="U42" s="167" t="s">
        <v>1884</v>
      </c>
      <c r="V42" s="167"/>
      <c r="W42" s="169" t="str">
        <f t="shared" si="5"/>
        <v>Perf-Test-User-112801@mailinator.com</v>
      </c>
      <c r="X42" s="167" t="str">
        <f t="shared" si="6"/>
        <v/>
      </c>
      <c r="Y42" s="168" t="str">
        <f t="shared" si="7"/>
        <v>Dummy!2022</v>
      </c>
      <c r="Z42" s="168" t="str">
        <f t="shared" si="8"/>
        <v>020-8010888</v>
      </c>
      <c r="AA42" s="167" t="s">
        <v>1933</v>
      </c>
      <c r="AB42" s="167" t="s">
        <v>1853</v>
      </c>
      <c r="AQ42" s="166" t="str">
        <f t="shared" si="9"/>
        <v>Perf-Test-User-112801@mailinator.com</v>
      </c>
      <c r="AR42" s="166" t="str">
        <f t="shared" si="10"/>
        <v/>
      </c>
    </row>
    <row r="43" spans="1:44" ht="42.75" x14ac:dyDescent="0.25">
      <c r="A43" s="167" t="s">
        <v>1410</v>
      </c>
      <c r="B43" s="167" t="s">
        <v>1355</v>
      </c>
      <c r="C43" s="167" t="s">
        <v>1876</v>
      </c>
      <c r="D43" s="167" t="s">
        <v>1923</v>
      </c>
      <c r="E43" s="167" t="s">
        <v>1900</v>
      </c>
      <c r="F43" s="167" t="s">
        <v>36</v>
      </c>
      <c r="G43" s="167" t="s">
        <v>1887</v>
      </c>
      <c r="H43" s="167"/>
      <c r="I43" s="167"/>
      <c r="J43" s="167" t="s">
        <v>1878</v>
      </c>
      <c r="K43" s="167" t="s">
        <v>1879</v>
      </c>
      <c r="L43" s="168" t="str">
        <f t="shared" si="0"/>
        <v/>
      </c>
      <c r="M43" s="168">
        <f t="shared" si="1"/>
        <v>21248</v>
      </c>
      <c r="N43" s="168" t="str">
        <f t="shared" si="2"/>
        <v/>
      </c>
      <c r="O43" s="168" t="str">
        <f t="shared" si="3"/>
        <v>242597653</v>
      </c>
      <c r="P43" s="168" t="str">
        <f t="shared" si="4"/>
        <v/>
      </c>
      <c r="Q43" s="167" t="s">
        <v>1880</v>
      </c>
      <c r="R43" s="167" t="s">
        <v>1881</v>
      </c>
      <c r="S43" s="167" t="s">
        <v>1882</v>
      </c>
      <c r="T43" s="167" t="s">
        <v>1883</v>
      </c>
      <c r="U43" s="167" t="s">
        <v>1884</v>
      </c>
      <c r="V43" s="167" t="s">
        <v>1885</v>
      </c>
      <c r="W43" s="169" t="str">
        <f t="shared" si="5"/>
        <v>Perf-Test-User-112801@mailinator.com</v>
      </c>
      <c r="X43" s="167" t="str">
        <f t="shared" si="6"/>
        <v/>
      </c>
      <c r="Y43" s="168" t="str">
        <f t="shared" si="7"/>
        <v>Dummy!2022</v>
      </c>
      <c r="Z43" s="168" t="str">
        <f t="shared" si="8"/>
        <v>020-8010888</v>
      </c>
      <c r="AA43" s="167" t="s">
        <v>1934</v>
      </c>
      <c r="AB43" s="167" t="s">
        <v>1853</v>
      </c>
      <c r="AQ43" s="166" t="str">
        <f t="shared" si="9"/>
        <v>Perf-Test-User-112801@mailinator.com</v>
      </c>
      <c r="AR43" s="166" t="str">
        <f t="shared" si="10"/>
        <v/>
      </c>
    </row>
    <row r="44" spans="1:44" ht="42.75" x14ac:dyDescent="0.25">
      <c r="A44" s="167" t="s">
        <v>1471</v>
      </c>
      <c r="B44" s="167" t="s">
        <v>1355</v>
      </c>
      <c r="C44" s="167" t="s">
        <v>1886</v>
      </c>
      <c r="D44" s="167" t="s">
        <v>1923</v>
      </c>
      <c r="E44" s="167" t="s">
        <v>1900</v>
      </c>
      <c r="F44" s="167" t="s">
        <v>36</v>
      </c>
      <c r="G44" s="167" t="s">
        <v>1893</v>
      </c>
      <c r="H44" s="167" t="s">
        <v>1865</v>
      </c>
      <c r="I44" s="167"/>
      <c r="J44" s="167"/>
      <c r="K44" s="168" t="str">
        <f t="shared" ref="K44:K107" si="14">IF(W44=$AU$4, $AX$4,
IF(W44=$AU$2,$AX$2, ""))</f>
        <v>KASTING</v>
      </c>
      <c r="L44" s="168" t="str">
        <f t="shared" si="0"/>
        <v/>
      </c>
      <c r="M44" s="168">
        <f t="shared" si="1"/>
        <v>21248</v>
      </c>
      <c r="N44" s="168" t="str">
        <f t="shared" si="2"/>
        <v/>
      </c>
      <c r="O44" s="168" t="str">
        <f t="shared" si="3"/>
        <v>242597653</v>
      </c>
      <c r="P44" s="168" t="str">
        <f t="shared" si="4"/>
        <v/>
      </c>
      <c r="Q44" s="167" t="s">
        <v>1880</v>
      </c>
      <c r="R44" s="167" t="s">
        <v>1881</v>
      </c>
      <c r="S44" s="167" t="s">
        <v>1919</v>
      </c>
      <c r="T44" s="167" t="s">
        <v>1883</v>
      </c>
      <c r="U44" s="167" t="s">
        <v>1884</v>
      </c>
      <c r="V44" s="167"/>
      <c r="W44" s="169" t="str">
        <f t="shared" si="5"/>
        <v>Perf-Test-User-112801@mailinator.com</v>
      </c>
      <c r="X44" s="167" t="str">
        <f t="shared" si="6"/>
        <v/>
      </c>
      <c r="Y44" s="168" t="str">
        <f t="shared" si="7"/>
        <v>Dummy!2022</v>
      </c>
      <c r="Z44" s="168" t="str">
        <f t="shared" si="8"/>
        <v>020-8010888</v>
      </c>
      <c r="AA44" s="167" t="s">
        <v>1935</v>
      </c>
      <c r="AB44" s="167" t="s">
        <v>1853</v>
      </c>
      <c r="AQ44" s="166" t="str">
        <f t="shared" si="9"/>
        <v>Perf-Test-User-112801@mailinator.com</v>
      </c>
      <c r="AR44" s="166" t="str">
        <f t="shared" si="10"/>
        <v/>
      </c>
    </row>
    <row r="45" spans="1:44" ht="42.75" x14ac:dyDescent="0.25">
      <c r="A45" s="167" t="s">
        <v>1582</v>
      </c>
      <c r="B45" s="167" t="s">
        <v>1355</v>
      </c>
      <c r="C45" s="167" t="s">
        <v>1892</v>
      </c>
      <c r="D45" s="167" t="s">
        <v>1923</v>
      </c>
      <c r="E45" s="167" t="s">
        <v>1900</v>
      </c>
      <c r="F45" s="167" t="s">
        <v>36</v>
      </c>
      <c r="G45" s="167" t="s">
        <v>1897</v>
      </c>
      <c r="H45" s="167"/>
      <c r="I45" s="167"/>
      <c r="J45" s="167"/>
      <c r="K45" s="168" t="str">
        <f t="shared" si="14"/>
        <v>KASTING</v>
      </c>
      <c r="L45" s="168" t="str">
        <f t="shared" si="0"/>
        <v/>
      </c>
      <c r="M45" s="168">
        <f t="shared" si="1"/>
        <v>21248</v>
      </c>
      <c r="N45" s="168" t="str">
        <f t="shared" si="2"/>
        <v/>
      </c>
      <c r="O45" s="168" t="str">
        <f t="shared" si="3"/>
        <v>242597653</v>
      </c>
      <c r="P45" s="168" t="str">
        <f t="shared" si="4"/>
        <v/>
      </c>
      <c r="Q45" s="167" t="s">
        <v>1880</v>
      </c>
      <c r="R45" s="167" t="s">
        <v>1881</v>
      </c>
      <c r="S45" s="167" t="s">
        <v>1921</v>
      </c>
      <c r="T45" s="167" t="s">
        <v>1883</v>
      </c>
      <c r="U45" s="167" t="s">
        <v>1884</v>
      </c>
      <c r="V45" s="167"/>
      <c r="W45" s="169" t="str">
        <f t="shared" si="5"/>
        <v>Perf-Test-User-112801@mailinator.com</v>
      </c>
      <c r="X45" s="167" t="str">
        <f t="shared" si="6"/>
        <v/>
      </c>
      <c r="Y45" s="168" t="str">
        <f t="shared" si="7"/>
        <v>Dummy!2022</v>
      </c>
      <c r="Z45" s="168" t="str">
        <f t="shared" si="8"/>
        <v>020-8010888</v>
      </c>
      <c r="AA45" s="167" t="s">
        <v>1936</v>
      </c>
      <c r="AB45" s="167" t="s">
        <v>1853</v>
      </c>
      <c r="AQ45" s="166" t="str">
        <f t="shared" si="9"/>
        <v>Perf-Test-User-112801@mailinator.com</v>
      </c>
      <c r="AR45" s="166" t="str">
        <f t="shared" si="10"/>
        <v/>
      </c>
    </row>
    <row r="46" spans="1:44" ht="42.75" x14ac:dyDescent="0.25">
      <c r="A46" s="167" t="s">
        <v>1472</v>
      </c>
      <c r="B46" s="167" t="s">
        <v>1847</v>
      </c>
      <c r="C46" s="167" t="s">
        <v>1848</v>
      </c>
      <c r="D46" s="167" t="s">
        <v>1937</v>
      </c>
      <c r="E46" s="167" t="s">
        <v>1938</v>
      </c>
      <c r="F46" s="167"/>
      <c r="G46" s="167" t="s">
        <v>1852</v>
      </c>
      <c r="H46" s="167" t="s">
        <v>1852</v>
      </c>
      <c r="I46" s="167"/>
      <c r="J46" s="167"/>
      <c r="K46" s="168" t="str">
        <f t="shared" si="14"/>
        <v>HIDDERLEY</v>
      </c>
      <c r="L46" s="168" t="str">
        <f t="shared" si="0"/>
        <v>SATTERTHWAITE</v>
      </c>
      <c r="M46" s="168">
        <f t="shared" si="1"/>
        <v>35736</v>
      </c>
      <c r="N46" s="168">
        <f t="shared" si="2"/>
        <v>31390</v>
      </c>
      <c r="O46" s="168" t="str">
        <f t="shared" si="3"/>
        <v>242597904</v>
      </c>
      <c r="P46" s="168" t="str">
        <f t="shared" si="4"/>
        <v>242597408</v>
      </c>
      <c r="Q46" s="167"/>
      <c r="R46" s="167"/>
      <c r="S46" s="167"/>
      <c r="T46" s="167"/>
      <c r="U46" s="167"/>
      <c r="V46" s="167"/>
      <c r="W46" s="169" t="str">
        <f t="shared" si="5"/>
        <v>UAT-WF-User77@mailinator.com</v>
      </c>
      <c r="X46" s="167" t="str">
        <f t="shared" si="6"/>
        <v>Perf-Test-User-10183@mailinator.com</v>
      </c>
      <c r="Y46" s="168" t="str">
        <f t="shared" si="7"/>
        <v>Dummy!2024</v>
      </c>
      <c r="Z46" s="168" t="str">
        <f t="shared" si="8"/>
        <v>020-8030031</v>
      </c>
      <c r="AA46" s="167"/>
      <c r="AB46" s="167" t="s">
        <v>1853</v>
      </c>
      <c r="AQ46" s="166" t="str">
        <f t="shared" si="9"/>
        <v>UAT-WF-User77@mailinator.com</v>
      </c>
      <c r="AR46" s="166" t="str">
        <f t="shared" si="10"/>
        <v>Perf-Test-User-10183@mailinator.com</v>
      </c>
    </row>
    <row r="47" spans="1:44" ht="42.75" x14ac:dyDescent="0.25">
      <c r="A47" s="167" t="s">
        <v>1939</v>
      </c>
      <c r="B47" s="167" t="s">
        <v>1858</v>
      </c>
      <c r="C47" s="167" t="s">
        <v>24</v>
      </c>
      <c r="D47" s="167" t="s">
        <v>1937</v>
      </c>
      <c r="E47" s="167" t="s">
        <v>1938</v>
      </c>
      <c r="F47" s="167"/>
      <c r="G47" s="167" t="s">
        <v>1851</v>
      </c>
      <c r="H47" s="167"/>
      <c r="I47" s="167"/>
      <c r="J47" s="167"/>
      <c r="K47" s="168" t="str">
        <f t="shared" si="14"/>
        <v>HIDDERLEY</v>
      </c>
      <c r="L47" s="168" t="str">
        <f t="shared" si="0"/>
        <v>SATTERTHWAITE</v>
      </c>
      <c r="M47" s="168">
        <f t="shared" si="1"/>
        <v>35736</v>
      </c>
      <c r="N47" s="168">
        <f t="shared" si="2"/>
        <v>31390</v>
      </c>
      <c r="O47" s="168" t="str">
        <f t="shared" si="3"/>
        <v>242597904</v>
      </c>
      <c r="P47" s="168" t="str">
        <f t="shared" si="4"/>
        <v>242597408</v>
      </c>
      <c r="Q47" s="167"/>
      <c r="R47" s="167"/>
      <c r="S47" s="167"/>
      <c r="T47" s="167"/>
      <c r="U47" s="167"/>
      <c r="V47" s="167"/>
      <c r="W47" s="169" t="str">
        <f t="shared" si="5"/>
        <v>UAT-WF-User77@mailinator.com</v>
      </c>
      <c r="X47" s="167" t="str">
        <f t="shared" si="6"/>
        <v>Perf-Test-User-10183@mailinator.com</v>
      </c>
      <c r="Y47" s="168" t="str">
        <f t="shared" si="7"/>
        <v>Dummy!2024</v>
      </c>
      <c r="Z47" s="168" t="str">
        <f t="shared" si="8"/>
        <v>020-8030031</v>
      </c>
      <c r="AA47" s="167"/>
      <c r="AB47" s="167" t="s">
        <v>1853</v>
      </c>
      <c r="AQ47" s="166" t="str">
        <f t="shared" si="9"/>
        <v>UAT-WF-User77@mailinator.com</v>
      </c>
      <c r="AR47" s="166" t="str">
        <f t="shared" si="10"/>
        <v>Perf-Test-User-10183@mailinator.com</v>
      </c>
    </row>
    <row r="48" spans="1:44" ht="42.75" x14ac:dyDescent="0.25">
      <c r="A48" s="167" t="s">
        <v>1425</v>
      </c>
      <c r="B48" s="167" t="s">
        <v>1355</v>
      </c>
      <c r="C48" s="167" t="s">
        <v>1863</v>
      </c>
      <c r="D48" s="167" t="s">
        <v>1937</v>
      </c>
      <c r="E48" s="167" t="s">
        <v>1938</v>
      </c>
      <c r="F48" s="167"/>
      <c r="G48" s="167" t="s">
        <v>1859</v>
      </c>
      <c r="H48" s="167" t="s">
        <v>1865</v>
      </c>
      <c r="I48" s="167"/>
      <c r="J48" s="167"/>
      <c r="K48" s="168" t="str">
        <f t="shared" si="14"/>
        <v>HIDDERLEY</v>
      </c>
      <c r="L48" s="168" t="str">
        <f t="shared" si="0"/>
        <v>SATTERTHWAITE</v>
      </c>
      <c r="M48" s="168">
        <f t="shared" si="1"/>
        <v>35736</v>
      </c>
      <c r="N48" s="168">
        <f t="shared" si="2"/>
        <v>31390</v>
      </c>
      <c r="O48" s="168" t="str">
        <f t="shared" si="3"/>
        <v>242597904</v>
      </c>
      <c r="P48" s="168" t="str">
        <f t="shared" si="4"/>
        <v>242597408</v>
      </c>
      <c r="Q48" s="167"/>
      <c r="R48" s="167"/>
      <c r="S48" s="167"/>
      <c r="T48" s="167"/>
      <c r="U48" s="167"/>
      <c r="V48" s="167"/>
      <c r="W48" s="169" t="str">
        <f t="shared" si="5"/>
        <v>UAT-WF-User77@mailinator.com</v>
      </c>
      <c r="X48" s="167" t="str">
        <f t="shared" si="6"/>
        <v>Perf-Test-User-10183@mailinator.com</v>
      </c>
      <c r="Y48" s="168" t="str">
        <f t="shared" si="7"/>
        <v>Dummy!2024</v>
      </c>
      <c r="Z48" s="168" t="str">
        <f t="shared" si="8"/>
        <v>020-8030031</v>
      </c>
      <c r="AA48" s="167"/>
      <c r="AB48" s="167" t="s">
        <v>1853</v>
      </c>
      <c r="AQ48" s="166" t="str">
        <f t="shared" si="9"/>
        <v>UAT-WF-User77@mailinator.com</v>
      </c>
      <c r="AR48" s="166" t="str">
        <f t="shared" si="10"/>
        <v>Perf-Test-User-10183@mailinator.com</v>
      </c>
    </row>
    <row r="49" spans="1:44" ht="42.75" x14ac:dyDescent="0.25">
      <c r="A49" s="167" t="s">
        <v>1452</v>
      </c>
      <c r="B49" s="167" t="s">
        <v>1355</v>
      </c>
      <c r="C49" s="167" t="s">
        <v>1870</v>
      </c>
      <c r="D49" s="167" t="s">
        <v>1937</v>
      </c>
      <c r="E49" s="167" t="s">
        <v>1938</v>
      </c>
      <c r="F49" s="167"/>
      <c r="G49" s="167" t="s">
        <v>1864</v>
      </c>
      <c r="H49" s="167" t="s">
        <v>1872</v>
      </c>
      <c r="I49" s="167"/>
      <c r="J49" s="167"/>
      <c r="K49" s="168" t="str">
        <f t="shared" si="14"/>
        <v>HIDDERLEY</v>
      </c>
      <c r="L49" s="168" t="str">
        <f t="shared" si="0"/>
        <v>SATTERTHWAITE</v>
      </c>
      <c r="M49" s="168">
        <f t="shared" si="1"/>
        <v>35736</v>
      </c>
      <c r="N49" s="168">
        <f t="shared" si="2"/>
        <v>31390</v>
      </c>
      <c r="O49" s="168" t="str">
        <f t="shared" si="3"/>
        <v>242597904</v>
      </c>
      <c r="P49" s="168" t="str">
        <f t="shared" si="4"/>
        <v>242597408</v>
      </c>
      <c r="Q49" s="167"/>
      <c r="R49" s="167"/>
      <c r="S49" s="167"/>
      <c r="T49" s="167"/>
      <c r="U49" s="167"/>
      <c r="V49" s="167"/>
      <c r="W49" s="169" t="str">
        <f t="shared" si="5"/>
        <v>UAT-WF-User77@mailinator.com</v>
      </c>
      <c r="X49" s="167" t="str">
        <f t="shared" si="6"/>
        <v>Perf-Test-User-10183@mailinator.com</v>
      </c>
      <c r="Y49" s="168" t="str">
        <f t="shared" si="7"/>
        <v>Dummy!2024</v>
      </c>
      <c r="Z49" s="168" t="str">
        <f t="shared" si="8"/>
        <v>020-8030031</v>
      </c>
      <c r="AA49" s="167"/>
      <c r="AB49" s="167" t="s">
        <v>1853</v>
      </c>
      <c r="AQ49" s="166" t="str">
        <f t="shared" si="9"/>
        <v>UAT-WF-User77@mailinator.com</v>
      </c>
      <c r="AR49" s="166" t="str">
        <f t="shared" si="10"/>
        <v>Perf-Test-User-10183@mailinator.com</v>
      </c>
    </row>
    <row r="50" spans="1:44" ht="42.75" x14ac:dyDescent="0.25">
      <c r="A50" s="167" t="s">
        <v>1525</v>
      </c>
      <c r="B50" s="167" t="s">
        <v>1355</v>
      </c>
      <c r="C50" s="167" t="s">
        <v>1886</v>
      </c>
      <c r="D50" s="167" t="s">
        <v>1937</v>
      </c>
      <c r="E50" s="167" t="s">
        <v>1938</v>
      </c>
      <c r="F50" s="167" t="s">
        <v>79</v>
      </c>
      <c r="G50" s="167" t="s">
        <v>1871</v>
      </c>
      <c r="H50" s="167" t="s">
        <v>1852</v>
      </c>
      <c r="I50" s="167"/>
      <c r="J50" s="167"/>
      <c r="K50" s="168" t="str">
        <f t="shared" si="14"/>
        <v>HIDDERLEY</v>
      </c>
      <c r="L50" s="168" t="str">
        <f t="shared" si="0"/>
        <v>SATTERTHWAITE</v>
      </c>
      <c r="M50" s="168">
        <f t="shared" si="1"/>
        <v>35736</v>
      </c>
      <c r="N50" s="168">
        <f t="shared" si="2"/>
        <v>31390</v>
      </c>
      <c r="O50" s="168" t="str">
        <f t="shared" si="3"/>
        <v>242597904</v>
      </c>
      <c r="P50" s="168" t="str">
        <f t="shared" si="4"/>
        <v>242597408</v>
      </c>
      <c r="Q50" s="167" t="s">
        <v>1880</v>
      </c>
      <c r="R50" s="167" t="s">
        <v>1881</v>
      </c>
      <c r="S50" s="167" t="s">
        <v>1882</v>
      </c>
      <c r="T50" s="167" t="s">
        <v>1883</v>
      </c>
      <c r="U50" s="167" t="s">
        <v>1884</v>
      </c>
      <c r="V50" s="167"/>
      <c r="W50" s="169" t="str">
        <f t="shared" si="5"/>
        <v>UAT-WF-User77@mailinator.com</v>
      </c>
      <c r="X50" s="167" t="str">
        <f t="shared" si="6"/>
        <v>Perf-Test-User-10183@mailinator.com</v>
      </c>
      <c r="Y50" s="168" t="str">
        <f t="shared" si="7"/>
        <v>Dummy!2024</v>
      </c>
      <c r="Z50" s="168" t="str">
        <f t="shared" si="8"/>
        <v>020-8030031</v>
      </c>
      <c r="AA50" s="167"/>
      <c r="AB50" s="167" t="s">
        <v>1853</v>
      </c>
      <c r="AQ50" s="166" t="str">
        <f t="shared" si="9"/>
        <v>UAT-WF-User77@mailinator.com</v>
      </c>
      <c r="AR50" s="166" t="str">
        <f t="shared" si="10"/>
        <v>Perf-Test-User-10183@mailinator.com</v>
      </c>
    </row>
    <row r="51" spans="1:44" ht="42.75" x14ac:dyDescent="0.25">
      <c r="A51" s="167" t="s">
        <v>1940</v>
      </c>
      <c r="B51" s="167" t="s">
        <v>1355</v>
      </c>
      <c r="C51" s="167" t="s">
        <v>1892</v>
      </c>
      <c r="D51" s="167" t="s">
        <v>1937</v>
      </c>
      <c r="E51" s="167" t="s">
        <v>1938</v>
      </c>
      <c r="F51" s="167" t="s">
        <v>79</v>
      </c>
      <c r="G51" s="167" t="s">
        <v>1877</v>
      </c>
      <c r="H51" s="167"/>
      <c r="I51" s="167"/>
      <c r="J51" s="167"/>
      <c r="K51" s="168" t="str">
        <f t="shared" si="14"/>
        <v>HIDDERLEY</v>
      </c>
      <c r="L51" s="168" t="str">
        <f t="shared" si="0"/>
        <v>SATTERTHWAITE</v>
      </c>
      <c r="M51" s="168">
        <f t="shared" si="1"/>
        <v>35736</v>
      </c>
      <c r="N51" s="168">
        <f t="shared" si="2"/>
        <v>31390</v>
      </c>
      <c r="O51" s="168" t="str">
        <f t="shared" si="3"/>
        <v>242597904</v>
      </c>
      <c r="P51" s="168" t="str">
        <f t="shared" si="4"/>
        <v>242597408</v>
      </c>
      <c r="Q51" s="167" t="s">
        <v>1880</v>
      </c>
      <c r="R51" s="167" t="s">
        <v>1881</v>
      </c>
      <c r="S51" s="167" t="s">
        <v>1882</v>
      </c>
      <c r="T51" s="167" t="s">
        <v>1883</v>
      </c>
      <c r="U51" s="167" t="s">
        <v>1884</v>
      </c>
      <c r="V51" s="167"/>
      <c r="W51" s="169" t="str">
        <f t="shared" si="5"/>
        <v>UAT-WF-User77@mailinator.com</v>
      </c>
      <c r="X51" s="167" t="str">
        <f t="shared" si="6"/>
        <v>Perf-Test-User-10183@mailinator.com</v>
      </c>
      <c r="Y51" s="168" t="str">
        <f t="shared" si="7"/>
        <v>Dummy!2024</v>
      </c>
      <c r="Z51" s="168" t="str">
        <f t="shared" si="8"/>
        <v>020-8030031</v>
      </c>
      <c r="AA51" s="167"/>
      <c r="AB51" s="167" t="s">
        <v>1853</v>
      </c>
      <c r="AQ51" s="166" t="str">
        <f t="shared" si="9"/>
        <v>UAT-WF-User77@mailinator.com</v>
      </c>
      <c r="AR51" s="166" t="str">
        <f t="shared" si="10"/>
        <v>Perf-Test-User-10183@mailinator.com</v>
      </c>
    </row>
    <row r="52" spans="1:44" ht="42.75" x14ac:dyDescent="0.25">
      <c r="A52" s="167" t="s">
        <v>1502</v>
      </c>
      <c r="B52" s="167" t="s">
        <v>1355</v>
      </c>
      <c r="C52" s="167" t="s">
        <v>1892</v>
      </c>
      <c r="D52" s="167" t="s">
        <v>1937</v>
      </c>
      <c r="E52" s="167" t="s">
        <v>1938</v>
      </c>
      <c r="F52" s="167" t="s">
        <v>36</v>
      </c>
      <c r="G52" s="167" t="s">
        <v>1887</v>
      </c>
      <c r="H52" s="167"/>
      <c r="I52" s="167"/>
      <c r="J52" s="167"/>
      <c r="K52" s="168" t="str">
        <f t="shared" si="14"/>
        <v>HIDDERLEY</v>
      </c>
      <c r="L52" s="168" t="str">
        <f t="shared" si="0"/>
        <v>SATTERTHWAITE</v>
      </c>
      <c r="M52" s="168">
        <f t="shared" si="1"/>
        <v>35736</v>
      </c>
      <c r="N52" s="168">
        <f t="shared" si="2"/>
        <v>31390</v>
      </c>
      <c r="O52" s="168" t="str">
        <f t="shared" si="3"/>
        <v>242597904</v>
      </c>
      <c r="P52" s="168" t="str">
        <f t="shared" si="4"/>
        <v>242597408</v>
      </c>
      <c r="Q52" s="167" t="s">
        <v>1880</v>
      </c>
      <c r="R52" s="167" t="s">
        <v>1881</v>
      </c>
      <c r="S52" s="167" t="s">
        <v>1882</v>
      </c>
      <c r="T52" s="167" t="s">
        <v>1883</v>
      </c>
      <c r="U52" s="167" t="s">
        <v>1884</v>
      </c>
      <c r="V52" s="167"/>
      <c r="W52" s="169" t="str">
        <f t="shared" si="5"/>
        <v>UAT-WF-User77@mailinator.com</v>
      </c>
      <c r="X52" s="167" t="str">
        <f t="shared" si="6"/>
        <v>Perf-Test-User-10183@mailinator.com</v>
      </c>
      <c r="Y52" s="168" t="str">
        <f t="shared" si="7"/>
        <v>Dummy!2024</v>
      </c>
      <c r="Z52" s="168" t="str">
        <f t="shared" si="8"/>
        <v>020-8030031</v>
      </c>
      <c r="AA52" s="167"/>
      <c r="AB52" s="167" t="s">
        <v>1853</v>
      </c>
      <c r="AQ52" s="166" t="str">
        <f t="shared" si="9"/>
        <v>UAT-WF-User77@mailinator.com</v>
      </c>
      <c r="AR52" s="166" t="str">
        <f t="shared" si="10"/>
        <v>Perf-Test-User-10183@mailinator.com</v>
      </c>
    </row>
    <row r="53" spans="1:44" ht="42.75" x14ac:dyDescent="0.25">
      <c r="A53" s="167" t="s">
        <v>1475</v>
      </c>
      <c r="B53" s="167" t="s">
        <v>1355</v>
      </c>
      <c r="C53" s="167" t="s">
        <v>1896</v>
      </c>
      <c r="D53" s="167" t="s">
        <v>1937</v>
      </c>
      <c r="E53" s="167" t="s">
        <v>1938</v>
      </c>
      <c r="F53" s="167" t="s">
        <v>36</v>
      </c>
      <c r="G53" s="167" t="s">
        <v>1893</v>
      </c>
      <c r="H53" s="167" t="s">
        <v>1852</v>
      </c>
      <c r="I53" s="167"/>
      <c r="J53" s="167"/>
      <c r="K53" s="168" t="str">
        <f t="shared" si="14"/>
        <v>HIDDERLEY</v>
      </c>
      <c r="L53" s="168" t="str">
        <f t="shared" si="0"/>
        <v>SATTERTHWAITE</v>
      </c>
      <c r="M53" s="168">
        <f t="shared" si="1"/>
        <v>35736</v>
      </c>
      <c r="N53" s="168">
        <f t="shared" si="2"/>
        <v>31390</v>
      </c>
      <c r="O53" s="168" t="str">
        <f t="shared" si="3"/>
        <v>242597904</v>
      </c>
      <c r="P53" s="168" t="str">
        <f t="shared" si="4"/>
        <v>242597408</v>
      </c>
      <c r="Q53" s="167" t="s">
        <v>1880</v>
      </c>
      <c r="R53" s="167" t="s">
        <v>1881</v>
      </c>
      <c r="S53" s="167" t="s">
        <v>1919</v>
      </c>
      <c r="T53" s="167" t="s">
        <v>1883</v>
      </c>
      <c r="U53" s="167" t="s">
        <v>1884</v>
      </c>
      <c r="V53" s="167"/>
      <c r="W53" s="169" t="str">
        <f t="shared" si="5"/>
        <v>UAT-WF-User77@mailinator.com</v>
      </c>
      <c r="X53" s="167" t="str">
        <f t="shared" si="6"/>
        <v>Perf-Test-User-10183@mailinator.com</v>
      </c>
      <c r="Y53" s="168" t="str">
        <f t="shared" si="7"/>
        <v>Dummy!2024</v>
      </c>
      <c r="Z53" s="168" t="str">
        <f t="shared" si="8"/>
        <v>020-8030031</v>
      </c>
      <c r="AA53" s="167"/>
      <c r="AB53" s="167" t="s">
        <v>1853</v>
      </c>
      <c r="AQ53" s="166" t="str">
        <f t="shared" si="9"/>
        <v>UAT-WF-User77@mailinator.com</v>
      </c>
      <c r="AR53" s="166" t="str">
        <f t="shared" si="10"/>
        <v>Perf-Test-User-10183@mailinator.com</v>
      </c>
    </row>
    <row r="54" spans="1:44" ht="42.75" x14ac:dyDescent="0.25">
      <c r="A54" s="167" t="s">
        <v>1473</v>
      </c>
      <c r="B54" s="167" t="s">
        <v>1355</v>
      </c>
      <c r="C54" s="167" t="s">
        <v>1886</v>
      </c>
      <c r="D54" s="167" t="s">
        <v>1937</v>
      </c>
      <c r="E54" s="167" t="s">
        <v>1938</v>
      </c>
      <c r="F54" s="167" t="s">
        <v>36</v>
      </c>
      <c r="G54" s="167" t="s">
        <v>1897</v>
      </c>
      <c r="H54" s="167" t="s">
        <v>1865</v>
      </c>
      <c r="I54" s="167"/>
      <c r="J54" s="167"/>
      <c r="K54" s="168" t="str">
        <f t="shared" si="14"/>
        <v>HIDDERLEY</v>
      </c>
      <c r="L54" s="168" t="str">
        <f t="shared" si="0"/>
        <v>SATTERTHWAITE</v>
      </c>
      <c r="M54" s="168">
        <f t="shared" si="1"/>
        <v>35736</v>
      </c>
      <c r="N54" s="168">
        <f t="shared" si="2"/>
        <v>31390</v>
      </c>
      <c r="O54" s="168" t="str">
        <f t="shared" si="3"/>
        <v>242597904</v>
      </c>
      <c r="P54" s="168" t="str">
        <f t="shared" si="4"/>
        <v>242597408</v>
      </c>
      <c r="Q54" s="167" t="s">
        <v>1880</v>
      </c>
      <c r="R54" s="167" t="s">
        <v>1881</v>
      </c>
      <c r="S54" s="167" t="s">
        <v>1921</v>
      </c>
      <c r="T54" s="167" t="s">
        <v>1883</v>
      </c>
      <c r="U54" s="167" t="s">
        <v>1884</v>
      </c>
      <c r="V54" s="167"/>
      <c r="W54" s="169" t="str">
        <f t="shared" si="5"/>
        <v>UAT-WF-User77@mailinator.com</v>
      </c>
      <c r="X54" s="167" t="str">
        <f t="shared" si="6"/>
        <v>Perf-Test-User-10183@mailinator.com</v>
      </c>
      <c r="Y54" s="168" t="str">
        <f t="shared" si="7"/>
        <v>Dummy!2024</v>
      </c>
      <c r="Z54" s="168" t="str">
        <f t="shared" si="8"/>
        <v>020-8030031</v>
      </c>
      <c r="AA54" s="167"/>
      <c r="AB54" s="167" t="s">
        <v>1853</v>
      </c>
      <c r="AQ54" s="166" t="str">
        <f t="shared" si="9"/>
        <v>UAT-WF-User77@mailinator.com</v>
      </c>
      <c r="AR54" s="166" t="str">
        <f t="shared" si="10"/>
        <v>Perf-Test-User-10183@mailinator.com</v>
      </c>
    </row>
    <row r="55" spans="1:44" ht="42.75" x14ac:dyDescent="0.25">
      <c r="A55" s="167" t="s">
        <v>1476</v>
      </c>
      <c r="B55" s="167" t="s">
        <v>1847</v>
      </c>
      <c r="C55" s="167" t="s">
        <v>1848</v>
      </c>
      <c r="D55" s="167" t="s">
        <v>1937</v>
      </c>
      <c r="E55" s="167" t="s">
        <v>1941</v>
      </c>
      <c r="F55" s="167"/>
      <c r="G55" s="167" t="s">
        <v>1852</v>
      </c>
      <c r="H55" s="167" t="s">
        <v>1852</v>
      </c>
      <c r="I55" s="167"/>
      <c r="J55" s="167"/>
      <c r="K55" s="168" t="str">
        <f t="shared" si="14"/>
        <v>KASTING</v>
      </c>
      <c r="L55" s="168" t="str">
        <f t="shared" si="0"/>
        <v>TERRELLY</v>
      </c>
      <c r="M55" s="168">
        <f t="shared" si="1"/>
        <v>21248</v>
      </c>
      <c r="N55" s="168">
        <f t="shared" si="2"/>
        <v>23480</v>
      </c>
      <c r="O55" s="168" t="str">
        <f t="shared" si="3"/>
        <v>242597653</v>
      </c>
      <c r="P55" s="168" t="str">
        <f t="shared" si="4"/>
        <v>242597947</v>
      </c>
      <c r="Q55" s="167"/>
      <c r="R55" s="167"/>
      <c r="S55" s="167"/>
      <c r="T55" s="167"/>
      <c r="U55" s="167"/>
      <c r="V55" s="167"/>
      <c r="W55" s="169" t="str">
        <f t="shared" si="5"/>
        <v>Perf-Test-User-112801@mailinator.com</v>
      </c>
      <c r="X55" s="167" t="str">
        <f t="shared" si="6"/>
        <v>Perf-Test-User-10208@mailinator.com</v>
      </c>
      <c r="Y55" s="168" t="str">
        <f t="shared" si="7"/>
        <v>Dummy!2022</v>
      </c>
      <c r="Z55" s="168" t="str">
        <f t="shared" si="8"/>
        <v>020-8010888</v>
      </c>
      <c r="AA55" s="167" t="s">
        <v>1942</v>
      </c>
      <c r="AB55" s="167" t="s">
        <v>1853</v>
      </c>
      <c r="AQ55" s="166" t="str">
        <f t="shared" si="9"/>
        <v>Perf-Test-User-112801@mailinator.com</v>
      </c>
      <c r="AR55" s="166" t="str">
        <f t="shared" si="10"/>
        <v>Perf-Test-User-10208@mailinator.com</v>
      </c>
    </row>
    <row r="56" spans="1:44" ht="42.75" x14ac:dyDescent="0.25">
      <c r="A56" s="167" t="s">
        <v>1943</v>
      </c>
      <c r="B56" s="167" t="s">
        <v>1858</v>
      </c>
      <c r="C56" s="167" t="s">
        <v>24</v>
      </c>
      <c r="D56" s="167" t="s">
        <v>1937</v>
      </c>
      <c r="E56" s="167" t="s">
        <v>1941</v>
      </c>
      <c r="F56" s="167"/>
      <c r="G56" s="167" t="s">
        <v>1851</v>
      </c>
      <c r="H56" s="167"/>
      <c r="I56" s="167"/>
      <c r="J56" s="167"/>
      <c r="K56" s="168" t="str">
        <f t="shared" si="14"/>
        <v>KASTING</v>
      </c>
      <c r="L56" s="168" t="str">
        <f t="shared" si="0"/>
        <v>TERRELLY</v>
      </c>
      <c r="M56" s="168">
        <f t="shared" si="1"/>
        <v>21248</v>
      </c>
      <c r="N56" s="168">
        <f t="shared" si="2"/>
        <v>23480</v>
      </c>
      <c r="O56" s="168" t="str">
        <f t="shared" si="3"/>
        <v>242597653</v>
      </c>
      <c r="P56" s="168" t="str">
        <f t="shared" si="4"/>
        <v>242597947</v>
      </c>
      <c r="Q56" s="167"/>
      <c r="R56" s="167"/>
      <c r="S56" s="167"/>
      <c r="T56" s="167"/>
      <c r="U56" s="167"/>
      <c r="V56" s="167"/>
      <c r="W56" s="169" t="str">
        <f t="shared" si="5"/>
        <v>Perf-Test-User-112801@mailinator.com</v>
      </c>
      <c r="X56" s="167" t="str">
        <f t="shared" si="6"/>
        <v>Perf-Test-User-10208@mailinator.com</v>
      </c>
      <c r="Y56" s="168" t="str">
        <f t="shared" si="7"/>
        <v>Dummy!2022</v>
      </c>
      <c r="Z56" s="168" t="str">
        <f t="shared" si="8"/>
        <v>020-8010888</v>
      </c>
      <c r="AA56" s="167" t="s">
        <v>1944</v>
      </c>
      <c r="AB56" s="167" t="s">
        <v>1853</v>
      </c>
      <c r="AQ56" s="166" t="str">
        <f t="shared" si="9"/>
        <v>Perf-Test-User-112801@mailinator.com</v>
      </c>
      <c r="AR56" s="166" t="str">
        <f t="shared" si="10"/>
        <v>Perf-Test-User-10208@mailinator.com</v>
      </c>
    </row>
    <row r="57" spans="1:44" ht="42.75" x14ac:dyDescent="0.25">
      <c r="A57" s="167" t="s">
        <v>1945</v>
      </c>
      <c r="B57" s="167" t="s">
        <v>1355</v>
      </c>
      <c r="C57" s="167" t="s">
        <v>1863</v>
      </c>
      <c r="D57" s="167" t="s">
        <v>1937</v>
      </c>
      <c r="E57" s="167" t="s">
        <v>1941</v>
      </c>
      <c r="F57" s="167"/>
      <c r="G57" s="167" t="s">
        <v>1859</v>
      </c>
      <c r="H57" s="167" t="s">
        <v>1865</v>
      </c>
      <c r="I57" s="167"/>
      <c r="J57" s="167"/>
      <c r="K57" s="168" t="str">
        <f t="shared" si="14"/>
        <v>KASTING</v>
      </c>
      <c r="L57" s="168" t="str">
        <f t="shared" si="0"/>
        <v>TERRELLY</v>
      </c>
      <c r="M57" s="168">
        <f t="shared" si="1"/>
        <v>21248</v>
      </c>
      <c r="N57" s="168">
        <f t="shared" si="2"/>
        <v>23480</v>
      </c>
      <c r="O57" s="168" t="str">
        <f t="shared" si="3"/>
        <v>242597653</v>
      </c>
      <c r="P57" s="168" t="str">
        <f t="shared" si="4"/>
        <v>242597947</v>
      </c>
      <c r="Q57" s="167"/>
      <c r="R57" s="167"/>
      <c r="S57" s="167"/>
      <c r="T57" s="167"/>
      <c r="U57" s="167"/>
      <c r="V57" s="167"/>
      <c r="W57" s="169" t="str">
        <f t="shared" si="5"/>
        <v>Perf-Test-User-112801@mailinator.com</v>
      </c>
      <c r="X57" s="167" t="str">
        <f t="shared" si="6"/>
        <v>Perf-Test-User-10208@mailinator.com</v>
      </c>
      <c r="Y57" s="168" t="str">
        <f t="shared" si="7"/>
        <v>Dummy!2022</v>
      </c>
      <c r="Z57" s="168" t="str">
        <f t="shared" si="8"/>
        <v>020-8010888</v>
      </c>
      <c r="AA57" s="167" t="s">
        <v>1946</v>
      </c>
      <c r="AB57" s="167" t="s">
        <v>1853</v>
      </c>
      <c r="AQ57" s="166" t="str">
        <f t="shared" si="9"/>
        <v>Perf-Test-User-112801@mailinator.com</v>
      </c>
      <c r="AR57" s="166" t="str">
        <f t="shared" si="10"/>
        <v>Perf-Test-User-10208@mailinator.com</v>
      </c>
    </row>
    <row r="58" spans="1:44" ht="42.75" x14ac:dyDescent="0.25">
      <c r="A58" s="167" t="s">
        <v>1947</v>
      </c>
      <c r="B58" s="167" t="s">
        <v>1355</v>
      </c>
      <c r="C58" s="167" t="s">
        <v>1870</v>
      </c>
      <c r="D58" s="167" t="s">
        <v>1937</v>
      </c>
      <c r="E58" s="167" t="s">
        <v>1941</v>
      </c>
      <c r="F58" s="167"/>
      <c r="G58" s="167" t="s">
        <v>1864</v>
      </c>
      <c r="H58" s="167" t="s">
        <v>1872</v>
      </c>
      <c r="I58" s="167"/>
      <c r="J58" s="167"/>
      <c r="K58" s="168" t="str">
        <f t="shared" si="14"/>
        <v>KASTING</v>
      </c>
      <c r="L58" s="168" t="str">
        <f t="shared" si="0"/>
        <v>TERRELLY</v>
      </c>
      <c r="M58" s="168">
        <f t="shared" si="1"/>
        <v>21248</v>
      </c>
      <c r="N58" s="168">
        <f t="shared" si="2"/>
        <v>23480</v>
      </c>
      <c r="O58" s="168" t="str">
        <f t="shared" si="3"/>
        <v>242597653</v>
      </c>
      <c r="P58" s="168" t="str">
        <f t="shared" si="4"/>
        <v>242597947</v>
      </c>
      <c r="Q58" s="167"/>
      <c r="R58" s="167"/>
      <c r="S58" s="167"/>
      <c r="T58" s="167"/>
      <c r="U58" s="167"/>
      <c r="V58" s="167"/>
      <c r="W58" s="169" t="str">
        <f t="shared" si="5"/>
        <v>Perf-Test-User-112801@mailinator.com</v>
      </c>
      <c r="X58" s="167" t="str">
        <f t="shared" si="6"/>
        <v>Perf-Test-User-10208@mailinator.com</v>
      </c>
      <c r="Y58" s="168" t="str">
        <f t="shared" si="7"/>
        <v>Dummy!2022</v>
      </c>
      <c r="Z58" s="168" t="str">
        <f t="shared" si="8"/>
        <v>020-8010888</v>
      </c>
      <c r="AA58" s="167" t="s">
        <v>1948</v>
      </c>
      <c r="AB58" s="167" t="s">
        <v>1853</v>
      </c>
      <c r="AQ58" s="166" t="str">
        <f t="shared" si="9"/>
        <v>Perf-Test-User-112801@mailinator.com</v>
      </c>
      <c r="AR58" s="166" t="str">
        <f t="shared" si="10"/>
        <v>Perf-Test-User-10208@mailinator.com</v>
      </c>
    </row>
    <row r="59" spans="1:44" ht="42.75" x14ac:dyDescent="0.25">
      <c r="A59" s="167" t="s">
        <v>1949</v>
      </c>
      <c r="B59" s="167" t="s">
        <v>1355</v>
      </c>
      <c r="C59" s="167" t="s">
        <v>1886</v>
      </c>
      <c r="D59" s="167" t="s">
        <v>1937</v>
      </c>
      <c r="E59" s="167" t="s">
        <v>1941</v>
      </c>
      <c r="F59" s="167" t="s">
        <v>79</v>
      </c>
      <c r="G59" s="167" t="s">
        <v>1871</v>
      </c>
      <c r="H59" s="167" t="s">
        <v>1852</v>
      </c>
      <c r="I59" s="167"/>
      <c r="J59" s="167"/>
      <c r="K59" s="168" t="str">
        <f t="shared" si="14"/>
        <v>KASTING</v>
      </c>
      <c r="L59" s="168" t="str">
        <f t="shared" si="0"/>
        <v>TERRELLY</v>
      </c>
      <c r="M59" s="168">
        <f t="shared" si="1"/>
        <v>21248</v>
      </c>
      <c r="N59" s="168">
        <f t="shared" si="2"/>
        <v>23480</v>
      </c>
      <c r="O59" s="168" t="str">
        <f t="shared" si="3"/>
        <v>242597653</v>
      </c>
      <c r="P59" s="168" t="str">
        <f t="shared" si="4"/>
        <v>242597947</v>
      </c>
      <c r="Q59" s="167" t="s">
        <v>1880</v>
      </c>
      <c r="R59" s="167" t="s">
        <v>1881</v>
      </c>
      <c r="S59" s="167" t="s">
        <v>1882</v>
      </c>
      <c r="T59" s="167" t="s">
        <v>1883</v>
      </c>
      <c r="U59" s="167" t="s">
        <v>1884</v>
      </c>
      <c r="V59" s="167"/>
      <c r="W59" s="169" t="str">
        <f t="shared" si="5"/>
        <v>Perf-Test-User-112801@mailinator.com</v>
      </c>
      <c r="X59" s="167" t="str">
        <f t="shared" si="6"/>
        <v>Perf-Test-User-10208@mailinator.com</v>
      </c>
      <c r="Y59" s="168" t="str">
        <f t="shared" si="7"/>
        <v>Dummy!2022</v>
      </c>
      <c r="Z59" s="168" t="str">
        <f t="shared" si="8"/>
        <v>020-8010888</v>
      </c>
      <c r="AA59" s="167" t="s">
        <v>1950</v>
      </c>
      <c r="AB59" s="167" t="s">
        <v>1853</v>
      </c>
      <c r="AQ59" s="166" t="str">
        <f t="shared" si="9"/>
        <v>Perf-Test-User-112801@mailinator.com</v>
      </c>
      <c r="AR59" s="166" t="str">
        <f t="shared" si="10"/>
        <v>Perf-Test-User-10208@mailinator.com</v>
      </c>
    </row>
    <row r="60" spans="1:44" ht="42.75" x14ac:dyDescent="0.25">
      <c r="A60" s="167" t="s">
        <v>1951</v>
      </c>
      <c r="B60" s="167" t="s">
        <v>1355</v>
      </c>
      <c r="C60" s="167" t="s">
        <v>1892</v>
      </c>
      <c r="D60" s="167" t="s">
        <v>1937</v>
      </c>
      <c r="E60" s="167" t="s">
        <v>1941</v>
      </c>
      <c r="F60" s="167" t="s">
        <v>79</v>
      </c>
      <c r="G60" s="167" t="s">
        <v>1877</v>
      </c>
      <c r="H60" s="167"/>
      <c r="I60" s="167"/>
      <c r="J60" s="167"/>
      <c r="K60" s="168" t="str">
        <f t="shared" si="14"/>
        <v>KASTING</v>
      </c>
      <c r="L60" s="168" t="str">
        <f t="shared" si="0"/>
        <v>TERRELLY</v>
      </c>
      <c r="M60" s="168">
        <f t="shared" si="1"/>
        <v>21248</v>
      </c>
      <c r="N60" s="168">
        <f t="shared" si="2"/>
        <v>23480</v>
      </c>
      <c r="O60" s="168" t="str">
        <f t="shared" si="3"/>
        <v>242597653</v>
      </c>
      <c r="P60" s="168" t="str">
        <f t="shared" si="4"/>
        <v>242597947</v>
      </c>
      <c r="Q60" s="167" t="s">
        <v>1880</v>
      </c>
      <c r="R60" s="167" t="s">
        <v>1881</v>
      </c>
      <c r="S60" s="167" t="s">
        <v>1882</v>
      </c>
      <c r="T60" s="167" t="s">
        <v>1883</v>
      </c>
      <c r="U60" s="167" t="s">
        <v>1884</v>
      </c>
      <c r="V60" s="167"/>
      <c r="W60" s="169" t="str">
        <f t="shared" si="5"/>
        <v>Perf-Test-User-112801@mailinator.com</v>
      </c>
      <c r="X60" s="167" t="str">
        <f t="shared" si="6"/>
        <v>Perf-Test-User-10208@mailinator.com</v>
      </c>
      <c r="Y60" s="168" t="str">
        <f t="shared" si="7"/>
        <v>Dummy!2022</v>
      </c>
      <c r="Z60" s="168" t="str">
        <f t="shared" si="8"/>
        <v>020-8010888</v>
      </c>
      <c r="AA60" s="167" t="s">
        <v>1952</v>
      </c>
      <c r="AB60" s="167" t="s">
        <v>1853</v>
      </c>
      <c r="AQ60" s="166" t="str">
        <f t="shared" si="9"/>
        <v>Perf-Test-User-112801@mailinator.com</v>
      </c>
      <c r="AR60" s="166" t="str">
        <f t="shared" si="10"/>
        <v>Perf-Test-User-10208@mailinator.com</v>
      </c>
    </row>
    <row r="61" spans="1:44" ht="42.75" x14ac:dyDescent="0.25">
      <c r="A61" s="167" t="s">
        <v>1953</v>
      </c>
      <c r="B61" s="167" t="s">
        <v>1355</v>
      </c>
      <c r="C61" s="167" t="s">
        <v>1892</v>
      </c>
      <c r="D61" s="167" t="s">
        <v>1937</v>
      </c>
      <c r="E61" s="167" t="s">
        <v>1941</v>
      </c>
      <c r="F61" s="167" t="s">
        <v>36</v>
      </c>
      <c r="G61" s="167" t="s">
        <v>1887</v>
      </c>
      <c r="H61" s="167"/>
      <c r="I61" s="167"/>
      <c r="J61" s="167"/>
      <c r="K61" s="168" t="str">
        <f t="shared" si="14"/>
        <v>KASTING</v>
      </c>
      <c r="L61" s="168" t="str">
        <f t="shared" si="0"/>
        <v>TERRELLY</v>
      </c>
      <c r="M61" s="168">
        <f t="shared" si="1"/>
        <v>21248</v>
      </c>
      <c r="N61" s="168">
        <f t="shared" si="2"/>
        <v>23480</v>
      </c>
      <c r="O61" s="168" t="str">
        <f t="shared" si="3"/>
        <v>242597653</v>
      </c>
      <c r="P61" s="168" t="str">
        <f t="shared" si="4"/>
        <v>242597947</v>
      </c>
      <c r="Q61" s="167" t="s">
        <v>1880</v>
      </c>
      <c r="R61" s="167" t="s">
        <v>1881</v>
      </c>
      <c r="S61" s="167" t="s">
        <v>1882</v>
      </c>
      <c r="T61" s="167" t="s">
        <v>1883</v>
      </c>
      <c r="U61" s="167" t="s">
        <v>1884</v>
      </c>
      <c r="V61" s="167"/>
      <c r="W61" s="169" t="str">
        <f t="shared" si="5"/>
        <v>Perf-Test-User-112801@mailinator.com</v>
      </c>
      <c r="X61" s="167" t="str">
        <f t="shared" si="6"/>
        <v>Perf-Test-User-10208@mailinator.com</v>
      </c>
      <c r="Y61" s="168" t="str">
        <f t="shared" si="7"/>
        <v>Dummy!2022</v>
      </c>
      <c r="Z61" s="168" t="str">
        <f t="shared" si="8"/>
        <v>020-8010888</v>
      </c>
      <c r="AA61" s="167" t="s">
        <v>1954</v>
      </c>
      <c r="AB61" s="167" t="s">
        <v>1853</v>
      </c>
      <c r="AQ61" s="166" t="str">
        <f t="shared" si="9"/>
        <v>Perf-Test-User-112801@mailinator.com</v>
      </c>
      <c r="AR61" s="166" t="str">
        <f t="shared" si="10"/>
        <v>Perf-Test-User-10208@mailinator.com</v>
      </c>
    </row>
    <row r="62" spans="1:44" ht="42.75" x14ac:dyDescent="0.25">
      <c r="A62" s="167" t="s">
        <v>1955</v>
      </c>
      <c r="B62" s="167" t="s">
        <v>1355</v>
      </c>
      <c r="C62" s="167" t="s">
        <v>1896</v>
      </c>
      <c r="D62" s="167" t="s">
        <v>1937</v>
      </c>
      <c r="E62" s="167" t="s">
        <v>1941</v>
      </c>
      <c r="F62" s="167" t="s">
        <v>36</v>
      </c>
      <c r="G62" s="167" t="s">
        <v>1893</v>
      </c>
      <c r="H62" s="167" t="s">
        <v>1852</v>
      </c>
      <c r="I62" s="167"/>
      <c r="J62" s="167"/>
      <c r="K62" s="168" t="str">
        <f t="shared" si="14"/>
        <v>KASTING</v>
      </c>
      <c r="L62" s="168" t="str">
        <f t="shared" si="0"/>
        <v>TERRELLY</v>
      </c>
      <c r="M62" s="168">
        <f t="shared" si="1"/>
        <v>21248</v>
      </c>
      <c r="N62" s="168">
        <f t="shared" si="2"/>
        <v>23480</v>
      </c>
      <c r="O62" s="168" t="str">
        <f t="shared" si="3"/>
        <v>242597653</v>
      </c>
      <c r="P62" s="168" t="str">
        <f t="shared" si="4"/>
        <v>242597947</v>
      </c>
      <c r="Q62" s="167" t="s">
        <v>1880</v>
      </c>
      <c r="R62" s="167" t="s">
        <v>1881</v>
      </c>
      <c r="S62" s="167" t="s">
        <v>1919</v>
      </c>
      <c r="T62" s="167" t="s">
        <v>1883</v>
      </c>
      <c r="U62" s="167" t="s">
        <v>1884</v>
      </c>
      <c r="V62" s="167"/>
      <c r="W62" s="169" t="str">
        <f t="shared" si="5"/>
        <v>Perf-Test-User-112801@mailinator.com</v>
      </c>
      <c r="X62" s="167" t="str">
        <f t="shared" si="6"/>
        <v>Perf-Test-User-10208@mailinator.com</v>
      </c>
      <c r="Y62" s="168" t="str">
        <f t="shared" si="7"/>
        <v>Dummy!2022</v>
      </c>
      <c r="Z62" s="168" t="str">
        <f t="shared" si="8"/>
        <v>020-8010888</v>
      </c>
      <c r="AA62" s="167" t="s">
        <v>1956</v>
      </c>
      <c r="AB62" s="167" t="s">
        <v>1853</v>
      </c>
      <c r="AQ62" s="166" t="str">
        <f t="shared" si="9"/>
        <v>Perf-Test-User-112801@mailinator.com</v>
      </c>
      <c r="AR62" s="166" t="str">
        <f t="shared" si="10"/>
        <v>Perf-Test-User-10208@mailinator.com</v>
      </c>
    </row>
    <row r="63" spans="1:44" ht="42.75" x14ac:dyDescent="0.25">
      <c r="A63" s="167" t="s">
        <v>1396</v>
      </c>
      <c r="B63" s="167" t="s">
        <v>1355</v>
      </c>
      <c r="C63" s="167" t="s">
        <v>1886</v>
      </c>
      <c r="D63" s="167" t="s">
        <v>1937</v>
      </c>
      <c r="E63" s="167" t="s">
        <v>1941</v>
      </c>
      <c r="F63" s="167" t="s">
        <v>36</v>
      </c>
      <c r="G63" s="167" t="s">
        <v>1897</v>
      </c>
      <c r="H63" s="167" t="s">
        <v>1865</v>
      </c>
      <c r="I63" s="167"/>
      <c r="J63" s="167"/>
      <c r="K63" s="168" t="str">
        <f t="shared" si="14"/>
        <v>KASTING</v>
      </c>
      <c r="L63" s="168" t="str">
        <f t="shared" si="0"/>
        <v>TERRELLY</v>
      </c>
      <c r="M63" s="168">
        <f t="shared" si="1"/>
        <v>21248</v>
      </c>
      <c r="N63" s="168">
        <f t="shared" si="2"/>
        <v>23480</v>
      </c>
      <c r="O63" s="168" t="str">
        <f t="shared" si="3"/>
        <v>242597653</v>
      </c>
      <c r="P63" s="168" t="str">
        <f t="shared" si="4"/>
        <v>242597947</v>
      </c>
      <c r="Q63" s="167" t="s">
        <v>1880</v>
      </c>
      <c r="R63" s="167" t="s">
        <v>1881</v>
      </c>
      <c r="S63" s="167" t="s">
        <v>1921</v>
      </c>
      <c r="T63" s="167" t="s">
        <v>1883</v>
      </c>
      <c r="U63" s="167" t="s">
        <v>1884</v>
      </c>
      <c r="V63" s="167"/>
      <c r="W63" s="169" t="str">
        <f t="shared" si="5"/>
        <v>Perf-Test-User-112801@mailinator.com</v>
      </c>
      <c r="X63" s="167" t="str">
        <f t="shared" si="6"/>
        <v>Perf-Test-User-10208@mailinator.com</v>
      </c>
      <c r="Y63" s="168" t="str">
        <f t="shared" si="7"/>
        <v>Dummy!2022</v>
      </c>
      <c r="Z63" s="168" t="str">
        <f t="shared" si="8"/>
        <v>020-8010888</v>
      </c>
      <c r="AA63" s="167" t="s">
        <v>1957</v>
      </c>
      <c r="AB63" s="167" t="s">
        <v>1853</v>
      </c>
      <c r="AQ63" s="166" t="str">
        <f t="shared" si="9"/>
        <v>Perf-Test-User-112801@mailinator.com</v>
      </c>
      <c r="AR63" s="166" t="str">
        <f t="shared" si="10"/>
        <v>Perf-Test-User-10208@mailinator.com</v>
      </c>
    </row>
    <row r="64" spans="1:44" ht="42.75" x14ac:dyDescent="0.25">
      <c r="A64" s="167" t="s">
        <v>1397</v>
      </c>
      <c r="B64" s="167" t="s">
        <v>1847</v>
      </c>
      <c r="C64" s="167" t="s">
        <v>1848</v>
      </c>
      <c r="D64" s="167" t="s">
        <v>1937</v>
      </c>
      <c r="E64" s="167" t="s">
        <v>1958</v>
      </c>
      <c r="F64" s="167"/>
      <c r="G64" s="167" t="s">
        <v>1852</v>
      </c>
      <c r="H64" s="167" t="s">
        <v>1852</v>
      </c>
      <c r="I64" s="167"/>
      <c r="J64" s="167"/>
      <c r="K64" s="168" t="str">
        <f t="shared" si="14"/>
        <v>HIDDERLEY</v>
      </c>
      <c r="L64" s="168" t="str">
        <f t="shared" si="0"/>
        <v>TERRELLY</v>
      </c>
      <c r="M64" s="168">
        <f t="shared" si="1"/>
        <v>35736</v>
      </c>
      <c r="N64" s="168">
        <f t="shared" si="2"/>
        <v>23480</v>
      </c>
      <c r="O64" s="168" t="str">
        <f t="shared" si="3"/>
        <v>242597904</v>
      </c>
      <c r="P64" s="168" t="str">
        <f t="shared" si="4"/>
        <v>242597947</v>
      </c>
      <c r="Q64" s="167"/>
      <c r="R64" s="167"/>
      <c r="S64" s="167"/>
      <c r="T64" s="167"/>
      <c r="U64" s="167"/>
      <c r="V64" s="167"/>
      <c r="W64" s="169" t="str">
        <f t="shared" si="5"/>
        <v>UAT-WF-User77@mailinator.com</v>
      </c>
      <c r="X64" s="167" t="str">
        <f t="shared" si="6"/>
        <v>Perf-Test-User-10208@mailinator.com</v>
      </c>
      <c r="Y64" s="168" t="str">
        <f t="shared" si="7"/>
        <v>Dummy!2024</v>
      </c>
      <c r="Z64" s="168" t="str">
        <f t="shared" si="8"/>
        <v>020-8030031</v>
      </c>
      <c r="AA64" s="167" t="s">
        <v>1959</v>
      </c>
      <c r="AB64" s="167" t="s">
        <v>1853</v>
      </c>
      <c r="AQ64" s="166" t="str">
        <f t="shared" si="9"/>
        <v>UAT-WF-User77@mailinator.com</v>
      </c>
      <c r="AR64" s="166" t="str">
        <f t="shared" si="10"/>
        <v>Perf-Test-User-10208@mailinator.com</v>
      </c>
    </row>
    <row r="65" spans="1:44" ht="42.75" x14ac:dyDescent="0.25">
      <c r="A65" s="167" t="s">
        <v>1960</v>
      </c>
      <c r="B65" s="167" t="s">
        <v>1858</v>
      </c>
      <c r="C65" s="167" t="s">
        <v>24</v>
      </c>
      <c r="D65" s="167" t="s">
        <v>1937</v>
      </c>
      <c r="E65" s="167" t="s">
        <v>1958</v>
      </c>
      <c r="F65" s="167"/>
      <c r="G65" s="167" t="s">
        <v>1851</v>
      </c>
      <c r="H65" s="167"/>
      <c r="I65" s="167"/>
      <c r="J65" s="167"/>
      <c r="K65" s="168" t="str">
        <f t="shared" si="14"/>
        <v>HIDDERLEY</v>
      </c>
      <c r="L65" s="168" t="str">
        <f t="shared" si="0"/>
        <v>TERRELLY</v>
      </c>
      <c r="M65" s="168">
        <f t="shared" si="1"/>
        <v>35736</v>
      </c>
      <c r="N65" s="168">
        <f t="shared" si="2"/>
        <v>23480</v>
      </c>
      <c r="O65" s="168" t="str">
        <f t="shared" si="3"/>
        <v>242597904</v>
      </c>
      <c r="P65" s="168" t="str">
        <f t="shared" si="4"/>
        <v>242597947</v>
      </c>
      <c r="Q65" s="167"/>
      <c r="R65" s="167"/>
      <c r="S65" s="167"/>
      <c r="T65" s="167"/>
      <c r="U65" s="167"/>
      <c r="V65" s="167"/>
      <c r="W65" s="169" t="str">
        <f t="shared" si="5"/>
        <v>UAT-WF-User77@mailinator.com</v>
      </c>
      <c r="X65" s="167" t="str">
        <f t="shared" si="6"/>
        <v>Perf-Test-User-10208@mailinator.com</v>
      </c>
      <c r="Y65" s="168" t="str">
        <f t="shared" si="7"/>
        <v>Dummy!2024</v>
      </c>
      <c r="Z65" s="168" t="str">
        <f t="shared" si="8"/>
        <v>020-8030031</v>
      </c>
      <c r="AA65" s="167" t="s">
        <v>1961</v>
      </c>
      <c r="AB65" s="167" t="s">
        <v>1853</v>
      </c>
      <c r="AQ65" s="166" t="str">
        <f t="shared" si="9"/>
        <v>UAT-WF-User77@mailinator.com</v>
      </c>
      <c r="AR65" s="166" t="str">
        <f t="shared" si="10"/>
        <v>Perf-Test-User-10208@mailinator.com</v>
      </c>
    </row>
    <row r="66" spans="1:44" ht="42.75" x14ac:dyDescent="0.25">
      <c r="A66" s="167" t="s">
        <v>1393</v>
      </c>
      <c r="B66" s="167" t="s">
        <v>1355</v>
      </c>
      <c r="C66" s="167" t="s">
        <v>1863</v>
      </c>
      <c r="D66" s="167" t="s">
        <v>1937</v>
      </c>
      <c r="E66" s="167" t="s">
        <v>1958</v>
      </c>
      <c r="F66" s="167"/>
      <c r="G66" s="167" t="s">
        <v>1859</v>
      </c>
      <c r="H66" s="167" t="s">
        <v>1865</v>
      </c>
      <c r="I66" s="167"/>
      <c r="J66" s="167"/>
      <c r="K66" s="168" t="str">
        <f t="shared" si="14"/>
        <v>HIDDERLEY</v>
      </c>
      <c r="L66" s="168" t="str">
        <f t="shared" ref="L66:L129" si="15">IF(X66=$AU$5, $AX$5,
IF(X66=$AU$3,$AX$3, ""))</f>
        <v>TERRELLY</v>
      </c>
      <c r="M66" s="168">
        <f t="shared" ref="M66:M129" si="16">IF(W66=$AU$4, $AW$4,
IF(W66=$AU$2,$AW$2, ""))</f>
        <v>35736</v>
      </c>
      <c r="N66" s="168">
        <f t="shared" ref="N66:N129" si="17">IF(X66=$AU$5, $AW$5,
IF(X66=$AU$3,$AW$3, ""))</f>
        <v>23480</v>
      </c>
      <c r="O66" s="168" t="str">
        <f t="shared" ref="O66:O129" si="18">IF(W66=$AU$4, $AV$4,
IF(W66=$AU$2,$AV$2, ""))</f>
        <v>242597904</v>
      </c>
      <c r="P66" s="168" t="str">
        <f t="shared" ref="P66:P129" si="19">IF(X66=$AU$5, $AV$5,
IF(X66=$AU$3,$AV$3, ""))</f>
        <v>242597947</v>
      </c>
      <c r="Q66" s="167"/>
      <c r="R66" s="167"/>
      <c r="S66" s="167"/>
      <c r="T66" s="167"/>
      <c r="U66" s="167"/>
      <c r="V66" s="167"/>
      <c r="W66" s="169" t="str">
        <f t="shared" ref="W66:W129" si="20">IF(E66="Y", $AU$4,
IF(E66="N",$AU$2,
IF(E66="Y,Y",  $AU$4,
IF(E66="N,N",$AU$2,
IF(E66="Y,N", $AU$4,
IF(E66="N,Y", $AU$2, ""))))))</f>
        <v>UAT-WF-User77@mailinator.com</v>
      </c>
      <c r="X66" s="167" t="str">
        <f t="shared" ref="X66:X129" si="21">IF(E66="Y,Y", $AU$5,
IF(E66="N,N", $AU$3,
IF(E66="Y,N", $AU$3,
IF(E66="N,Y",$AU$5, ""))))</f>
        <v>Perf-Test-User-10208@mailinator.com</v>
      </c>
      <c r="Y66" s="168" t="str">
        <f t="shared" ref="Y66:Y129" si="22">IF(W66=$AU$2, $AZ$2,
IF(W66=$AU$4,$AZ$4, ""))</f>
        <v>Dummy!2024</v>
      </c>
      <c r="Z66" s="168" t="str">
        <f t="shared" ref="Z66:Z129" si="23">IF(W66=$AU$4, $AY$4,
IF(W66=$AU$2,$AY$2, ""))</f>
        <v>020-8030031</v>
      </c>
      <c r="AA66" s="167" t="s">
        <v>1962</v>
      </c>
      <c r="AB66" s="167" t="s">
        <v>1853</v>
      </c>
      <c r="AQ66" s="166" t="str">
        <f t="shared" ref="AQ66:AQ129" si="24">IF(E66="Y", $AU$4,
IF(E66="N",$AU$2,
IF(E66="Y,Y",  $AU$4,
IF(E66="N,N",$AU$2,
IF(E66="Y,N", $AU$4,
IF(E66="N,Y", $AU$2, ""))))))</f>
        <v>UAT-WF-User77@mailinator.com</v>
      </c>
      <c r="AR66" s="166" t="str">
        <f t="shared" ref="AR66:AR129" si="25">IF(E66="Y,Y", $AU$5,
IF(E66="N,N", $AU$3,
IF(E66="Y,N", $AU$3,
IF(E66="N,Y",$AU$5, ""))))</f>
        <v>Perf-Test-User-10208@mailinator.com</v>
      </c>
    </row>
    <row r="67" spans="1:44" ht="42.75" x14ac:dyDescent="0.25">
      <c r="A67" s="167" t="s">
        <v>1394</v>
      </c>
      <c r="B67" s="167" t="s">
        <v>1355</v>
      </c>
      <c r="C67" s="167" t="s">
        <v>1870</v>
      </c>
      <c r="D67" s="167" t="s">
        <v>1937</v>
      </c>
      <c r="E67" s="167" t="s">
        <v>1958</v>
      </c>
      <c r="F67" s="167"/>
      <c r="G67" s="167" t="s">
        <v>1864</v>
      </c>
      <c r="H67" s="167" t="s">
        <v>1872</v>
      </c>
      <c r="I67" s="167"/>
      <c r="J67" s="167"/>
      <c r="K67" s="168" t="str">
        <f t="shared" si="14"/>
        <v>HIDDERLEY</v>
      </c>
      <c r="L67" s="168" t="str">
        <f t="shared" si="15"/>
        <v>TERRELLY</v>
      </c>
      <c r="M67" s="168">
        <f t="shared" si="16"/>
        <v>35736</v>
      </c>
      <c r="N67" s="168">
        <f t="shared" si="17"/>
        <v>23480</v>
      </c>
      <c r="O67" s="168" t="str">
        <f t="shared" si="18"/>
        <v>242597904</v>
      </c>
      <c r="P67" s="168" t="str">
        <f t="shared" si="19"/>
        <v>242597947</v>
      </c>
      <c r="Q67" s="167"/>
      <c r="R67" s="167"/>
      <c r="S67" s="167"/>
      <c r="T67" s="167"/>
      <c r="U67" s="167"/>
      <c r="V67" s="167"/>
      <c r="W67" s="169" t="str">
        <f t="shared" si="20"/>
        <v>UAT-WF-User77@mailinator.com</v>
      </c>
      <c r="X67" s="167" t="str">
        <f t="shared" si="21"/>
        <v>Perf-Test-User-10208@mailinator.com</v>
      </c>
      <c r="Y67" s="168" t="str">
        <f t="shared" si="22"/>
        <v>Dummy!2024</v>
      </c>
      <c r="Z67" s="168" t="str">
        <f t="shared" si="23"/>
        <v>020-8030031</v>
      </c>
      <c r="AA67" s="167" t="s">
        <v>1963</v>
      </c>
      <c r="AB67" s="167" t="s">
        <v>1853</v>
      </c>
      <c r="AQ67" s="166" t="str">
        <f t="shared" si="24"/>
        <v>UAT-WF-User77@mailinator.com</v>
      </c>
      <c r="AR67" s="166" t="str">
        <f t="shared" si="25"/>
        <v>Perf-Test-User-10208@mailinator.com</v>
      </c>
    </row>
    <row r="68" spans="1:44" ht="42.75" x14ac:dyDescent="0.25">
      <c r="A68" s="167" t="s">
        <v>1395</v>
      </c>
      <c r="B68" s="167" t="s">
        <v>1355</v>
      </c>
      <c r="C68" s="167" t="s">
        <v>1886</v>
      </c>
      <c r="D68" s="167" t="s">
        <v>1937</v>
      </c>
      <c r="E68" s="167" t="s">
        <v>1958</v>
      </c>
      <c r="F68" s="167" t="s">
        <v>79</v>
      </c>
      <c r="G68" s="167" t="s">
        <v>1871</v>
      </c>
      <c r="H68" s="167" t="s">
        <v>1852</v>
      </c>
      <c r="I68" s="167"/>
      <c r="J68" s="167"/>
      <c r="K68" s="168" t="str">
        <f t="shared" si="14"/>
        <v>HIDDERLEY</v>
      </c>
      <c r="L68" s="168" t="str">
        <f t="shared" si="15"/>
        <v>TERRELLY</v>
      </c>
      <c r="M68" s="168">
        <f t="shared" si="16"/>
        <v>35736</v>
      </c>
      <c r="N68" s="168">
        <f t="shared" si="17"/>
        <v>23480</v>
      </c>
      <c r="O68" s="168" t="str">
        <f t="shared" si="18"/>
        <v>242597904</v>
      </c>
      <c r="P68" s="168" t="str">
        <f t="shared" si="19"/>
        <v>242597947</v>
      </c>
      <c r="Q68" s="167" t="s">
        <v>1880</v>
      </c>
      <c r="R68" s="167" t="s">
        <v>1881</v>
      </c>
      <c r="S68" s="167" t="s">
        <v>1882</v>
      </c>
      <c r="T68" s="167" t="s">
        <v>1883</v>
      </c>
      <c r="U68" s="167" t="s">
        <v>1884</v>
      </c>
      <c r="V68" s="167"/>
      <c r="W68" s="169" t="str">
        <f t="shared" si="20"/>
        <v>UAT-WF-User77@mailinator.com</v>
      </c>
      <c r="X68" s="167" t="str">
        <f t="shared" si="21"/>
        <v>Perf-Test-User-10208@mailinator.com</v>
      </c>
      <c r="Y68" s="168" t="str">
        <f t="shared" si="22"/>
        <v>Dummy!2024</v>
      </c>
      <c r="Z68" s="168" t="str">
        <f t="shared" si="23"/>
        <v>020-8030031</v>
      </c>
      <c r="AA68" s="167" t="s">
        <v>1964</v>
      </c>
      <c r="AB68" s="167" t="s">
        <v>1853</v>
      </c>
      <c r="AQ68" s="166" t="str">
        <f t="shared" si="24"/>
        <v>UAT-WF-User77@mailinator.com</v>
      </c>
      <c r="AR68" s="166" t="str">
        <f t="shared" si="25"/>
        <v>Perf-Test-User-10208@mailinator.com</v>
      </c>
    </row>
    <row r="69" spans="1:44" ht="42.75" x14ac:dyDescent="0.25">
      <c r="A69" s="167" t="s">
        <v>1474</v>
      </c>
      <c r="B69" s="167" t="s">
        <v>1355</v>
      </c>
      <c r="C69" s="167" t="s">
        <v>1892</v>
      </c>
      <c r="D69" s="167" t="s">
        <v>1937</v>
      </c>
      <c r="E69" s="167" t="s">
        <v>1958</v>
      </c>
      <c r="F69" s="167" t="s">
        <v>79</v>
      </c>
      <c r="G69" s="167" t="s">
        <v>1877</v>
      </c>
      <c r="H69" s="167"/>
      <c r="I69" s="167"/>
      <c r="J69" s="167"/>
      <c r="K69" s="168" t="str">
        <f t="shared" si="14"/>
        <v>HIDDERLEY</v>
      </c>
      <c r="L69" s="168" t="str">
        <f t="shared" si="15"/>
        <v>TERRELLY</v>
      </c>
      <c r="M69" s="168">
        <f t="shared" si="16"/>
        <v>35736</v>
      </c>
      <c r="N69" s="168">
        <f t="shared" si="17"/>
        <v>23480</v>
      </c>
      <c r="O69" s="168" t="str">
        <f t="shared" si="18"/>
        <v>242597904</v>
      </c>
      <c r="P69" s="168" t="str">
        <f t="shared" si="19"/>
        <v>242597947</v>
      </c>
      <c r="Q69" s="167" t="s">
        <v>1880</v>
      </c>
      <c r="R69" s="167" t="s">
        <v>1881</v>
      </c>
      <c r="S69" s="167" t="s">
        <v>1882</v>
      </c>
      <c r="T69" s="167" t="s">
        <v>1883</v>
      </c>
      <c r="U69" s="167" t="s">
        <v>1884</v>
      </c>
      <c r="V69" s="167"/>
      <c r="W69" s="169" t="str">
        <f t="shared" si="20"/>
        <v>UAT-WF-User77@mailinator.com</v>
      </c>
      <c r="X69" s="167" t="str">
        <f t="shared" si="21"/>
        <v>Perf-Test-User-10208@mailinator.com</v>
      </c>
      <c r="Y69" s="168" t="str">
        <f t="shared" si="22"/>
        <v>Dummy!2024</v>
      </c>
      <c r="Z69" s="168" t="str">
        <f t="shared" si="23"/>
        <v>020-8030031</v>
      </c>
      <c r="AA69" s="167" t="s">
        <v>1965</v>
      </c>
      <c r="AB69" s="167" t="s">
        <v>1853</v>
      </c>
      <c r="AQ69" s="166" t="str">
        <f t="shared" si="24"/>
        <v>UAT-WF-User77@mailinator.com</v>
      </c>
      <c r="AR69" s="166" t="str">
        <f t="shared" si="25"/>
        <v>Perf-Test-User-10208@mailinator.com</v>
      </c>
    </row>
    <row r="70" spans="1:44" ht="42.75" x14ac:dyDescent="0.25">
      <c r="A70" s="167" t="s">
        <v>1966</v>
      </c>
      <c r="B70" s="167" t="s">
        <v>1355</v>
      </c>
      <c r="C70" s="167" t="s">
        <v>1892</v>
      </c>
      <c r="D70" s="167" t="s">
        <v>1937</v>
      </c>
      <c r="E70" s="167" t="s">
        <v>1958</v>
      </c>
      <c r="F70" s="167" t="s">
        <v>36</v>
      </c>
      <c r="G70" s="167" t="s">
        <v>1887</v>
      </c>
      <c r="H70" s="167"/>
      <c r="I70" s="167"/>
      <c r="J70" s="167"/>
      <c r="K70" s="168" t="str">
        <f t="shared" si="14"/>
        <v>HIDDERLEY</v>
      </c>
      <c r="L70" s="168" t="str">
        <f t="shared" si="15"/>
        <v>TERRELLY</v>
      </c>
      <c r="M70" s="168">
        <f t="shared" si="16"/>
        <v>35736</v>
      </c>
      <c r="N70" s="168">
        <f t="shared" si="17"/>
        <v>23480</v>
      </c>
      <c r="O70" s="168" t="str">
        <f t="shared" si="18"/>
        <v>242597904</v>
      </c>
      <c r="P70" s="168" t="str">
        <f t="shared" si="19"/>
        <v>242597947</v>
      </c>
      <c r="Q70" s="167" t="s">
        <v>1880</v>
      </c>
      <c r="R70" s="167" t="s">
        <v>1881</v>
      </c>
      <c r="S70" s="167" t="s">
        <v>1882</v>
      </c>
      <c r="T70" s="167" t="s">
        <v>1883</v>
      </c>
      <c r="U70" s="167" t="s">
        <v>1884</v>
      </c>
      <c r="V70" s="167"/>
      <c r="W70" s="169" t="str">
        <f t="shared" si="20"/>
        <v>UAT-WF-User77@mailinator.com</v>
      </c>
      <c r="X70" s="167" t="str">
        <f t="shared" si="21"/>
        <v>Perf-Test-User-10208@mailinator.com</v>
      </c>
      <c r="Y70" s="168" t="str">
        <f t="shared" si="22"/>
        <v>Dummy!2024</v>
      </c>
      <c r="Z70" s="168" t="str">
        <f t="shared" si="23"/>
        <v>020-8030031</v>
      </c>
      <c r="AA70" s="167" t="s">
        <v>1967</v>
      </c>
      <c r="AB70" s="167" t="s">
        <v>1853</v>
      </c>
      <c r="AQ70" s="166" t="str">
        <f t="shared" si="24"/>
        <v>UAT-WF-User77@mailinator.com</v>
      </c>
      <c r="AR70" s="166" t="str">
        <f t="shared" si="25"/>
        <v>Perf-Test-User-10208@mailinator.com</v>
      </c>
    </row>
    <row r="71" spans="1:44" ht="42.75" x14ac:dyDescent="0.25">
      <c r="A71" s="167" t="s">
        <v>1398</v>
      </c>
      <c r="B71" s="167" t="s">
        <v>1355</v>
      </c>
      <c r="C71" s="167" t="s">
        <v>1896</v>
      </c>
      <c r="D71" s="167" t="s">
        <v>1937</v>
      </c>
      <c r="E71" s="167" t="s">
        <v>1958</v>
      </c>
      <c r="F71" s="167" t="s">
        <v>36</v>
      </c>
      <c r="G71" s="167" t="s">
        <v>1893</v>
      </c>
      <c r="H71" s="167" t="s">
        <v>1852</v>
      </c>
      <c r="I71" s="167"/>
      <c r="J71" s="167"/>
      <c r="K71" s="168" t="str">
        <f t="shared" si="14"/>
        <v>HIDDERLEY</v>
      </c>
      <c r="L71" s="168" t="str">
        <f t="shared" si="15"/>
        <v>TERRELLY</v>
      </c>
      <c r="M71" s="168">
        <f t="shared" si="16"/>
        <v>35736</v>
      </c>
      <c r="N71" s="168">
        <f t="shared" si="17"/>
        <v>23480</v>
      </c>
      <c r="O71" s="168" t="str">
        <f t="shared" si="18"/>
        <v>242597904</v>
      </c>
      <c r="P71" s="168" t="str">
        <f t="shared" si="19"/>
        <v>242597947</v>
      </c>
      <c r="Q71" s="167" t="s">
        <v>1880</v>
      </c>
      <c r="R71" s="167" t="s">
        <v>1881</v>
      </c>
      <c r="S71" s="167" t="s">
        <v>1919</v>
      </c>
      <c r="T71" s="167" t="s">
        <v>1883</v>
      </c>
      <c r="U71" s="167" t="s">
        <v>1884</v>
      </c>
      <c r="V71" s="167"/>
      <c r="W71" s="169" t="str">
        <f t="shared" si="20"/>
        <v>UAT-WF-User77@mailinator.com</v>
      </c>
      <c r="X71" s="167" t="str">
        <f t="shared" si="21"/>
        <v>Perf-Test-User-10208@mailinator.com</v>
      </c>
      <c r="Y71" s="168" t="str">
        <f t="shared" si="22"/>
        <v>Dummy!2024</v>
      </c>
      <c r="Z71" s="168" t="str">
        <f t="shared" si="23"/>
        <v>020-8030031</v>
      </c>
      <c r="AA71" s="167" t="s">
        <v>1968</v>
      </c>
      <c r="AB71" s="167" t="s">
        <v>1853</v>
      </c>
      <c r="AQ71" s="166" t="str">
        <f t="shared" si="24"/>
        <v>UAT-WF-User77@mailinator.com</v>
      </c>
      <c r="AR71" s="166" t="str">
        <f t="shared" si="25"/>
        <v>Perf-Test-User-10208@mailinator.com</v>
      </c>
    </row>
    <row r="72" spans="1:44" ht="42.75" x14ac:dyDescent="0.25">
      <c r="A72" s="167" t="s">
        <v>1399</v>
      </c>
      <c r="B72" s="167" t="s">
        <v>1355</v>
      </c>
      <c r="C72" s="167" t="s">
        <v>1886</v>
      </c>
      <c r="D72" s="167" t="s">
        <v>1937</v>
      </c>
      <c r="E72" s="167" t="s">
        <v>1958</v>
      </c>
      <c r="F72" s="167" t="s">
        <v>36</v>
      </c>
      <c r="G72" s="167" t="s">
        <v>1897</v>
      </c>
      <c r="H72" s="167" t="s">
        <v>1865</v>
      </c>
      <c r="I72" s="167"/>
      <c r="J72" s="167"/>
      <c r="K72" s="168" t="str">
        <f t="shared" si="14"/>
        <v>HIDDERLEY</v>
      </c>
      <c r="L72" s="168" t="str">
        <f t="shared" si="15"/>
        <v>TERRELLY</v>
      </c>
      <c r="M72" s="168">
        <f t="shared" si="16"/>
        <v>35736</v>
      </c>
      <c r="N72" s="168">
        <f t="shared" si="17"/>
        <v>23480</v>
      </c>
      <c r="O72" s="168" t="str">
        <f t="shared" si="18"/>
        <v>242597904</v>
      </c>
      <c r="P72" s="168" t="str">
        <f t="shared" si="19"/>
        <v>242597947</v>
      </c>
      <c r="Q72" s="167" t="s">
        <v>1880</v>
      </c>
      <c r="R72" s="167" t="s">
        <v>1881</v>
      </c>
      <c r="S72" s="167" t="s">
        <v>1921</v>
      </c>
      <c r="T72" s="167" t="s">
        <v>1883</v>
      </c>
      <c r="U72" s="167" t="s">
        <v>1884</v>
      </c>
      <c r="V72" s="167"/>
      <c r="W72" s="169" t="str">
        <f t="shared" si="20"/>
        <v>UAT-WF-User77@mailinator.com</v>
      </c>
      <c r="X72" s="167" t="str">
        <f t="shared" si="21"/>
        <v>Perf-Test-User-10208@mailinator.com</v>
      </c>
      <c r="Y72" s="168" t="str">
        <f t="shared" si="22"/>
        <v>Dummy!2024</v>
      </c>
      <c r="Z72" s="168" t="str">
        <f t="shared" si="23"/>
        <v>020-8030031</v>
      </c>
      <c r="AA72" s="167" t="s">
        <v>1969</v>
      </c>
      <c r="AB72" s="167" t="s">
        <v>1853</v>
      </c>
      <c r="AQ72" s="166" t="str">
        <f t="shared" si="24"/>
        <v>UAT-WF-User77@mailinator.com</v>
      </c>
      <c r="AR72" s="166" t="str">
        <f t="shared" si="25"/>
        <v>Perf-Test-User-10208@mailinator.com</v>
      </c>
    </row>
    <row r="73" spans="1:44" ht="42.75" x14ac:dyDescent="0.25">
      <c r="A73" s="167" t="s">
        <v>1411</v>
      </c>
      <c r="B73" s="167" t="s">
        <v>1847</v>
      </c>
      <c r="C73" s="167" t="s">
        <v>1848</v>
      </c>
      <c r="D73" s="167" t="s">
        <v>1937</v>
      </c>
      <c r="E73" s="167" t="s">
        <v>1970</v>
      </c>
      <c r="F73" s="167"/>
      <c r="G73" s="167" t="s">
        <v>1852</v>
      </c>
      <c r="H73" s="167" t="s">
        <v>1852</v>
      </c>
      <c r="I73" s="167"/>
      <c r="J73" s="167"/>
      <c r="K73" s="168" t="str">
        <f t="shared" si="14"/>
        <v>KASTING</v>
      </c>
      <c r="L73" s="168" t="str">
        <f t="shared" si="15"/>
        <v>SATTERTHWAITE</v>
      </c>
      <c r="M73" s="168">
        <f t="shared" si="16"/>
        <v>21248</v>
      </c>
      <c r="N73" s="168">
        <f t="shared" si="17"/>
        <v>31390</v>
      </c>
      <c r="O73" s="168" t="str">
        <f t="shared" si="18"/>
        <v>242597653</v>
      </c>
      <c r="P73" s="168" t="str">
        <f t="shared" si="19"/>
        <v>242597408</v>
      </c>
      <c r="Q73" s="167"/>
      <c r="R73" s="167"/>
      <c r="S73" s="167"/>
      <c r="T73" s="167"/>
      <c r="U73" s="167"/>
      <c r="V73" s="167"/>
      <c r="W73" s="169" t="str">
        <f t="shared" si="20"/>
        <v>Perf-Test-User-112801@mailinator.com</v>
      </c>
      <c r="X73" s="167" t="str">
        <f t="shared" si="21"/>
        <v>Perf-Test-User-10183@mailinator.com</v>
      </c>
      <c r="Y73" s="168" t="str">
        <f t="shared" si="22"/>
        <v>Dummy!2022</v>
      </c>
      <c r="Z73" s="168" t="str">
        <f t="shared" si="23"/>
        <v>020-8010888</v>
      </c>
      <c r="AA73" s="167" t="s">
        <v>1971</v>
      </c>
      <c r="AB73" s="167" t="s">
        <v>1853</v>
      </c>
      <c r="AQ73" s="166" t="str">
        <f t="shared" si="24"/>
        <v>Perf-Test-User-112801@mailinator.com</v>
      </c>
      <c r="AR73" s="166" t="str">
        <f t="shared" si="25"/>
        <v>Perf-Test-User-10183@mailinator.com</v>
      </c>
    </row>
    <row r="74" spans="1:44" ht="42.75" x14ac:dyDescent="0.25">
      <c r="A74" s="167" t="s">
        <v>1972</v>
      </c>
      <c r="B74" s="167" t="s">
        <v>1858</v>
      </c>
      <c r="C74" s="167" t="s">
        <v>24</v>
      </c>
      <c r="D74" s="167" t="s">
        <v>1937</v>
      </c>
      <c r="E74" s="167" t="s">
        <v>1970</v>
      </c>
      <c r="F74" s="167"/>
      <c r="G74" s="167" t="s">
        <v>1851</v>
      </c>
      <c r="H74" s="167"/>
      <c r="I74" s="167"/>
      <c r="J74" s="167"/>
      <c r="K74" s="168" t="str">
        <f t="shared" si="14"/>
        <v>KASTING</v>
      </c>
      <c r="L74" s="168" t="str">
        <f t="shared" si="15"/>
        <v>SATTERTHWAITE</v>
      </c>
      <c r="M74" s="168">
        <f t="shared" si="16"/>
        <v>21248</v>
      </c>
      <c r="N74" s="168">
        <f t="shared" si="17"/>
        <v>31390</v>
      </c>
      <c r="O74" s="168" t="str">
        <f t="shared" si="18"/>
        <v>242597653</v>
      </c>
      <c r="P74" s="168" t="str">
        <f t="shared" si="19"/>
        <v>242597408</v>
      </c>
      <c r="Q74" s="167"/>
      <c r="R74" s="167"/>
      <c r="S74" s="167"/>
      <c r="T74" s="167"/>
      <c r="U74" s="167"/>
      <c r="V74" s="167"/>
      <c r="W74" s="169" t="str">
        <f t="shared" si="20"/>
        <v>Perf-Test-User-112801@mailinator.com</v>
      </c>
      <c r="X74" s="167" t="str">
        <f t="shared" si="21"/>
        <v>Perf-Test-User-10183@mailinator.com</v>
      </c>
      <c r="Y74" s="168" t="str">
        <f t="shared" si="22"/>
        <v>Dummy!2022</v>
      </c>
      <c r="Z74" s="168" t="str">
        <f t="shared" si="23"/>
        <v>020-8010888</v>
      </c>
      <c r="AA74" s="167" t="s">
        <v>1973</v>
      </c>
      <c r="AB74" s="167" t="s">
        <v>1853</v>
      </c>
      <c r="AQ74" s="166" t="str">
        <f t="shared" si="24"/>
        <v>Perf-Test-User-112801@mailinator.com</v>
      </c>
      <c r="AR74" s="166" t="str">
        <f t="shared" si="25"/>
        <v>Perf-Test-User-10183@mailinator.com</v>
      </c>
    </row>
    <row r="75" spans="1:44" ht="42.75" x14ac:dyDescent="0.25">
      <c r="A75" s="167" t="s">
        <v>1974</v>
      </c>
      <c r="B75" s="167" t="s">
        <v>1355</v>
      </c>
      <c r="C75" s="167" t="s">
        <v>1863</v>
      </c>
      <c r="D75" s="167" t="s">
        <v>1937</v>
      </c>
      <c r="E75" s="167" t="s">
        <v>1970</v>
      </c>
      <c r="F75" s="167"/>
      <c r="G75" s="167" t="s">
        <v>1859</v>
      </c>
      <c r="H75" s="167" t="s">
        <v>1865</v>
      </c>
      <c r="I75" s="167"/>
      <c r="J75" s="167"/>
      <c r="K75" s="168" t="str">
        <f t="shared" si="14"/>
        <v>KASTING</v>
      </c>
      <c r="L75" s="168" t="str">
        <f t="shared" si="15"/>
        <v>SATTERTHWAITE</v>
      </c>
      <c r="M75" s="168">
        <f t="shared" si="16"/>
        <v>21248</v>
      </c>
      <c r="N75" s="168">
        <f t="shared" si="17"/>
        <v>31390</v>
      </c>
      <c r="O75" s="168" t="str">
        <f t="shared" si="18"/>
        <v>242597653</v>
      </c>
      <c r="P75" s="168" t="str">
        <f t="shared" si="19"/>
        <v>242597408</v>
      </c>
      <c r="Q75" s="167"/>
      <c r="R75" s="167"/>
      <c r="S75" s="167"/>
      <c r="T75" s="167"/>
      <c r="U75" s="167"/>
      <c r="V75" s="167"/>
      <c r="W75" s="169" t="str">
        <f t="shared" si="20"/>
        <v>Perf-Test-User-112801@mailinator.com</v>
      </c>
      <c r="X75" s="167" t="str">
        <f t="shared" si="21"/>
        <v>Perf-Test-User-10183@mailinator.com</v>
      </c>
      <c r="Y75" s="168" t="str">
        <f t="shared" si="22"/>
        <v>Dummy!2022</v>
      </c>
      <c r="Z75" s="168" t="str">
        <f t="shared" si="23"/>
        <v>020-8010888</v>
      </c>
      <c r="AA75" s="167" t="s">
        <v>1975</v>
      </c>
      <c r="AB75" s="167" t="s">
        <v>1853</v>
      </c>
      <c r="AQ75" s="166" t="str">
        <f t="shared" si="24"/>
        <v>Perf-Test-User-112801@mailinator.com</v>
      </c>
      <c r="AR75" s="166" t="str">
        <f t="shared" si="25"/>
        <v>Perf-Test-User-10183@mailinator.com</v>
      </c>
    </row>
    <row r="76" spans="1:44" ht="42.75" x14ac:dyDescent="0.25">
      <c r="A76" s="167" t="s">
        <v>1976</v>
      </c>
      <c r="B76" s="167" t="s">
        <v>1355</v>
      </c>
      <c r="C76" s="167" t="s">
        <v>1870</v>
      </c>
      <c r="D76" s="167" t="s">
        <v>1937</v>
      </c>
      <c r="E76" s="167" t="s">
        <v>1970</v>
      </c>
      <c r="F76" s="167"/>
      <c r="G76" s="167" t="s">
        <v>1864</v>
      </c>
      <c r="H76" s="167" t="s">
        <v>1872</v>
      </c>
      <c r="I76" s="167"/>
      <c r="J76" s="167"/>
      <c r="K76" s="168" t="str">
        <f t="shared" si="14"/>
        <v>KASTING</v>
      </c>
      <c r="L76" s="168" t="str">
        <f t="shared" si="15"/>
        <v>SATTERTHWAITE</v>
      </c>
      <c r="M76" s="168">
        <f t="shared" si="16"/>
        <v>21248</v>
      </c>
      <c r="N76" s="168">
        <f t="shared" si="17"/>
        <v>31390</v>
      </c>
      <c r="O76" s="168" t="str">
        <f t="shared" si="18"/>
        <v>242597653</v>
      </c>
      <c r="P76" s="168" t="str">
        <f t="shared" si="19"/>
        <v>242597408</v>
      </c>
      <c r="Q76" s="167"/>
      <c r="R76" s="167"/>
      <c r="S76" s="167"/>
      <c r="T76" s="167"/>
      <c r="U76" s="167"/>
      <c r="V76" s="167"/>
      <c r="W76" s="169" t="str">
        <f t="shared" si="20"/>
        <v>Perf-Test-User-112801@mailinator.com</v>
      </c>
      <c r="X76" s="167" t="str">
        <f t="shared" si="21"/>
        <v>Perf-Test-User-10183@mailinator.com</v>
      </c>
      <c r="Y76" s="168" t="str">
        <f t="shared" si="22"/>
        <v>Dummy!2022</v>
      </c>
      <c r="Z76" s="168" t="str">
        <f t="shared" si="23"/>
        <v>020-8010888</v>
      </c>
      <c r="AA76" s="167" t="s">
        <v>1977</v>
      </c>
      <c r="AB76" s="167" t="s">
        <v>1853</v>
      </c>
      <c r="AQ76" s="166" t="str">
        <f t="shared" si="24"/>
        <v>Perf-Test-User-112801@mailinator.com</v>
      </c>
      <c r="AR76" s="166" t="str">
        <f t="shared" si="25"/>
        <v>Perf-Test-User-10183@mailinator.com</v>
      </c>
    </row>
    <row r="77" spans="1:44" ht="42.75" x14ac:dyDescent="0.25">
      <c r="A77" s="167" t="s">
        <v>1463</v>
      </c>
      <c r="B77" s="167" t="s">
        <v>1355</v>
      </c>
      <c r="C77" s="167" t="s">
        <v>1886</v>
      </c>
      <c r="D77" s="167" t="s">
        <v>1937</v>
      </c>
      <c r="E77" s="167" t="s">
        <v>1970</v>
      </c>
      <c r="F77" s="167" t="s">
        <v>79</v>
      </c>
      <c r="G77" s="167" t="s">
        <v>1871</v>
      </c>
      <c r="H77" s="167" t="s">
        <v>1852</v>
      </c>
      <c r="I77" s="167"/>
      <c r="J77" s="167"/>
      <c r="K77" s="168" t="str">
        <f t="shared" si="14"/>
        <v>KASTING</v>
      </c>
      <c r="L77" s="168" t="str">
        <f t="shared" si="15"/>
        <v>SATTERTHWAITE</v>
      </c>
      <c r="M77" s="168">
        <f t="shared" si="16"/>
        <v>21248</v>
      </c>
      <c r="N77" s="168">
        <f t="shared" si="17"/>
        <v>31390</v>
      </c>
      <c r="O77" s="168" t="str">
        <f t="shared" si="18"/>
        <v>242597653</v>
      </c>
      <c r="P77" s="168" t="str">
        <f t="shared" si="19"/>
        <v>242597408</v>
      </c>
      <c r="Q77" s="167" t="s">
        <v>1880</v>
      </c>
      <c r="R77" s="167" t="s">
        <v>1881</v>
      </c>
      <c r="S77" s="167" t="s">
        <v>1882</v>
      </c>
      <c r="T77" s="167" t="s">
        <v>1883</v>
      </c>
      <c r="U77" s="167" t="s">
        <v>1884</v>
      </c>
      <c r="V77" s="167"/>
      <c r="W77" s="169" t="str">
        <f t="shared" si="20"/>
        <v>Perf-Test-User-112801@mailinator.com</v>
      </c>
      <c r="X77" s="167" t="str">
        <f t="shared" si="21"/>
        <v>Perf-Test-User-10183@mailinator.com</v>
      </c>
      <c r="Y77" s="168" t="str">
        <f t="shared" si="22"/>
        <v>Dummy!2022</v>
      </c>
      <c r="Z77" s="168" t="str">
        <f t="shared" si="23"/>
        <v>020-8010888</v>
      </c>
      <c r="AA77" s="167" t="s">
        <v>1978</v>
      </c>
      <c r="AB77" s="167" t="s">
        <v>1853</v>
      </c>
      <c r="AQ77" s="166" t="str">
        <f t="shared" si="24"/>
        <v>Perf-Test-User-112801@mailinator.com</v>
      </c>
      <c r="AR77" s="166" t="str">
        <f t="shared" si="25"/>
        <v>Perf-Test-User-10183@mailinator.com</v>
      </c>
    </row>
    <row r="78" spans="1:44" ht="42.75" x14ac:dyDescent="0.25">
      <c r="A78" s="167" t="s">
        <v>1979</v>
      </c>
      <c r="B78" s="167" t="s">
        <v>1355</v>
      </c>
      <c r="C78" s="167" t="s">
        <v>1892</v>
      </c>
      <c r="D78" s="167" t="s">
        <v>1937</v>
      </c>
      <c r="E78" s="167" t="s">
        <v>1970</v>
      </c>
      <c r="F78" s="167" t="s">
        <v>79</v>
      </c>
      <c r="G78" s="167" t="s">
        <v>1877</v>
      </c>
      <c r="H78" s="167"/>
      <c r="I78" s="167"/>
      <c r="J78" s="167"/>
      <c r="K78" s="168" t="str">
        <f t="shared" si="14"/>
        <v>KASTING</v>
      </c>
      <c r="L78" s="168" t="str">
        <f t="shared" si="15"/>
        <v>SATTERTHWAITE</v>
      </c>
      <c r="M78" s="168">
        <f t="shared" si="16"/>
        <v>21248</v>
      </c>
      <c r="N78" s="168">
        <f t="shared" si="17"/>
        <v>31390</v>
      </c>
      <c r="O78" s="168" t="str">
        <f t="shared" si="18"/>
        <v>242597653</v>
      </c>
      <c r="P78" s="168" t="str">
        <f t="shared" si="19"/>
        <v>242597408</v>
      </c>
      <c r="Q78" s="167" t="s">
        <v>1880</v>
      </c>
      <c r="R78" s="167" t="s">
        <v>1881</v>
      </c>
      <c r="S78" s="167" t="s">
        <v>1882</v>
      </c>
      <c r="T78" s="167" t="s">
        <v>1883</v>
      </c>
      <c r="U78" s="167" t="s">
        <v>1884</v>
      </c>
      <c r="V78" s="167"/>
      <c r="W78" s="169" t="str">
        <f t="shared" si="20"/>
        <v>Perf-Test-User-112801@mailinator.com</v>
      </c>
      <c r="X78" s="167" t="str">
        <f t="shared" si="21"/>
        <v>Perf-Test-User-10183@mailinator.com</v>
      </c>
      <c r="Y78" s="168" t="str">
        <f t="shared" si="22"/>
        <v>Dummy!2022</v>
      </c>
      <c r="Z78" s="168" t="str">
        <f t="shared" si="23"/>
        <v>020-8010888</v>
      </c>
      <c r="AA78" s="167" t="s">
        <v>1980</v>
      </c>
      <c r="AB78" s="167" t="s">
        <v>1853</v>
      </c>
      <c r="AQ78" s="166" t="str">
        <f t="shared" si="24"/>
        <v>Perf-Test-User-112801@mailinator.com</v>
      </c>
      <c r="AR78" s="166" t="str">
        <f t="shared" si="25"/>
        <v>Perf-Test-User-10183@mailinator.com</v>
      </c>
    </row>
    <row r="79" spans="1:44" ht="42.75" x14ac:dyDescent="0.25">
      <c r="A79" s="167" t="s">
        <v>1981</v>
      </c>
      <c r="B79" s="167" t="s">
        <v>1355</v>
      </c>
      <c r="C79" s="167" t="s">
        <v>1892</v>
      </c>
      <c r="D79" s="167" t="s">
        <v>1937</v>
      </c>
      <c r="E79" s="167" t="s">
        <v>1970</v>
      </c>
      <c r="F79" s="167" t="s">
        <v>36</v>
      </c>
      <c r="G79" s="167" t="s">
        <v>1887</v>
      </c>
      <c r="H79" s="167"/>
      <c r="I79" s="167"/>
      <c r="J79" s="167"/>
      <c r="K79" s="168" t="str">
        <f t="shared" si="14"/>
        <v>KASTING</v>
      </c>
      <c r="L79" s="168" t="str">
        <f t="shared" si="15"/>
        <v>SATTERTHWAITE</v>
      </c>
      <c r="M79" s="168">
        <f t="shared" si="16"/>
        <v>21248</v>
      </c>
      <c r="N79" s="168">
        <f t="shared" si="17"/>
        <v>31390</v>
      </c>
      <c r="O79" s="168" t="str">
        <f t="shared" si="18"/>
        <v>242597653</v>
      </c>
      <c r="P79" s="168" t="str">
        <f t="shared" si="19"/>
        <v>242597408</v>
      </c>
      <c r="Q79" s="167" t="s">
        <v>1880</v>
      </c>
      <c r="R79" s="167" t="s">
        <v>1881</v>
      </c>
      <c r="S79" s="167" t="s">
        <v>1919</v>
      </c>
      <c r="T79" s="167" t="s">
        <v>1883</v>
      </c>
      <c r="U79" s="167" t="s">
        <v>1884</v>
      </c>
      <c r="V79" s="167"/>
      <c r="W79" s="169" t="str">
        <f t="shared" si="20"/>
        <v>Perf-Test-User-112801@mailinator.com</v>
      </c>
      <c r="X79" s="167" t="str">
        <f t="shared" si="21"/>
        <v>Perf-Test-User-10183@mailinator.com</v>
      </c>
      <c r="Y79" s="168" t="str">
        <f t="shared" si="22"/>
        <v>Dummy!2022</v>
      </c>
      <c r="Z79" s="168" t="str">
        <f t="shared" si="23"/>
        <v>020-8010888</v>
      </c>
      <c r="AA79" s="167" t="s">
        <v>1982</v>
      </c>
      <c r="AB79" s="167" t="s">
        <v>1853</v>
      </c>
      <c r="AQ79" s="166" t="str">
        <f t="shared" si="24"/>
        <v>Perf-Test-User-112801@mailinator.com</v>
      </c>
      <c r="AR79" s="166" t="str">
        <f t="shared" si="25"/>
        <v>Perf-Test-User-10183@mailinator.com</v>
      </c>
    </row>
    <row r="80" spans="1:44" ht="42.75" x14ac:dyDescent="0.25">
      <c r="A80" s="167" t="s">
        <v>1983</v>
      </c>
      <c r="B80" s="167" t="s">
        <v>1355</v>
      </c>
      <c r="C80" s="167" t="s">
        <v>1896</v>
      </c>
      <c r="D80" s="167" t="s">
        <v>1937</v>
      </c>
      <c r="E80" s="167" t="s">
        <v>1970</v>
      </c>
      <c r="F80" s="167" t="s">
        <v>36</v>
      </c>
      <c r="G80" s="167" t="s">
        <v>1893</v>
      </c>
      <c r="H80" s="167" t="s">
        <v>1852</v>
      </c>
      <c r="I80" s="167"/>
      <c r="J80" s="167"/>
      <c r="K80" s="168" t="str">
        <f t="shared" si="14"/>
        <v>KASTING</v>
      </c>
      <c r="L80" s="168" t="str">
        <f t="shared" si="15"/>
        <v>SATTERTHWAITE</v>
      </c>
      <c r="M80" s="168">
        <f t="shared" si="16"/>
        <v>21248</v>
      </c>
      <c r="N80" s="168">
        <f t="shared" si="17"/>
        <v>31390</v>
      </c>
      <c r="O80" s="168" t="str">
        <f t="shared" si="18"/>
        <v>242597653</v>
      </c>
      <c r="P80" s="168" t="str">
        <f t="shared" si="19"/>
        <v>242597408</v>
      </c>
      <c r="Q80" s="167" t="s">
        <v>1880</v>
      </c>
      <c r="R80" s="167" t="s">
        <v>1881</v>
      </c>
      <c r="S80" s="167" t="s">
        <v>1919</v>
      </c>
      <c r="T80" s="167" t="s">
        <v>1883</v>
      </c>
      <c r="U80" s="167" t="s">
        <v>1884</v>
      </c>
      <c r="V80" s="167"/>
      <c r="W80" s="169" t="str">
        <f t="shared" si="20"/>
        <v>Perf-Test-User-112801@mailinator.com</v>
      </c>
      <c r="X80" s="167" t="str">
        <f t="shared" si="21"/>
        <v>Perf-Test-User-10183@mailinator.com</v>
      </c>
      <c r="Y80" s="168" t="str">
        <f t="shared" si="22"/>
        <v>Dummy!2022</v>
      </c>
      <c r="Z80" s="168" t="str">
        <f t="shared" si="23"/>
        <v>020-8010888</v>
      </c>
      <c r="AA80" s="167" t="s">
        <v>1984</v>
      </c>
      <c r="AB80" s="167" t="s">
        <v>1853</v>
      </c>
      <c r="AQ80" s="166" t="str">
        <f t="shared" si="24"/>
        <v>Perf-Test-User-112801@mailinator.com</v>
      </c>
      <c r="AR80" s="166" t="str">
        <f t="shared" si="25"/>
        <v>Perf-Test-User-10183@mailinator.com</v>
      </c>
    </row>
    <row r="81" spans="1:44" ht="42.75" x14ac:dyDescent="0.25">
      <c r="A81" s="167" t="s">
        <v>1985</v>
      </c>
      <c r="B81" s="167" t="s">
        <v>1355</v>
      </c>
      <c r="C81" s="167" t="s">
        <v>1886</v>
      </c>
      <c r="D81" s="167" t="s">
        <v>1937</v>
      </c>
      <c r="E81" s="167" t="s">
        <v>1970</v>
      </c>
      <c r="F81" s="167" t="s">
        <v>36</v>
      </c>
      <c r="G81" s="167" t="s">
        <v>1897</v>
      </c>
      <c r="H81" s="167" t="s">
        <v>1865</v>
      </c>
      <c r="I81" s="167"/>
      <c r="J81" s="167"/>
      <c r="K81" s="168" t="str">
        <f t="shared" si="14"/>
        <v>KASTING</v>
      </c>
      <c r="L81" s="168" t="str">
        <f t="shared" si="15"/>
        <v>SATTERTHWAITE</v>
      </c>
      <c r="M81" s="168">
        <f t="shared" si="16"/>
        <v>21248</v>
      </c>
      <c r="N81" s="168">
        <f t="shared" si="17"/>
        <v>31390</v>
      </c>
      <c r="O81" s="168" t="str">
        <f t="shared" si="18"/>
        <v>242597653</v>
      </c>
      <c r="P81" s="168" t="str">
        <f t="shared" si="19"/>
        <v>242597408</v>
      </c>
      <c r="Q81" s="167" t="s">
        <v>1880</v>
      </c>
      <c r="R81" s="167" t="s">
        <v>1881</v>
      </c>
      <c r="S81" s="167" t="s">
        <v>1921</v>
      </c>
      <c r="T81" s="167" t="s">
        <v>1883</v>
      </c>
      <c r="U81" s="167" t="s">
        <v>1884</v>
      </c>
      <c r="V81" s="167"/>
      <c r="W81" s="169" t="str">
        <f t="shared" si="20"/>
        <v>Perf-Test-User-112801@mailinator.com</v>
      </c>
      <c r="X81" s="167" t="str">
        <f t="shared" si="21"/>
        <v>Perf-Test-User-10183@mailinator.com</v>
      </c>
      <c r="Y81" s="168" t="str">
        <f t="shared" si="22"/>
        <v>Dummy!2022</v>
      </c>
      <c r="Z81" s="168" t="str">
        <f t="shared" si="23"/>
        <v>020-8010888</v>
      </c>
      <c r="AA81" s="167" t="s">
        <v>1986</v>
      </c>
      <c r="AB81" s="167" t="s">
        <v>1853</v>
      </c>
      <c r="AQ81" s="166" t="str">
        <f t="shared" si="24"/>
        <v>Perf-Test-User-112801@mailinator.com</v>
      </c>
      <c r="AR81" s="166" t="str">
        <f t="shared" si="25"/>
        <v>Perf-Test-User-10183@mailinator.com</v>
      </c>
    </row>
    <row r="82" spans="1:44" ht="42.75" x14ac:dyDescent="0.25">
      <c r="A82" s="167" t="s">
        <v>1987</v>
      </c>
      <c r="B82" s="167" t="s">
        <v>1847</v>
      </c>
      <c r="C82" s="167" t="s">
        <v>1848</v>
      </c>
      <c r="D82" s="167" t="s">
        <v>1988</v>
      </c>
      <c r="E82" s="167" t="s">
        <v>1938</v>
      </c>
      <c r="F82" s="167"/>
      <c r="G82" s="167" t="s">
        <v>1852</v>
      </c>
      <c r="H82" s="167" t="s">
        <v>1852</v>
      </c>
      <c r="I82" s="167"/>
      <c r="J82" s="167"/>
      <c r="K82" s="168" t="str">
        <f t="shared" si="14"/>
        <v>HIDDERLEY</v>
      </c>
      <c r="L82" s="168" t="str">
        <f t="shared" si="15"/>
        <v>SATTERTHWAITE</v>
      </c>
      <c r="M82" s="168">
        <f t="shared" si="16"/>
        <v>35736</v>
      </c>
      <c r="N82" s="168">
        <f t="shared" si="17"/>
        <v>31390</v>
      </c>
      <c r="O82" s="168" t="str">
        <f t="shared" si="18"/>
        <v>242597904</v>
      </c>
      <c r="P82" s="168" t="str">
        <f t="shared" si="19"/>
        <v>242597408</v>
      </c>
      <c r="Q82" s="167"/>
      <c r="R82" s="167"/>
      <c r="S82" s="167"/>
      <c r="T82" s="167"/>
      <c r="U82" s="167"/>
      <c r="V82" s="167"/>
      <c r="W82" s="169" t="str">
        <f t="shared" si="20"/>
        <v>UAT-WF-User77@mailinator.com</v>
      </c>
      <c r="X82" s="167" t="str">
        <f t="shared" si="21"/>
        <v>Perf-Test-User-10183@mailinator.com</v>
      </c>
      <c r="Y82" s="168" t="str">
        <f t="shared" si="22"/>
        <v>Dummy!2024</v>
      </c>
      <c r="Z82" s="168" t="str">
        <f t="shared" si="23"/>
        <v>020-8030031</v>
      </c>
      <c r="AA82" s="175"/>
      <c r="AB82" s="167" t="s">
        <v>1853</v>
      </c>
      <c r="AQ82" s="166" t="str">
        <f t="shared" si="24"/>
        <v>UAT-WF-User77@mailinator.com</v>
      </c>
      <c r="AR82" s="166" t="str">
        <f t="shared" si="25"/>
        <v>Perf-Test-User-10183@mailinator.com</v>
      </c>
    </row>
    <row r="83" spans="1:44" ht="42.75" x14ac:dyDescent="0.25">
      <c r="A83" s="167" t="s">
        <v>1989</v>
      </c>
      <c r="B83" s="167" t="s">
        <v>1858</v>
      </c>
      <c r="C83" s="167" t="s">
        <v>24</v>
      </c>
      <c r="D83" s="167" t="s">
        <v>1988</v>
      </c>
      <c r="E83" s="167" t="s">
        <v>1938</v>
      </c>
      <c r="F83" s="167"/>
      <c r="G83" s="167" t="s">
        <v>1851</v>
      </c>
      <c r="H83" s="167"/>
      <c r="I83" s="167"/>
      <c r="J83" s="167"/>
      <c r="K83" s="168" t="str">
        <f t="shared" si="14"/>
        <v>HIDDERLEY</v>
      </c>
      <c r="L83" s="168" t="str">
        <f t="shared" si="15"/>
        <v>SATTERTHWAITE</v>
      </c>
      <c r="M83" s="168">
        <f t="shared" si="16"/>
        <v>35736</v>
      </c>
      <c r="N83" s="168">
        <f t="shared" si="17"/>
        <v>31390</v>
      </c>
      <c r="O83" s="168" t="str">
        <f t="shared" si="18"/>
        <v>242597904</v>
      </c>
      <c r="P83" s="168" t="str">
        <f t="shared" si="19"/>
        <v>242597408</v>
      </c>
      <c r="Q83" s="167"/>
      <c r="R83" s="167"/>
      <c r="S83" s="167"/>
      <c r="T83" s="167"/>
      <c r="U83" s="167"/>
      <c r="V83" s="167"/>
      <c r="W83" s="169" t="str">
        <f t="shared" si="20"/>
        <v>UAT-WF-User77@mailinator.com</v>
      </c>
      <c r="X83" s="167" t="str">
        <f t="shared" si="21"/>
        <v>Perf-Test-User-10183@mailinator.com</v>
      </c>
      <c r="Y83" s="168" t="str">
        <f t="shared" si="22"/>
        <v>Dummy!2024</v>
      </c>
      <c r="Z83" s="168" t="str">
        <f t="shared" si="23"/>
        <v>020-8030031</v>
      </c>
      <c r="AA83" s="175"/>
      <c r="AB83" s="167" t="s">
        <v>1853</v>
      </c>
      <c r="AQ83" s="166" t="str">
        <f t="shared" si="24"/>
        <v>UAT-WF-User77@mailinator.com</v>
      </c>
      <c r="AR83" s="166" t="str">
        <f t="shared" si="25"/>
        <v>Perf-Test-User-10183@mailinator.com</v>
      </c>
    </row>
    <row r="84" spans="1:44" ht="42.75" x14ac:dyDescent="0.25">
      <c r="A84" s="167" t="s">
        <v>1990</v>
      </c>
      <c r="B84" s="167" t="s">
        <v>1355</v>
      </c>
      <c r="C84" s="167" t="s">
        <v>1863</v>
      </c>
      <c r="D84" s="167" t="s">
        <v>1988</v>
      </c>
      <c r="E84" s="167" t="s">
        <v>1938</v>
      </c>
      <c r="F84" s="167"/>
      <c r="G84" s="167" t="s">
        <v>1859</v>
      </c>
      <c r="H84" s="167" t="s">
        <v>1865</v>
      </c>
      <c r="I84" s="167"/>
      <c r="J84" s="167"/>
      <c r="K84" s="168" t="str">
        <f t="shared" si="14"/>
        <v>HIDDERLEY</v>
      </c>
      <c r="L84" s="168" t="str">
        <f t="shared" si="15"/>
        <v>SATTERTHWAITE</v>
      </c>
      <c r="M84" s="168">
        <f t="shared" si="16"/>
        <v>35736</v>
      </c>
      <c r="N84" s="168">
        <f t="shared" si="17"/>
        <v>31390</v>
      </c>
      <c r="O84" s="168" t="str">
        <f t="shared" si="18"/>
        <v>242597904</v>
      </c>
      <c r="P84" s="168" t="str">
        <f t="shared" si="19"/>
        <v>242597408</v>
      </c>
      <c r="Q84" s="167"/>
      <c r="R84" s="167"/>
      <c r="S84" s="167"/>
      <c r="T84" s="167"/>
      <c r="U84" s="167"/>
      <c r="V84" s="167"/>
      <c r="W84" s="169" t="str">
        <f t="shared" si="20"/>
        <v>UAT-WF-User77@mailinator.com</v>
      </c>
      <c r="X84" s="167" t="str">
        <f t="shared" si="21"/>
        <v>Perf-Test-User-10183@mailinator.com</v>
      </c>
      <c r="Y84" s="168" t="str">
        <f t="shared" si="22"/>
        <v>Dummy!2024</v>
      </c>
      <c r="Z84" s="168" t="str">
        <f t="shared" si="23"/>
        <v>020-8030031</v>
      </c>
      <c r="AA84" s="175"/>
      <c r="AB84" s="167" t="s">
        <v>1853</v>
      </c>
      <c r="AQ84" s="166" t="str">
        <f t="shared" si="24"/>
        <v>UAT-WF-User77@mailinator.com</v>
      </c>
      <c r="AR84" s="166" t="str">
        <f t="shared" si="25"/>
        <v>Perf-Test-User-10183@mailinator.com</v>
      </c>
    </row>
    <row r="85" spans="1:44" ht="42.75" x14ac:dyDescent="0.25">
      <c r="A85" s="167" t="s">
        <v>1991</v>
      </c>
      <c r="B85" s="167" t="s">
        <v>1355</v>
      </c>
      <c r="C85" s="167" t="s">
        <v>1870</v>
      </c>
      <c r="D85" s="167" t="s">
        <v>1988</v>
      </c>
      <c r="E85" s="167" t="s">
        <v>1938</v>
      </c>
      <c r="F85" s="167"/>
      <c r="G85" s="167" t="s">
        <v>1864</v>
      </c>
      <c r="H85" s="167" t="s">
        <v>1872</v>
      </c>
      <c r="I85" s="167"/>
      <c r="J85" s="167"/>
      <c r="K85" s="168" t="str">
        <f t="shared" si="14"/>
        <v>HIDDERLEY</v>
      </c>
      <c r="L85" s="168" t="str">
        <f t="shared" si="15"/>
        <v>SATTERTHWAITE</v>
      </c>
      <c r="M85" s="168">
        <f t="shared" si="16"/>
        <v>35736</v>
      </c>
      <c r="N85" s="168">
        <f t="shared" si="17"/>
        <v>31390</v>
      </c>
      <c r="O85" s="168" t="str">
        <f t="shared" si="18"/>
        <v>242597904</v>
      </c>
      <c r="P85" s="168" t="str">
        <f t="shared" si="19"/>
        <v>242597408</v>
      </c>
      <c r="Q85" s="167"/>
      <c r="R85" s="167"/>
      <c r="S85" s="167"/>
      <c r="T85" s="167"/>
      <c r="U85" s="167"/>
      <c r="V85" s="167"/>
      <c r="W85" s="169" t="str">
        <f t="shared" si="20"/>
        <v>UAT-WF-User77@mailinator.com</v>
      </c>
      <c r="X85" s="167" t="str">
        <f t="shared" si="21"/>
        <v>Perf-Test-User-10183@mailinator.com</v>
      </c>
      <c r="Y85" s="168" t="str">
        <f t="shared" si="22"/>
        <v>Dummy!2024</v>
      </c>
      <c r="Z85" s="168" t="str">
        <f t="shared" si="23"/>
        <v>020-8030031</v>
      </c>
      <c r="AA85" s="175"/>
      <c r="AB85" s="167" t="s">
        <v>1853</v>
      </c>
      <c r="AQ85" s="166" t="str">
        <f t="shared" si="24"/>
        <v>UAT-WF-User77@mailinator.com</v>
      </c>
      <c r="AR85" s="166" t="str">
        <f t="shared" si="25"/>
        <v>Perf-Test-User-10183@mailinator.com</v>
      </c>
    </row>
    <row r="86" spans="1:44" ht="42.75" x14ac:dyDescent="0.25">
      <c r="A86" s="167" t="s">
        <v>1992</v>
      </c>
      <c r="B86" s="167" t="s">
        <v>1355</v>
      </c>
      <c r="C86" s="167" t="s">
        <v>1886</v>
      </c>
      <c r="D86" s="167" t="s">
        <v>1988</v>
      </c>
      <c r="E86" s="167" t="s">
        <v>1938</v>
      </c>
      <c r="F86" s="167" t="s">
        <v>79</v>
      </c>
      <c r="G86" s="167" t="s">
        <v>1871</v>
      </c>
      <c r="H86" s="167" t="s">
        <v>1852</v>
      </c>
      <c r="I86" s="167"/>
      <c r="J86" s="167"/>
      <c r="K86" s="168" t="str">
        <f t="shared" si="14"/>
        <v>HIDDERLEY</v>
      </c>
      <c r="L86" s="168" t="str">
        <f t="shared" si="15"/>
        <v>SATTERTHWAITE</v>
      </c>
      <c r="M86" s="168">
        <f t="shared" si="16"/>
        <v>35736</v>
      </c>
      <c r="N86" s="168">
        <f t="shared" si="17"/>
        <v>31390</v>
      </c>
      <c r="O86" s="168" t="str">
        <f t="shared" si="18"/>
        <v>242597904</v>
      </c>
      <c r="P86" s="168" t="str">
        <f t="shared" si="19"/>
        <v>242597408</v>
      </c>
      <c r="Q86" s="167" t="s">
        <v>1880</v>
      </c>
      <c r="R86" s="167" t="s">
        <v>1881</v>
      </c>
      <c r="S86" s="167" t="s">
        <v>1882</v>
      </c>
      <c r="T86" s="167" t="s">
        <v>1883</v>
      </c>
      <c r="U86" s="167" t="s">
        <v>1884</v>
      </c>
      <c r="V86" s="167"/>
      <c r="W86" s="169" t="str">
        <f t="shared" si="20"/>
        <v>UAT-WF-User77@mailinator.com</v>
      </c>
      <c r="X86" s="167" t="str">
        <f t="shared" si="21"/>
        <v>Perf-Test-User-10183@mailinator.com</v>
      </c>
      <c r="Y86" s="168" t="str">
        <f t="shared" si="22"/>
        <v>Dummy!2024</v>
      </c>
      <c r="Z86" s="168" t="str">
        <f t="shared" si="23"/>
        <v>020-8030031</v>
      </c>
      <c r="AA86" s="167"/>
      <c r="AB86" s="167" t="s">
        <v>1853</v>
      </c>
      <c r="AQ86" s="166" t="str">
        <f t="shared" si="24"/>
        <v>UAT-WF-User77@mailinator.com</v>
      </c>
      <c r="AR86" s="166" t="str">
        <f t="shared" si="25"/>
        <v>Perf-Test-User-10183@mailinator.com</v>
      </c>
    </row>
    <row r="87" spans="1:44" ht="42.75" x14ac:dyDescent="0.25">
      <c r="A87" s="167" t="s">
        <v>1993</v>
      </c>
      <c r="B87" s="167" t="s">
        <v>1355</v>
      </c>
      <c r="C87" s="167" t="s">
        <v>1892</v>
      </c>
      <c r="D87" s="167" t="s">
        <v>1988</v>
      </c>
      <c r="E87" s="167" t="s">
        <v>1938</v>
      </c>
      <c r="F87" s="167" t="s">
        <v>79</v>
      </c>
      <c r="G87" s="167" t="s">
        <v>1877</v>
      </c>
      <c r="H87" s="167"/>
      <c r="I87" s="167"/>
      <c r="J87" s="167"/>
      <c r="K87" s="168" t="str">
        <f t="shared" si="14"/>
        <v>HIDDERLEY</v>
      </c>
      <c r="L87" s="168" t="str">
        <f t="shared" si="15"/>
        <v>SATTERTHWAITE</v>
      </c>
      <c r="M87" s="168">
        <f t="shared" si="16"/>
        <v>35736</v>
      </c>
      <c r="N87" s="168">
        <f t="shared" si="17"/>
        <v>31390</v>
      </c>
      <c r="O87" s="168" t="str">
        <f t="shared" si="18"/>
        <v>242597904</v>
      </c>
      <c r="P87" s="168" t="str">
        <f t="shared" si="19"/>
        <v>242597408</v>
      </c>
      <c r="Q87" s="167" t="s">
        <v>1880</v>
      </c>
      <c r="R87" s="167" t="s">
        <v>1881</v>
      </c>
      <c r="S87" s="167" t="s">
        <v>1882</v>
      </c>
      <c r="T87" s="167" t="s">
        <v>1883</v>
      </c>
      <c r="U87" s="167" t="s">
        <v>1884</v>
      </c>
      <c r="V87" s="167"/>
      <c r="W87" s="169" t="str">
        <f t="shared" si="20"/>
        <v>UAT-WF-User77@mailinator.com</v>
      </c>
      <c r="X87" s="167" t="str">
        <f t="shared" si="21"/>
        <v>Perf-Test-User-10183@mailinator.com</v>
      </c>
      <c r="Y87" s="168" t="str">
        <f t="shared" si="22"/>
        <v>Dummy!2024</v>
      </c>
      <c r="Z87" s="168" t="str">
        <f t="shared" si="23"/>
        <v>020-8030031</v>
      </c>
      <c r="AA87" s="167"/>
      <c r="AB87" s="167" t="s">
        <v>1853</v>
      </c>
      <c r="AQ87" s="166" t="str">
        <f t="shared" si="24"/>
        <v>UAT-WF-User77@mailinator.com</v>
      </c>
      <c r="AR87" s="166" t="str">
        <f t="shared" si="25"/>
        <v>Perf-Test-User-10183@mailinator.com</v>
      </c>
    </row>
    <row r="88" spans="1:44" ht="42.75" x14ac:dyDescent="0.25">
      <c r="A88" s="167" t="s">
        <v>1994</v>
      </c>
      <c r="B88" s="167" t="s">
        <v>1355</v>
      </c>
      <c r="C88" s="167" t="s">
        <v>1892</v>
      </c>
      <c r="D88" s="167" t="s">
        <v>1988</v>
      </c>
      <c r="E88" s="167" t="s">
        <v>1938</v>
      </c>
      <c r="F88" s="167" t="s">
        <v>36</v>
      </c>
      <c r="G88" s="167" t="s">
        <v>1887</v>
      </c>
      <c r="H88" s="167"/>
      <c r="I88" s="167"/>
      <c r="J88" s="167"/>
      <c r="K88" s="168" t="str">
        <f t="shared" si="14"/>
        <v>HIDDERLEY</v>
      </c>
      <c r="L88" s="168" t="str">
        <f t="shared" si="15"/>
        <v>SATTERTHWAITE</v>
      </c>
      <c r="M88" s="168">
        <f t="shared" si="16"/>
        <v>35736</v>
      </c>
      <c r="N88" s="168">
        <f t="shared" si="17"/>
        <v>31390</v>
      </c>
      <c r="O88" s="168" t="str">
        <f t="shared" si="18"/>
        <v>242597904</v>
      </c>
      <c r="P88" s="168" t="str">
        <f t="shared" si="19"/>
        <v>242597408</v>
      </c>
      <c r="Q88" s="167" t="s">
        <v>1880</v>
      </c>
      <c r="R88" s="167" t="s">
        <v>1881</v>
      </c>
      <c r="S88" s="167" t="s">
        <v>1882</v>
      </c>
      <c r="T88" s="167" t="s">
        <v>1883</v>
      </c>
      <c r="U88" s="167" t="s">
        <v>1884</v>
      </c>
      <c r="V88" s="167"/>
      <c r="W88" s="169" t="str">
        <f t="shared" si="20"/>
        <v>UAT-WF-User77@mailinator.com</v>
      </c>
      <c r="X88" s="167" t="str">
        <f t="shared" si="21"/>
        <v>Perf-Test-User-10183@mailinator.com</v>
      </c>
      <c r="Y88" s="168" t="str">
        <f t="shared" si="22"/>
        <v>Dummy!2024</v>
      </c>
      <c r="Z88" s="168" t="str">
        <f t="shared" si="23"/>
        <v>020-8030031</v>
      </c>
      <c r="AA88" s="167"/>
      <c r="AB88" s="167" t="s">
        <v>1853</v>
      </c>
      <c r="AQ88" s="166" t="str">
        <f t="shared" si="24"/>
        <v>UAT-WF-User77@mailinator.com</v>
      </c>
      <c r="AR88" s="166" t="str">
        <f t="shared" si="25"/>
        <v>Perf-Test-User-10183@mailinator.com</v>
      </c>
    </row>
    <row r="89" spans="1:44" ht="42.75" x14ac:dyDescent="0.25">
      <c r="A89" s="167" t="s">
        <v>1995</v>
      </c>
      <c r="B89" s="167" t="s">
        <v>1355</v>
      </c>
      <c r="C89" s="167" t="s">
        <v>1896</v>
      </c>
      <c r="D89" s="167" t="s">
        <v>1988</v>
      </c>
      <c r="E89" s="167" t="s">
        <v>1938</v>
      </c>
      <c r="F89" s="167" t="s">
        <v>36</v>
      </c>
      <c r="G89" s="167" t="s">
        <v>1893</v>
      </c>
      <c r="H89" s="167" t="s">
        <v>1852</v>
      </c>
      <c r="I89" s="167"/>
      <c r="J89" s="167"/>
      <c r="K89" s="168" t="str">
        <f t="shared" si="14"/>
        <v>HIDDERLEY</v>
      </c>
      <c r="L89" s="168" t="str">
        <f t="shared" si="15"/>
        <v>SATTERTHWAITE</v>
      </c>
      <c r="M89" s="168">
        <f t="shared" si="16"/>
        <v>35736</v>
      </c>
      <c r="N89" s="168">
        <f t="shared" si="17"/>
        <v>31390</v>
      </c>
      <c r="O89" s="168" t="str">
        <f t="shared" si="18"/>
        <v>242597904</v>
      </c>
      <c r="P89" s="168" t="str">
        <f t="shared" si="19"/>
        <v>242597408</v>
      </c>
      <c r="Q89" s="167" t="s">
        <v>1880</v>
      </c>
      <c r="R89" s="167" t="s">
        <v>1881</v>
      </c>
      <c r="S89" s="167" t="s">
        <v>1919</v>
      </c>
      <c r="T89" s="167" t="s">
        <v>1883</v>
      </c>
      <c r="U89" s="167" t="s">
        <v>1884</v>
      </c>
      <c r="V89" s="167"/>
      <c r="W89" s="169" t="str">
        <f t="shared" si="20"/>
        <v>UAT-WF-User77@mailinator.com</v>
      </c>
      <c r="X89" s="167" t="str">
        <f t="shared" si="21"/>
        <v>Perf-Test-User-10183@mailinator.com</v>
      </c>
      <c r="Y89" s="168" t="str">
        <f t="shared" si="22"/>
        <v>Dummy!2024</v>
      </c>
      <c r="Z89" s="168" t="str">
        <f t="shared" si="23"/>
        <v>020-8030031</v>
      </c>
      <c r="AA89" s="167"/>
      <c r="AB89" s="167" t="s">
        <v>1853</v>
      </c>
      <c r="AQ89" s="166" t="str">
        <f t="shared" si="24"/>
        <v>UAT-WF-User77@mailinator.com</v>
      </c>
      <c r="AR89" s="166" t="str">
        <f t="shared" si="25"/>
        <v>Perf-Test-User-10183@mailinator.com</v>
      </c>
    </row>
    <row r="90" spans="1:44" ht="42.75" x14ac:dyDescent="0.25">
      <c r="A90" s="167" t="s">
        <v>1996</v>
      </c>
      <c r="B90" s="167" t="s">
        <v>1355</v>
      </c>
      <c r="C90" s="167" t="s">
        <v>1886</v>
      </c>
      <c r="D90" s="167" t="s">
        <v>1988</v>
      </c>
      <c r="E90" s="167" t="s">
        <v>1938</v>
      </c>
      <c r="F90" s="167" t="s">
        <v>36</v>
      </c>
      <c r="G90" s="167" t="s">
        <v>1897</v>
      </c>
      <c r="H90" s="167" t="s">
        <v>1865</v>
      </c>
      <c r="I90" s="167"/>
      <c r="J90" s="167"/>
      <c r="K90" s="168" t="str">
        <f t="shared" si="14"/>
        <v>HIDDERLEY</v>
      </c>
      <c r="L90" s="168" t="str">
        <f t="shared" si="15"/>
        <v>SATTERTHWAITE</v>
      </c>
      <c r="M90" s="168">
        <f t="shared" si="16"/>
        <v>35736</v>
      </c>
      <c r="N90" s="168">
        <f t="shared" si="17"/>
        <v>31390</v>
      </c>
      <c r="O90" s="168" t="str">
        <f t="shared" si="18"/>
        <v>242597904</v>
      </c>
      <c r="P90" s="168" t="str">
        <f t="shared" si="19"/>
        <v>242597408</v>
      </c>
      <c r="Q90" s="167" t="s">
        <v>1880</v>
      </c>
      <c r="R90" s="167" t="s">
        <v>1881</v>
      </c>
      <c r="S90" s="167" t="s">
        <v>1921</v>
      </c>
      <c r="T90" s="167" t="s">
        <v>1883</v>
      </c>
      <c r="U90" s="167" t="s">
        <v>1884</v>
      </c>
      <c r="V90" s="167"/>
      <c r="W90" s="169" t="str">
        <f t="shared" si="20"/>
        <v>UAT-WF-User77@mailinator.com</v>
      </c>
      <c r="X90" s="167" t="str">
        <f t="shared" si="21"/>
        <v>Perf-Test-User-10183@mailinator.com</v>
      </c>
      <c r="Y90" s="168" t="str">
        <f t="shared" si="22"/>
        <v>Dummy!2024</v>
      </c>
      <c r="Z90" s="168" t="str">
        <f t="shared" si="23"/>
        <v>020-8030031</v>
      </c>
      <c r="AA90" s="167"/>
      <c r="AB90" s="167" t="s">
        <v>1853</v>
      </c>
      <c r="AQ90" s="166" t="str">
        <f t="shared" si="24"/>
        <v>UAT-WF-User77@mailinator.com</v>
      </c>
      <c r="AR90" s="166" t="str">
        <f t="shared" si="25"/>
        <v>Perf-Test-User-10183@mailinator.com</v>
      </c>
    </row>
    <row r="91" spans="1:44" ht="42.75" x14ac:dyDescent="0.25">
      <c r="A91" s="167" t="s">
        <v>1997</v>
      </c>
      <c r="B91" s="167" t="s">
        <v>1847</v>
      </c>
      <c r="C91" s="167" t="s">
        <v>1848</v>
      </c>
      <c r="D91" s="167" t="s">
        <v>1988</v>
      </c>
      <c r="E91" s="167" t="s">
        <v>1941</v>
      </c>
      <c r="F91" s="167"/>
      <c r="G91" s="167" t="s">
        <v>1852</v>
      </c>
      <c r="H91" s="167" t="s">
        <v>1852</v>
      </c>
      <c r="I91" s="167"/>
      <c r="J91" s="167"/>
      <c r="K91" s="168" t="str">
        <f t="shared" si="14"/>
        <v>KASTING</v>
      </c>
      <c r="L91" s="168" t="str">
        <f t="shared" si="15"/>
        <v>TERRELLY</v>
      </c>
      <c r="M91" s="168">
        <f t="shared" si="16"/>
        <v>21248</v>
      </c>
      <c r="N91" s="168">
        <f t="shared" si="17"/>
        <v>23480</v>
      </c>
      <c r="O91" s="168" t="str">
        <f t="shared" si="18"/>
        <v>242597653</v>
      </c>
      <c r="P91" s="168" t="str">
        <f t="shared" si="19"/>
        <v>242597947</v>
      </c>
      <c r="Q91" s="167"/>
      <c r="R91" s="167"/>
      <c r="S91" s="167"/>
      <c r="T91" s="167"/>
      <c r="U91" s="167"/>
      <c r="V91" s="167"/>
      <c r="W91" s="169" t="str">
        <f t="shared" si="20"/>
        <v>Perf-Test-User-112801@mailinator.com</v>
      </c>
      <c r="X91" s="167" t="str">
        <f t="shared" si="21"/>
        <v>Perf-Test-User-10208@mailinator.com</v>
      </c>
      <c r="Y91" s="168" t="str">
        <f t="shared" si="22"/>
        <v>Dummy!2022</v>
      </c>
      <c r="Z91" s="168" t="str">
        <f t="shared" si="23"/>
        <v>020-8010888</v>
      </c>
      <c r="AA91" s="167" t="s">
        <v>1998</v>
      </c>
      <c r="AB91" s="167" t="s">
        <v>1853</v>
      </c>
      <c r="AQ91" s="166" t="str">
        <f t="shared" si="24"/>
        <v>Perf-Test-User-112801@mailinator.com</v>
      </c>
      <c r="AR91" s="166" t="str">
        <f t="shared" si="25"/>
        <v>Perf-Test-User-10208@mailinator.com</v>
      </c>
    </row>
    <row r="92" spans="1:44" ht="42.75" x14ac:dyDescent="0.25">
      <c r="A92" s="167" t="s">
        <v>1999</v>
      </c>
      <c r="B92" s="167" t="s">
        <v>1858</v>
      </c>
      <c r="C92" s="167" t="s">
        <v>24</v>
      </c>
      <c r="D92" s="167" t="s">
        <v>1988</v>
      </c>
      <c r="E92" s="167" t="s">
        <v>1941</v>
      </c>
      <c r="F92" s="167"/>
      <c r="G92" s="167" t="s">
        <v>1851</v>
      </c>
      <c r="H92" s="167"/>
      <c r="I92" s="167"/>
      <c r="J92" s="167"/>
      <c r="K92" s="168" t="str">
        <f t="shared" si="14"/>
        <v>KASTING</v>
      </c>
      <c r="L92" s="168" t="str">
        <f t="shared" si="15"/>
        <v>TERRELLY</v>
      </c>
      <c r="M92" s="168">
        <f t="shared" si="16"/>
        <v>21248</v>
      </c>
      <c r="N92" s="168">
        <f t="shared" si="17"/>
        <v>23480</v>
      </c>
      <c r="O92" s="168" t="str">
        <f t="shared" si="18"/>
        <v>242597653</v>
      </c>
      <c r="P92" s="168" t="str">
        <f t="shared" si="19"/>
        <v>242597947</v>
      </c>
      <c r="Q92" s="167"/>
      <c r="R92" s="167"/>
      <c r="S92" s="167"/>
      <c r="T92" s="167"/>
      <c r="U92" s="167"/>
      <c r="V92" s="167"/>
      <c r="W92" s="169" t="str">
        <f t="shared" si="20"/>
        <v>Perf-Test-User-112801@mailinator.com</v>
      </c>
      <c r="X92" s="167" t="str">
        <f t="shared" si="21"/>
        <v>Perf-Test-User-10208@mailinator.com</v>
      </c>
      <c r="Y92" s="168" t="str">
        <f t="shared" si="22"/>
        <v>Dummy!2022</v>
      </c>
      <c r="Z92" s="168" t="str">
        <f t="shared" si="23"/>
        <v>020-8010888</v>
      </c>
      <c r="AA92" s="167" t="s">
        <v>2000</v>
      </c>
      <c r="AB92" s="167" t="s">
        <v>1853</v>
      </c>
      <c r="AQ92" s="166" t="str">
        <f t="shared" si="24"/>
        <v>Perf-Test-User-112801@mailinator.com</v>
      </c>
      <c r="AR92" s="166" t="str">
        <f t="shared" si="25"/>
        <v>Perf-Test-User-10208@mailinator.com</v>
      </c>
    </row>
    <row r="93" spans="1:44" ht="42.75" x14ac:dyDescent="0.25">
      <c r="A93" s="167" t="s">
        <v>2001</v>
      </c>
      <c r="B93" s="167" t="s">
        <v>1355</v>
      </c>
      <c r="C93" s="167" t="s">
        <v>1863</v>
      </c>
      <c r="D93" s="167" t="s">
        <v>1988</v>
      </c>
      <c r="E93" s="167" t="s">
        <v>1941</v>
      </c>
      <c r="F93" s="167"/>
      <c r="G93" s="167" t="s">
        <v>1859</v>
      </c>
      <c r="H93" s="167" t="s">
        <v>1865</v>
      </c>
      <c r="I93" s="167"/>
      <c r="J93" s="167"/>
      <c r="K93" s="168" t="str">
        <f t="shared" si="14"/>
        <v>KASTING</v>
      </c>
      <c r="L93" s="168" t="str">
        <f t="shared" si="15"/>
        <v>TERRELLY</v>
      </c>
      <c r="M93" s="168">
        <f t="shared" si="16"/>
        <v>21248</v>
      </c>
      <c r="N93" s="168">
        <f t="shared" si="17"/>
        <v>23480</v>
      </c>
      <c r="O93" s="168" t="str">
        <f t="shared" si="18"/>
        <v>242597653</v>
      </c>
      <c r="P93" s="168" t="str">
        <f t="shared" si="19"/>
        <v>242597947</v>
      </c>
      <c r="Q93" s="167"/>
      <c r="R93" s="167"/>
      <c r="S93" s="167"/>
      <c r="T93" s="167"/>
      <c r="U93" s="167"/>
      <c r="V93" s="167"/>
      <c r="W93" s="169" t="str">
        <f t="shared" si="20"/>
        <v>Perf-Test-User-112801@mailinator.com</v>
      </c>
      <c r="X93" s="167" t="str">
        <f t="shared" si="21"/>
        <v>Perf-Test-User-10208@mailinator.com</v>
      </c>
      <c r="Y93" s="168" t="str">
        <f t="shared" si="22"/>
        <v>Dummy!2022</v>
      </c>
      <c r="Z93" s="168" t="str">
        <f t="shared" si="23"/>
        <v>020-8010888</v>
      </c>
      <c r="AA93" s="167" t="s">
        <v>2002</v>
      </c>
      <c r="AB93" s="167" t="s">
        <v>1853</v>
      </c>
      <c r="AQ93" s="166" t="str">
        <f t="shared" si="24"/>
        <v>Perf-Test-User-112801@mailinator.com</v>
      </c>
      <c r="AR93" s="166" t="str">
        <f t="shared" si="25"/>
        <v>Perf-Test-User-10208@mailinator.com</v>
      </c>
    </row>
    <row r="94" spans="1:44" ht="42.75" x14ac:dyDescent="0.25">
      <c r="A94" s="167" t="s">
        <v>2003</v>
      </c>
      <c r="B94" s="167" t="s">
        <v>1355</v>
      </c>
      <c r="C94" s="167" t="s">
        <v>1870</v>
      </c>
      <c r="D94" s="167" t="s">
        <v>1988</v>
      </c>
      <c r="E94" s="167" t="s">
        <v>1941</v>
      </c>
      <c r="F94" s="167"/>
      <c r="G94" s="167" t="s">
        <v>1864</v>
      </c>
      <c r="H94" s="167" t="s">
        <v>1872</v>
      </c>
      <c r="I94" s="167"/>
      <c r="J94" s="167"/>
      <c r="K94" s="168" t="str">
        <f t="shared" si="14"/>
        <v>KASTING</v>
      </c>
      <c r="L94" s="168" t="str">
        <f t="shared" si="15"/>
        <v>TERRELLY</v>
      </c>
      <c r="M94" s="168">
        <f t="shared" si="16"/>
        <v>21248</v>
      </c>
      <c r="N94" s="168">
        <f t="shared" si="17"/>
        <v>23480</v>
      </c>
      <c r="O94" s="168" t="str">
        <f t="shared" si="18"/>
        <v>242597653</v>
      </c>
      <c r="P94" s="168" t="str">
        <f t="shared" si="19"/>
        <v>242597947</v>
      </c>
      <c r="Q94" s="167"/>
      <c r="R94" s="167"/>
      <c r="S94" s="167"/>
      <c r="T94" s="167"/>
      <c r="U94" s="167"/>
      <c r="V94" s="167"/>
      <c r="W94" s="169" t="str">
        <f t="shared" si="20"/>
        <v>Perf-Test-User-112801@mailinator.com</v>
      </c>
      <c r="X94" s="167" t="str">
        <f t="shared" si="21"/>
        <v>Perf-Test-User-10208@mailinator.com</v>
      </c>
      <c r="Y94" s="168" t="str">
        <f t="shared" si="22"/>
        <v>Dummy!2022</v>
      </c>
      <c r="Z94" s="168" t="str">
        <f t="shared" si="23"/>
        <v>020-8010888</v>
      </c>
      <c r="AA94" s="167" t="s">
        <v>2004</v>
      </c>
      <c r="AB94" s="167" t="s">
        <v>1853</v>
      </c>
      <c r="AQ94" s="166" t="str">
        <f t="shared" si="24"/>
        <v>Perf-Test-User-112801@mailinator.com</v>
      </c>
      <c r="AR94" s="166" t="str">
        <f t="shared" si="25"/>
        <v>Perf-Test-User-10208@mailinator.com</v>
      </c>
    </row>
    <row r="95" spans="1:44" ht="42.75" x14ac:dyDescent="0.25">
      <c r="A95" s="167" t="s">
        <v>2005</v>
      </c>
      <c r="B95" s="167" t="s">
        <v>1355</v>
      </c>
      <c r="C95" s="167" t="s">
        <v>1886</v>
      </c>
      <c r="D95" s="167" t="s">
        <v>1988</v>
      </c>
      <c r="E95" s="167" t="s">
        <v>1941</v>
      </c>
      <c r="F95" s="167" t="s">
        <v>79</v>
      </c>
      <c r="G95" s="167" t="s">
        <v>1871</v>
      </c>
      <c r="H95" s="167" t="s">
        <v>1852</v>
      </c>
      <c r="I95" s="167"/>
      <c r="J95" s="167"/>
      <c r="K95" s="168" t="str">
        <f t="shared" si="14"/>
        <v>KASTING</v>
      </c>
      <c r="L95" s="168" t="str">
        <f t="shared" si="15"/>
        <v>TERRELLY</v>
      </c>
      <c r="M95" s="168">
        <f t="shared" si="16"/>
        <v>21248</v>
      </c>
      <c r="N95" s="168">
        <f t="shared" si="17"/>
        <v>23480</v>
      </c>
      <c r="O95" s="168" t="str">
        <f t="shared" si="18"/>
        <v>242597653</v>
      </c>
      <c r="P95" s="168" t="str">
        <f t="shared" si="19"/>
        <v>242597947</v>
      </c>
      <c r="Q95" s="167" t="s">
        <v>1880</v>
      </c>
      <c r="R95" s="167" t="s">
        <v>1881</v>
      </c>
      <c r="S95" s="167" t="s">
        <v>1882</v>
      </c>
      <c r="T95" s="167" t="s">
        <v>1883</v>
      </c>
      <c r="U95" s="167" t="s">
        <v>1884</v>
      </c>
      <c r="V95" s="167"/>
      <c r="W95" s="169" t="str">
        <f t="shared" si="20"/>
        <v>Perf-Test-User-112801@mailinator.com</v>
      </c>
      <c r="X95" s="167" t="str">
        <f t="shared" si="21"/>
        <v>Perf-Test-User-10208@mailinator.com</v>
      </c>
      <c r="Y95" s="168" t="str">
        <f t="shared" si="22"/>
        <v>Dummy!2022</v>
      </c>
      <c r="Z95" s="168" t="str">
        <f t="shared" si="23"/>
        <v>020-8010888</v>
      </c>
      <c r="AA95" s="167" t="s">
        <v>2006</v>
      </c>
      <c r="AB95" s="167" t="s">
        <v>1853</v>
      </c>
      <c r="AQ95" s="166" t="str">
        <f t="shared" si="24"/>
        <v>Perf-Test-User-112801@mailinator.com</v>
      </c>
      <c r="AR95" s="166" t="str">
        <f t="shared" si="25"/>
        <v>Perf-Test-User-10208@mailinator.com</v>
      </c>
    </row>
    <row r="96" spans="1:44" ht="42.75" x14ac:dyDescent="0.25">
      <c r="A96" s="167" t="s">
        <v>2007</v>
      </c>
      <c r="B96" s="167" t="s">
        <v>1355</v>
      </c>
      <c r="C96" s="167" t="s">
        <v>1892</v>
      </c>
      <c r="D96" s="167" t="s">
        <v>1988</v>
      </c>
      <c r="E96" s="167" t="s">
        <v>1941</v>
      </c>
      <c r="F96" s="167" t="s">
        <v>79</v>
      </c>
      <c r="G96" s="167" t="s">
        <v>1877</v>
      </c>
      <c r="H96" s="167"/>
      <c r="I96" s="167"/>
      <c r="J96" s="167"/>
      <c r="K96" s="168" t="str">
        <f t="shared" si="14"/>
        <v>KASTING</v>
      </c>
      <c r="L96" s="168" t="str">
        <f t="shared" si="15"/>
        <v>TERRELLY</v>
      </c>
      <c r="M96" s="168">
        <f t="shared" si="16"/>
        <v>21248</v>
      </c>
      <c r="N96" s="168">
        <f t="shared" si="17"/>
        <v>23480</v>
      </c>
      <c r="O96" s="168" t="str">
        <f t="shared" si="18"/>
        <v>242597653</v>
      </c>
      <c r="P96" s="168" t="str">
        <f t="shared" si="19"/>
        <v>242597947</v>
      </c>
      <c r="Q96" s="167" t="s">
        <v>1880</v>
      </c>
      <c r="R96" s="167" t="s">
        <v>1881</v>
      </c>
      <c r="S96" s="167" t="s">
        <v>1882</v>
      </c>
      <c r="T96" s="167" t="s">
        <v>1883</v>
      </c>
      <c r="U96" s="167" t="s">
        <v>1884</v>
      </c>
      <c r="V96" s="167"/>
      <c r="W96" s="169" t="str">
        <f t="shared" si="20"/>
        <v>Perf-Test-User-112801@mailinator.com</v>
      </c>
      <c r="X96" s="167" t="str">
        <f t="shared" si="21"/>
        <v>Perf-Test-User-10208@mailinator.com</v>
      </c>
      <c r="Y96" s="168" t="str">
        <f t="shared" si="22"/>
        <v>Dummy!2022</v>
      </c>
      <c r="Z96" s="168" t="str">
        <f t="shared" si="23"/>
        <v>020-8010888</v>
      </c>
      <c r="AA96" s="167" t="s">
        <v>2008</v>
      </c>
      <c r="AB96" s="167" t="s">
        <v>1853</v>
      </c>
      <c r="AQ96" s="166" t="str">
        <f t="shared" si="24"/>
        <v>Perf-Test-User-112801@mailinator.com</v>
      </c>
      <c r="AR96" s="166" t="str">
        <f t="shared" si="25"/>
        <v>Perf-Test-User-10208@mailinator.com</v>
      </c>
    </row>
    <row r="97" spans="1:44" ht="42.75" x14ac:dyDescent="0.25">
      <c r="A97" s="167" t="s">
        <v>2009</v>
      </c>
      <c r="B97" s="167" t="s">
        <v>1355</v>
      </c>
      <c r="C97" s="167" t="s">
        <v>1892</v>
      </c>
      <c r="D97" s="167" t="s">
        <v>1988</v>
      </c>
      <c r="E97" s="167" t="s">
        <v>1941</v>
      </c>
      <c r="F97" s="167" t="s">
        <v>36</v>
      </c>
      <c r="G97" s="167" t="s">
        <v>1887</v>
      </c>
      <c r="H97" s="167"/>
      <c r="I97" s="167"/>
      <c r="J97" s="167"/>
      <c r="K97" s="168" t="str">
        <f t="shared" si="14"/>
        <v>KASTING</v>
      </c>
      <c r="L97" s="168" t="str">
        <f t="shared" si="15"/>
        <v>TERRELLY</v>
      </c>
      <c r="M97" s="168">
        <f t="shared" si="16"/>
        <v>21248</v>
      </c>
      <c r="N97" s="168">
        <f t="shared" si="17"/>
        <v>23480</v>
      </c>
      <c r="O97" s="168" t="str">
        <f t="shared" si="18"/>
        <v>242597653</v>
      </c>
      <c r="P97" s="168" t="str">
        <f t="shared" si="19"/>
        <v>242597947</v>
      </c>
      <c r="Q97" s="167" t="s">
        <v>1880</v>
      </c>
      <c r="R97" s="167" t="s">
        <v>1881</v>
      </c>
      <c r="S97" s="167" t="s">
        <v>1882</v>
      </c>
      <c r="T97" s="167" t="s">
        <v>1883</v>
      </c>
      <c r="U97" s="167" t="s">
        <v>1884</v>
      </c>
      <c r="V97" s="167"/>
      <c r="W97" s="169" t="str">
        <f t="shared" si="20"/>
        <v>Perf-Test-User-112801@mailinator.com</v>
      </c>
      <c r="X97" s="167" t="str">
        <f t="shared" si="21"/>
        <v>Perf-Test-User-10208@mailinator.com</v>
      </c>
      <c r="Y97" s="168" t="str">
        <f t="shared" si="22"/>
        <v>Dummy!2022</v>
      </c>
      <c r="Z97" s="168" t="str">
        <f t="shared" si="23"/>
        <v>020-8010888</v>
      </c>
      <c r="AA97" s="167" t="s">
        <v>2010</v>
      </c>
      <c r="AB97" s="167" t="s">
        <v>1853</v>
      </c>
      <c r="AQ97" s="166" t="str">
        <f t="shared" si="24"/>
        <v>Perf-Test-User-112801@mailinator.com</v>
      </c>
      <c r="AR97" s="166" t="str">
        <f t="shared" si="25"/>
        <v>Perf-Test-User-10208@mailinator.com</v>
      </c>
    </row>
    <row r="98" spans="1:44" ht="42.75" x14ac:dyDescent="0.25">
      <c r="A98" s="167" t="s">
        <v>2011</v>
      </c>
      <c r="B98" s="167" t="s">
        <v>1355</v>
      </c>
      <c r="C98" s="167" t="s">
        <v>1896</v>
      </c>
      <c r="D98" s="167" t="s">
        <v>1988</v>
      </c>
      <c r="E98" s="167" t="s">
        <v>1941</v>
      </c>
      <c r="F98" s="167" t="s">
        <v>36</v>
      </c>
      <c r="G98" s="167" t="s">
        <v>1893</v>
      </c>
      <c r="H98" s="167" t="s">
        <v>1852</v>
      </c>
      <c r="I98" s="167"/>
      <c r="J98" s="167"/>
      <c r="K98" s="168" t="str">
        <f t="shared" si="14"/>
        <v>KASTING</v>
      </c>
      <c r="L98" s="168" t="str">
        <f t="shared" si="15"/>
        <v>TERRELLY</v>
      </c>
      <c r="M98" s="168">
        <f t="shared" si="16"/>
        <v>21248</v>
      </c>
      <c r="N98" s="168">
        <f t="shared" si="17"/>
        <v>23480</v>
      </c>
      <c r="O98" s="168" t="str">
        <f t="shared" si="18"/>
        <v>242597653</v>
      </c>
      <c r="P98" s="168" t="str">
        <f t="shared" si="19"/>
        <v>242597947</v>
      </c>
      <c r="Q98" s="167" t="s">
        <v>1880</v>
      </c>
      <c r="R98" s="167" t="s">
        <v>1881</v>
      </c>
      <c r="S98" s="167" t="s">
        <v>1919</v>
      </c>
      <c r="T98" s="167" t="s">
        <v>1883</v>
      </c>
      <c r="U98" s="167" t="s">
        <v>1884</v>
      </c>
      <c r="V98" s="167"/>
      <c r="W98" s="169" t="str">
        <f t="shared" si="20"/>
        <v>Perf-Test-User-112801@mailinator.com</v>
      </c>
      <c r="X98" s="167" t="str">
        <f t="shared" si="21"/>
        <v>Perf-Test-User-10208@mailinator.com</v>
      </c>
      <c r="Y98" s="168" t="str">
        <f t="shared" si="22"/>
        <v>Dummy!2022</v>
      </c>
      <c r="Z98" s="168" t="str">
        <f t="shared" si="23"/>
        <v>020-8010888</v>
      </c>
      <c r="AA98" s="167" t="s">
        <v>2012</v>
      </c>
      <c r="AB98" s="167" t="s">
        <v>1853</v>
      </c>
      <c r="AQ98" s="166" t="str">
        <f t="shared" si="24"/>
        <v>Perf-Test-User-112801@mailinator.com</v>
      </c>
      <c r="AR98" s="166" t="str">
        <f t="shared" si="25"/>
        <v>Perf-Test-User-10208@mailinator.com</v>
      </c>
    </row>
    <row r="99" spans="1:44" ht="42.75" x14ac:dyDescent="0.25">
      <c r="A99" s="167" t="s">
        <v>2013</v>
      </c>
      <c r="B99" s="167" t="s">
        <v>1355</v>
      </c>
      <c r="C99" s="167" t="s">
        <v>1886</v>
      </c>
      <c r="D99" s="167" t="s">
        <v>1988</v>
      </c>
      <c r="E99" s="167" t="s">
        <v>1941</v>
      </c>
      <c r="F99" s="167" t="s">
        <v>36</v>
      </c>
      <c r="G99" s="167" t="s">
        <v>1897</v>
      </c>
      <c r="H99" s="167" t="s">
        <v>1865</v>
      </c>
      <c r="I99" s="167"/>
      <c r="J99" s="167"/>
      <c r="K99" s="168" t="str">
        <f t="shared" si="14"/>
        <v>KASTING</v>
      </c>
      <c r="L99" s="168" t="str">
        <f t="shared" si="15"/>
        <v>TERRELLY</v>
      </c>
      <c r="M99" s="168">
        <f t="shared" si="16"/>
        <v>21248</v>
      </c>
      <c r="N99" s="168">
        <f t="shared" si="17"/>
        <v>23480</v>
      </c>
      <c r="O99" s="168" t="str">
        <f t="shared" si="18"/>
        <v>242597653</v>
      </c>
      <c r="P99" s="168" t="str">
        <f t="shared" si="19"/>
        <v>242597947</v>
      </c>
      <c r="Q99" s="167" t="s">
        <v>1880</v>
      </c>
      <c r="R99" s="167" t="s">
        <v>1881</v>
      </c>
      <c r="S99" s="167" t="s">
        <v>1921</v>
      </c>
      <c r="T99" s="167" t="s">
        <v>1883</v>
      </c>
      <c r="U99" s="167" t="s">
        <v>1884</v>
      </c>
      <c r="V99" s="167"/>
      <c r="W99" s="169" t="str">
        <f t="shared" si="20"/>
        <v>Perf-Test-User-112801@mailinator.com</v>
      </c>
      <c r="X99" s="167" t="str">
        <f t="shared" si="21"/>
        <v>Perf-Test-User-10208@mailinator.com</v>
      </c>
      <c r="Y99" s="168" t="str">
        <f t="shared" si="22"/>
        <v>Dummy!2022</v>
      </c>
      <c r="Z99" s="168" t="str">
        <f t="shared" si="23"/>
        <v>020-8010888</v>
      </c>
      <c r="AA99" s="167" t="s">
        <v>2014</v>
      </c>
      <c r="AB99" s="167" t="s">
        <v>1853</v>
      </c>
      <c r="AQ99" s="166" t="str">
        <f t="shared" si="24"/>
        <v>Perf-Test-User-112801@mailinator.com</v>
      </c>
      <c r="AR99" s="166" t="str">
        <f t="shared" si="25"/>
        <v>Perf-Test-User-10208@mailinator.com</v>
      </c>
    </row>
    <row r="100" spans="1:44" ht="42.75" x14ac:dyDescent="0.25">
      <c r="A100" s="167" t="s">
        <v>2015</v>
      </c>
      <c r="B100" s="167" t="s">
        <v>1847</v>
      </c>
      <c r="C100" s="167" t="s">
        <v>1848</v>
      </c>
      <c r="D100" s="167" t="s">
        <v>1988</v>
      </c>
      <c r="E100" s="167" t="s">
        <v>1958</v>
      </c>
      <c r="F100" s="167"/>
      <c r="G100" s="167" t="s">
        <v>1852</v>
      </c>
      <c r="H100" s="167" t="s">
        <v>1852</v>
      </c>
      <c r="I100" s="167"/>
      <c r="J100" s="167"/>
      <c r="K100" s="168" t="str">
        <f t="shared" si="14"/>
        <v>HIDDERLEY</v>
      </c>
      <c r="L100" s="168" t="str">
        <f t="shared" si="15"/>
        <v>TERRELLY</v>
      </c>
      <c r="M100" s="168">
        <f t="shared" si="16"/>
        <v>35736</v>
      </c>
      <c r="N100" s="168">
        <f t="shared" si="17"/>
        <v>23480</v>
      </c>
      <c r="O100" s="168" t="str">
        <f t="shared" si="18"/>
        <v>242597904</v>
      </c>
      <c r="P100" s="168" t="str">
        <f t="shared" si="19"/>
        <v>242597947</v>
      </c>
      <c r="Q100" s="167"/>
      <c r="R100" s="167"/>
      <c r="S100" s="167"/>
      <c r="T100" s="167"/>
      <c r="U100" s="167"/>
      <c r="V100" s="167"/>
      <c r="W100" s="169" t="str">
        <f t="shared" si="20"/>
        <v>UAT-WF-User77@mailinator.com</v>
      </c>
      <c r="X100" s="167" t="str">
        <f t="shared" si="21"/>
        <v>Perf-Test-User-10208@mailinator.com</v>
      </c>
      <c r="Y100" s="168" t="str">
        <f t="shared" si="22"/>
        <v>Dummy!2024</v>
      </c>
      <c r="Z100" s="168" t="str">
        <f t="shared" si="23"/>
        <v>020-8030031</v>
      </c>
      <c r="AA100" s="167" t="s">
        <v>2016</v>
      </c>
      <c r="AB100" s="167" t="s">
        <v>1853</v>
      </c>
      <c r="AQ100" s="166" t="str">
        <f t="shared" si="24"/>
        <v>UAT-WF-User77@mailinator.com</v>
      </c>
      <c r="AR100" s="166" t="str">
        <f t="shared" si="25"/>
        <v>Perf-Test-User-10208@mailinator.com</v>
      </c>
    </row>
    <row r="101" spans="1:44" ht="42.75" x14ac:dyDescent="0.25">
      <c r="A101" s="167" t="s">
        <v>2017</v>
      </c>
      <c r="B101" s="167" t="s">
        <v>1858</v>
      </c>
      <c r="C101" s="167" t="s">
        <v>24</v>
      </c>
      <c r="D101" s="167" t="s">
        <v>1988</v>
      </c>
      <c r="E101" s="167" t="s">
        <v>1958</v>
      </c>
      <c r="F101" s="167"/>
      <c r="G101" s="167" t="s">
        <v>1851</v>
      </c>
      <c r="H101" s="167"/>
      <c r="I101" s="167"/>
      <c r="J101" s="167"/>
      <c r="K101" s="168" t="str">
        <f t="shared" si="14"/>
        <v>HIDDERLEY</v>
      </c>
      <c r="L101" s="168" t="str">
        <f t="shared" si="15"/>
        <v>TERRELLY</v>
      </c>
      <c r="M101" s="168">
        <f t="shared" si="16"/>
        <v>35736</v>
      </c>
      <c r="N101" s="168">
        <f t="shared" si="17"/>
        <v>23480</v>
      </c>
      <c r="O101" s="168" t="str">
        <f t="shared" si="18"/>
        <v>242597904</v>
      </c>
      <c r="P101" s="168" t="str">
        <f t="shared" si="19"/>
        <v>242597947</v>
      </c>
      <c r="Q101" s="167"/>
      <c r="R101" s="167"/>
      <c r="S101" s="167"/>
      <c r="T101" s="167"/>
      <c r="U101" s="167"/>
      <c r="V101" s="167"/>
      <c r="W101" s="169" t="str">
        <f t="shared" si="20"/>
        <v>UAT-WF-User77@mailinator.com</v>
      </c>
      <c r="X101" s="167" t="str">
        <f t="shared" si="21"/>
        <v>Perf-Test-User-10208@mailinator.com</v>
      </c>
      <c r="Y101" s="168" t="str">
        <f t="shared" si="22"/>
        <v>Dummy!2024</v>
      </c>
      <c r="Z101" s="168" t="str">
        <f t="shared" si="23"/>
        <v>020-8030031</v>
      </c>
      <c r="AA101" s="167" t="s">
        <v>2018</v>
      </c>
      <c r="AB101" s="167" t="s">
        <v>1853</v>
      </c>
      <c r="AQ101" s="166" t="str">
        <f t="shared" si="24"/>
        <v>UAT-WF-User77@mailinator.com</v>
      </c>
      <c r="AR101" s="166" t="str">
        <f t="shared" si="25"/>
        <v>Perf-Test-User-10208@mailinator.com</v>
      </c>
    </row>
    <row r="102" spans="1:44" ht="42.75" x14ac:dyDescent="0.25">
      <c r="A102" s="167" t="s">
        <v>2019</v>
      </c>
      <c r="B102" s="167" t="s">
        <v>1355</v>
      </c>
      <c r="C102" s="167" t="s">
        <v>1863</v>
      </c>
      <c r="D102" s="167" t="s">
        <v>1988</v>
      </c>
      <c r="E102" s="167" t="s">
        <v>1958</v>
      </c>
      <c r="F102" s="167"/>
      <c r="G102" s="167" t="s">
        <v>1859</v>
      </c>
      <c r="H102" s="167" t="s">
        <v>1865</v>
      </c>
      <c r="I102" s="167"/>
      <c r="J102" s="167"/>
      <c r="K102" s="168" t="str">
        <f t="shared" si="14"/>
        <v>HIDDERLEY</v>
      </c>
      <c r="L102" s="168" t="str">
        <f t="shared" si="15"/>
        <v>TERRELLY</v>
      </c>
      <c r="M102" s="168">
        <f t="shared" si="16"/>
        <v>35736</v>
      </c>
      <c r="N102" s="168">
        <f t="shared" si="17"/>
        <v>23480</v>
      </c>
      <c r="O102" s="168" t="str">
        <f t="shared" si="18"/>
        <v>242597904</v>
      </c>
      <c r="P102" s="168" t="str">
        <f t="shared" si="19"/>
        <v>242597947</v>
      </c>
      <c r="Q102" s="167"/>
      <c r="R102" s="167"/>
      <c r="S102" s="167"/>
      <c r="T102" s="167"/>
      <c r="U102" s="167"/>
      <c r="V102" s="167"/>
      <c r="W102" s="169" t="str">
        <f t="shared" si="20"/>
        <v>UAT-WF-User77@mailinator.com</v>
      </c>
      <c r="X102" s="167" t="str">
        <f t="shared" si="21"/>
        <v>Perf-Test-User-10208@mailinator.com</v>
      </c>
      <c r="Y102" s="168" t="str">
        <f t="shared" si="22"/>
        <v>Dummy!2024</v>
      </c>
      <c r="Z102" s="168" t="str">
        <f t="shared" si="23"/>
        <v>020-8030031</v>
      </c>
      <c r="AA102" s="167" t="s">
        <v>2020</v>
      </c>
      <c r="AB102" s="167" t="s">
        <v>1853</v>
      </c>
      <c r="AQ102" s="166" t="str">
        <f t="shared" si="24"/>
        <v>UAT-WF-User77@mailinator.com</v>
      </c>
      <c r="AR102" s="166" t="str">
        <f t="shared" si="25"/>
        <v>Perf-Test-User-10208@mailinator.com</v>
      </c>
    </row>
    <row r="103" spans="1:44" ht="42.75" x14ac:dyDescent="0.25">
      <c r="A103" s="167" t="s">
        <v>2021</v>
      </c>
      <c r="B103" s="167" t="s">
        <v>1355</v>
      </c>
      <c r="C103" s="167" t="s">
        <v>1870</v>
      </c>
      <c r="D103" s="167" t="s">
        <v>1988</v>
      </c>
      <c r="E103" s="167" t="s">
        <v>1958</v>
      </c>
      <c r="F103" s="167"/>
      <c r="G103" s="167" t="s">
        <v>1864</v>
      </c>
      <c r="H103" s="167" t="s">
        <v>1872</v>
      </c>
      <c r="I103" s="167"/>
      <c r="J103" s="167"/>
      <c r="K103" s="168" t="str">
        <f t="shared" si="14"/>
        <v>HIDDERLEY</v>
      </c>
      <c r="L103" s="168" t="str">
        <f t="shared" si="15"/>
        <v>TERRELLY</v>
      </c>
      <c r="M103" s="168">
        <f t="shared" si="16"/>
        <v>35736</v>
      </c>
      <c r="N103" s="168">
        <f t="shared" si="17"/>
        <v>23480</v>
      </c>
      <c r="O103" s="168" t="str">
        <f t="shared" si="18"/>
        <v>242597904</v>
      </c>
      <c r="P103" s="168" t="str">
        <f t="shared" si="19"/>
        <v>242597947</v>
      </c>
      <c r="Q103" s="167"/>
      <c r="R103" s="167"/>
      <c r="S103" s="167"/>
      <c r="T103" s="167"/>
      <c r="U103" s="167"/>
      <c r="V103" s="167"/>
      <c r="W103" s="169" t="str">
        <f t="shared" si="20"/>
        <v>UAT-WF-User77@mailinator.com</v>
      </c>
      <c r="X103" s="167" t="str">
        <f t="shared" si="21"/>
        <v>Perf-Test-User-10208@mailinator.com</v>
      </c>
      <c r="Y103" s="168" t="str">
        <f t="shared" si="22"/>
        <v>Dummy!2024</v>
      </c>
      <c r="Z103" s="168" t="str">
        <f t="shared" si="23"/>
        <v>020-8030031</v>
      </c>
      <c r="AA103" s="167" t="s">
        <v>2022</v>
      </c>
      <c r="AB103" s="167" t="s">
        <v>1853</v>
      </c>
      <c r="AQ103" s="166" t="str">
        <f t="shared" si="24"/>
        <v>UAT-WF-User77@mailinator.com</v>
      </c>
      <c r="AR103" s="166" t="str">
        <f t="shared" si="25"/>
        <v>Perf-Test-User-10208@mailinator.com</v>
      </c>
    </row>
    <row r="104" spans="1:44" ht="42.75" x14ac:dyDescent="0.25">
      <c r="A104" s="167" t="s">
        <v>2023</v>
      </c>
      <c r="B104" s="167" t="s">
        <v>1355</v>
      </c>
      <c r="C104" s="167" t="s">
        <v>1886</v>
      </c>
      <c r="D104" s="167" t="s">
        <v>1988</v>
      </c>
      <c r="E104" s="167" t="s">
        <v>1958</v>
      </c>
      <c r="F104" s="167" t="s">
        <v>79</v>
      </c>
      <c r="G104" s="167" t="s">
        <v>1871</v>
      </c>
      <c r="H104" s="167" t="s">
        <v>1852</v>
      </c>
      <c r="I104" s="167"/>
      <c r="J104" s="167"/>
      <c r="K104" s="168" t="str">
        <f t="shared" si="14"/>
        <v>HIDDERLEY</v>
      </c>
      <c r="L104" s="168" t="str">
        <f t="shared" si="15"/>
        <v>TERRELLY</v>
      </c>
      <c r="M104" s="168">
        <f t="shared" si="16"/>
        <v>35736</v>
      </c>
      <c r="N104" s="168">
        <f t="shared" si="17"/>
        <v>23480</v>
      </c>
      <c r="O104" s="168" t="str">
        <f t="shared" si="18"/>
        <v>242597904</v>
      </c>
      <c r="P104" s="168" t="str">
        <f t="shared" si="19"/>
        <v>242597947</v>
      </c>
      <c r="Q104" s="167" t="s">
        <v>1880</v>
      </c>
      <c r="R104" s="167" t="s">
        <v>1881</v>
      </c>
      <c r="S104" s="167" t="s">
        <v>1882</v>
      </c>
      <c r="T104" s="167" t="s">
        <v>1883</v>
      </c>
      <c r="U104" s="167" t="s">
        <v>1884</v>
      </c>
      <c r="V104" s="167"/>
      <c r="W104" s="169" t="str">
        <f t="shared" si="20"/>
        <v>UAT-WF-User77@mailinator.com</v>
      </c>
      <c r="X104" s="167" t="str">
        <f t="shared" si="21"/>
        <v>Perf-Test-User-10208@mailinator.com</v>
      </c>
      <c r="Y104" s="168" t="str">
        <f t="shared" si="22"/>
        <v>Dummy!2024</v>
      </c>
      <c r="Z104" s="168" t="str">
        <f t="shared" si="23"/>
        <v>020-8030031</v>
      </c>
      <c r="AA104" s="167" t="s">
        <v>2024</v>
      </c>
      <c r="AB104" s="167" t="s">
        <v>1853</v>
      </c>
      <c r="AQ104" s="166" t="str">
        <f t="shared" si="24"/>
        <v>UAT-WF-User77@mailinator.com</v>
      </c>
      <c r="AR104" s="166" t="str">
        <f t="shared" si="25"/>
        <v>Perf-Test-User-10208@mailinator.com</v>
      </c>
    </row>
    <row r="105" spans="1:44" ht="42.75" x14ac:dyDescent="0.25">
      <c r="A105" s="167" t="s">
        <v>2025</v>
      </c>
      <c r="B105" s="167" t="s">
        <v>1355</v>
      </c>
      <c r="C105" s="167" t="s">
        <v>1892</v>
      </c>
      <c r="D105" s="167" t="s">
        <v>1988</v>
      </c>
      <c r="E105" s="167" t="s">
        <v>1958</v>
      </c>
      <c r="F105" s="167" t="s">
        <v>79</v>
      </c>
      <c r="G105" s="167" t="s">
        <v>1877</v>
      </c>
      <c r="H105" s="167"/>
      <c r="I105" s="167"/>
      <c r="J105" s="167"/>
      <c r="K105" s="168" t="str">
        <f t="shared" si="14"/>
        <v>HIDDERLEY</v>
      </c>
      <c r="L105" s="168" t="str">
        <f t="shared" si="15"/>
        <v>TERRELLY</v>
      </c>
      <c r="M105" s="168">
        <f t="shared" si="16"/>
        <v>35736</v>
      </c>
      <c r="N105" s="168">
        <f t="shared" si="17"/>
        <v>23480</v>
      </c>
      <c r="O105" s="168" t="str">
        <f t="shared" si="18"/>
        <v>242597904</v>
      </c>
      <c r="P105" s="168" t="str">
        <f t="shared" si="19"/>
        <v>242597947</v>
      </c>
      <c r="Q105" s="167" t="s">
        <v>1880</v>
      </c>
      <c r="R105" s="167" t="s">
        <v>1881</v>
      </c>
      <c r="S105" s="167" t="s">
        <v>1882</v>
      </c>
      <c r="T105" s="167" t="s">
        <v>1883</v>
      </c>
      <c r="U105" s="167" t="s">
        <v>1884</v>
      </c>
      <c r="V105" s="167"/>
      <c r="W105" s="169" t="str">
        <f t="shared" si="20"/>
        <v>UAT-WF-User77@mailinator.com</v>
      </c>
      <c r="X105" s="167" t="str">
        <f t="shared" si="21"/>
        <v>Perf-Test-User-10208@mailinator.com</v>
      </c>
      <c r="Y105" s="168" t="str">
        <f t="shared" si="22"/>
        <v>Dummy!2024</v>
      </c>
      <c r="Z105" s="168" t="str">
        <f t="shared" si="23"/>
        <v>020-8030031</v>
      </c>
      <c r="AA105" s="167" t="s">
        <v>2026</v>
      </c>
      <c r="AB105" s="167" t="s">
        <v>1853</v>
      </c>
      <c r="AQ105" s="166" t="str">
        <f t="shared" si="24"/>
        <v>UAT-WF-User77@mailinator.com</v>
      </c>
      <c r="AR105" s="166" t="str">
        <f t="shared" si="25"/>
        <v>Perf-Test-User-10208@mailinator.com</v>
      </c>
    </row>
    <row r="106" spans="1:44" ht="42.75" x14ac:dyDescent="0.25">
      <c r="A106" s="167" t="s">
        <v>1417</v>
      </c>
      <c r="B106" s="167" t="s">
        <v>1355</v>
      </c>
      <c r="C106" s="167" t="s">
        <v>1892</v>
      </c>
      <c r="D106" s="167" t="s">
        <v>1988</v>
      </c>
      <c r="E106" s="167" t="s">
        <v>1958</v>
      </c>
      <c r="F106" s="167" t="s">
        <v>36</v>
      </c>
      <c r="G106" s="167" t="s">
        <v>1887</v>
      </c>
      <c r="H106" s="167"/>
      <c r="I106" s="167"/>
      <c r="J106" s="167"/>
      <c r="K106" s="168" t="str">
        <f t="shared" si="14"/>
        <v>HIDDERLEY</v>
      </c>
      <c r="L106" s="168" t="str">
        <f t="shared" si="15"/>
        <v>TERRELLY</v>
      </c>
      <c r="M106" s="168">
        <f t="shared" si="16"/>
        <v>35736</v>
      </c>
      <c r="N106" s="168">
        <f t="shared" si="17"/>
        <v>23480</v>
      </c>
      <c r="O106" s="168" t="str">
        <f t="shared" si="18"/>
        <v>242597904</v>
      </c>
      <c r="P106" s="168" t="str">
        <f t="shared" si="19"/>
        <v>242597947</v>
      </c>
      <c r="Q106" s="167" t="s">
        <v>1880</v>
      </c>
      <c r="R106" s="167" t="s">
        <v>1881</v>
      </c>
      <c r="S106" s="167" t="s">
        <v>1882</v>
      </c>
      <c r="T106" s="167" t="s">
        <v>1883</v>
      </c>
      <c r="U106" s="167" t="s">
        <v>1884</v>
      </c>
      <c r="V106" s="167"/>
      <c r="W106" s="169" t="str">
        <f t="shared" si="20"/>
        <v>UAT-WF-User77@mailinator.com</v>
      </c>
      <c r="X106" s="167" t="str">
        <f t="shared" si="21"/>
        <v>Perf-Test-User-10208@mailinator.com</v>
      </c>
      <c r="Y106" s="168" t="str">
        <f t="shared" si="22"/>
        <v>Dummy!2024</v>
      </c>
      <c r="Z106" s="168" t="str">
        <f t="shared" si="23"/>
        <v>020-8030031</v>
      </c>
      <c r="AA106" s="167" t="s">
        <v>2027</v>
      </c>
      <c r="AB106" s="167" t="s">
        <v>1853</v>
      </c>
      <c r="AQ106" s="166" t="str">
        <f t="shared" si="24"/>
        <v>UAT-WF-User77@mailinator.com</v>
      </c>
      <c r="AR106" s="166" t="str">
        <f t="shared" si="25"/>
        <v>Perf-Test-User-10208@mailinator.com</v>
      </c>
    </row>
    <row r="107" spans="1:44" ht="42.75" x14ac:dyDescent="0.25">
      <c r="A107" s="167" t="s">
        <v>2028</v>
      </c>
      <c r="B107" s="167" t="s">
        <v>1355</v>
      </c>
      <c r="C107" s="167" t="s">
        <v>1896</v>
      </c>
      <c r="D107" s="167" t="s">
        <v>1988</v>
      </c>
      <c r="E107" s="167" t="s">
        <v>1958</v>
      </c>
      <c r="F107" s="167" t="s">
        <v>36</v>
      </c>
      <c r="G107" s="167" t="s">
        <v>1893</v>
      </c>
      <c r="H107" s="167" t="s">
        <v>1852</v>
      </c>
      <c r="I107" s="167"/>
      <c r="J107" s="167"/>
      <c r="K107" s="168" t="str">
        <f t="shared" si="14"/>
        <v>HIDDERLEY</v>
      </c>
      <c r="L107" s="168" t="str">
        <f t="shared" si="15"/>
        <v>TERRELLY</v>
      </c>
      <c r="M107" s="168">
        <f t="shared" si="16"/>
        <v>35736</v>
      </c>
      <c r="N107" s="168">
        <f t="shared" si="17"/>
        <v>23480</v>
      </c>
      <c r="O107" s="168" t="str">
        <f t="shared" si="18"/>
        <v>242597904</v>
      </c>
      <c r="P107" s="168" t="str">
        <f t="shared" si="19"/>
        <v>242597947</v>
      </c>
      <c r="Q107" s="167" t="s">
        <v>1880</v>
      </c>
      <c r="R107" s="167" t="s">
        <v>1881</v>
      </c>
      <c r="S107" s="167" t="s">
        <v>1919</v>
      </c>
      <c r="T107" s="167" t="s">
        <v>1883</v>
      </c>
      <c r="U107" s="167" t="s">
        <v>1884</v>
      </c>
      <c r="V107" s="167"/>
      <c r="W107" s="169" t="str">
        <f t="shared" si="20"/>
        <v>UAT-WF-User77@mailinator.com</v>
      </c>
      <c r="X107" s="167" t="str">
        <f t="shared" si="21"/>
        <v>Perf-Test-User-10208@mailinator.com</v>
      </c>
      <c r="Y107" s="168" t="str">
        <f t="shared" si="22"/>
        <v>Dummy!2024</v>
      </c>
      <c r="Z107" s="168" t="str">
        <f t="shared" si="23"/>
        <v>020-8030031</v>
      </c>
      <c r="AA107" s="167" t="s">
        <v>2029</v>
      </c>
      <c r="AB107" s="167" t="s">
        <v>1853</v>
      </c>
      <c r="AQ107" s="166" t="str">
        <f t="shared" si="24"/>
        <v>UAT-WF-User77@mailinator.com</v>
      </c>
      <c r="AR107" s="166" t="str">
        <f t="shared" si="25"/>
        <v>Perf-Test-User-10208@mailinator.com</v>
      </c>
    </row>
    <row r="108" spans="1:44" ht="42.75" x14ac:dyDescent="0.25">
      <c r="A108" s="167" t="s">
        <v>2030</v>
      </c>
      <c r="B108" s="167" t="s">
        <v>1355</v>
      </c>
      <c r="C108" s="167" t="s">
        <v>1886</v>
      </c>
      <c r="D108" s="167" t="s">
        <v>1988</v>
      </c>
      <c r="E108" s="167" t="s">
        <v>1958</v>
      </c>
      <c r="F108" s="167" t="s">
        <v>36</v>
      </c>
      <c r="G108" s="167" t="s">
        <v>1897</v>
      </c>
      <c r="H108" s="167" t="s">
        <v>1865</v>
      </c>
      <c r="I108" s="167"/>
      <c r="J108" s="167"/>
      <c r="K108" s="168" t="str">
        <f t="shared" ref="K108:K121" si="26">IF(W108=$AU$4, $AX$4,
IF(W108=$AU$2,$AX$2, ""))</f>
        <v>HIDDERLEY</v>
      </c>
      <c r="L108" s="168" t="str">
        <f t="shared" si="15"/>
        <v>TERRELLY</v>
      </c>
      <c r="M108" s="168">
        <f t="shared" si="16"/>
        <v>35736</v>
      </c>
      <c r="N108" s="168">
        <f t="shared" si="17"/>
        <v>23480</v>
      </c>
      <c r="O108" s="168" t="str">
        <f t="shared" si="18"/>
        <v>242597904</v>
      </c>
      <c r="P108" s="168" t="str">
        <f t="shared" si="19"/>
        <v>242597947</v>
      </c>
      <c r="Q108" s="167" t="s">
        <v>1880</v>
      </c>
      <c r="R108" s="167" t="s">
        <v>1881</v>
      </c>
      <c r="S108" s="167" t="s">
        <v>1921</v>
      </c>
      <c r="T108" s="167" t="s">
        <v>1883</v>
      </c>
      <c r="U108" s="167" t="s">
        <v>1884</v>
      </c>
      <c r="V108" s="167"/>
      <c r="W108" s="169" t="str">
        <f t="shared" si="20"/>
        <v>UAT-WF-User77@mailinator.com</v>
      </c>
      <c r="X108" s="167" t="str">
        <f t="shared" si="21"/>
        <v>Perf-Test-User-10208@mailinator.com</v>
      </c>
      <c r="Y108" s="168" t="str">
        <f t="shared" si="22"/>
        <v>Dummy!2024</v>
      </c>
      <c r="Z108" s="168" t="str">
        <f t="shared" si="23"/>
        <v>020-8030031</v>
      </c>
      <c r="AA108" s="167" t="s">
        <v>2031</v>
      </c>
      <c r="AB108" s="167" t="s">
        <v>1853</v>
      </c>
      <c r="AQ108" s="166" t="str">
        <f t="shared" si="24"/>
        <v>UAT-WF-User77@mailinator.com</v>
      </c>
      <c r="AR108" s="166" t="str">
        <f t="shared" si="25"/>
        <v>Perf-Test-User-10208@mailinator.com</v>
      </c>
    </row>
    <row r="109" spans="1:44" ht="42.75" x14ac:dyDescent="0.25">
      <c r="A109" s="167" t="s">
        <v>2032</v>
      </c>
      <c r="B109" s="167" t="s">
        <v>1847</v>
      </c>
      <c r="C109" s="167" t="s">
        <v>1848</v>
      </c>
      <c r="D109" s="167" t="s">
        <v>1988</v>
      </c>
      <c r="E109" s="167" t="s">
        <v>1970</v>
      </c>
      <c r="F109" s="167"/>
      <c r="G109" s="167" t="s">
        <v>1852</v>
      </c>
      <c r="H109" s="167" t="s">
        <v>1852</v>
      </c>
      <c r="I109" s="167"/>
      <c r="J109" s="167"/>
      <c r="K109" s="168" t="str">
        <f t="shared" si="26"/>
        <v>KASTING</v>
      </c>
      <c r="L109" s="168" t="str">
        <f t="shared" si="15"/>
        <v>SATTERTHWAITE</v>
      </c>
      <c r="M109" s="168">
        <f t="shared" si="16"/>
        <v>21248</v>
      </c>
      <c r="N109" s="168">
        <f t="shared" si="17"/>
        <v>31390</v>
      </c>
      <c r="O109" s="168" t="str">
        <f t="shared" si="18"/>
        <v>242597653</v>
      </c>
      <c r="P109" s="168" t="str">
        <f t="shared" si="19"/>
        <v>242597408</v>
      </c>
      <c r="Q109" s="167"/>
      <c r="R109" s="167"/>
      <c r="S109" s="167"/>
      <c r="T109" s="167"/>
      <c r="U109" s="167"/>
      <c r="V109" s="167"/>
      <c r="W109" s="169" t="str">
        <f t="shared" si="20"/>
        <v>Perf-Test-User-112801@mailinator.com</v>
      </c>
      <c r="X109" s="167" t="str">
        <f t="shared" si="21"/>
        <v>Perf-Test-User-10183@mailinator.com</v>
      </c>
      <c r="Y109" s="168" t="str">
        <f t="shared" si="22"/>
        <v>Dummy!2022</v>
      </c>
      <c r="Z109" s="168" t="str">
        <f t="shared" si="23"/>
        <v>020-8010888</v>
      </c>
      <c r="AA109" s="167" t="s">
        <v>2033</v>
      </c>
      <c r="AB109" s="167" t="s">
        <v>1853</v>
      </c>
      <c r="AQ109" s="166" t="str">
        <f t="shared" si="24"/>
        <v>Perf-Test-User-112801@mailinator.com</v>
      </c>
      <c r="AR109" s="166" t="str">
        <f t="shared" si="25"/>
        <v>Perf-Test-User-10183@mailinator.com</v>
      </c>
    </row>
    <row r="110" spans="1:44" ht="42.75" x14ac:dyDescent="0.25">
      <c r="A110" s="167" t="s">
        <v>2034</v>
      </c>
      <c r="B110" s="167" t="s">
        <v>1858</v>
      </c>
      <c r="C110" s="167" t="s">
        <v>24</v>
      </c>
      <c r="D110" s="167" t="s">
        <v>1988</v>
      </c>
      <c r="E110" s="167" t="s">
        <v>1970</v>
      </c>
      <c r="F110" s="167"/>
      <c r="G110" s="167" t="s">
        <v>1851</v>
      </c>
      <c r="H110" s="167"/>
      <c r="I110" s="167"/>
      <c r="J110" s="167"/>
      <c r="K110" s="168" t="str">
        <f t="shared" si="26"/>
        <v>KASTING</v>
      </c>
      <c r="L110" s="168" t="str">
        <f t="shared" si="15"/>
        <v>SATTERTHWAITE</v>
      </c>
      <c r="M110" s="168">
        <f t="shared" si="16"/>
        <v>21248</v>
      </c>
      <c r="N110" s="168">
        <f t="shared" si="17"/>
        <v>31390</v>
      </c>
      <c r="O110" s="168" t="str">
        <f t="shared" si="18"/>
        <v>242597653</v>
      </c>
      <c r="P110" s="168" t="str">
        <f t="shared" si="19"/>
        <v>242597408</v>
      </c>
      <c r="Q110" s="167"/>
      <c r="R110" s="167"/>
      <c r="S110" s="167"/>
      <c r="T110" s="167"/>
      <c r="U110" s="167"/>
      <c r="V110" s="167"/>
      <c r="W110" s="169" t="str">
        <f t="shared" si="20"/>
        <v>Perf-Test-User-112801@mailinator.com</v>
      </c>
      <c r="X110" s="167" t="str">
        <f t="shared" si="21"/>
        <v>Perf-Test-User-10183@mailinator.com</v>
      </c>
      <c r="Y110" s="168" t="str">
        <f t="shared" si="22"/>
        <v>Dummy!2022</v>
      </c>
      <c r="Z110" s="168" t="str">
        <f t="shared" si="23"/>
        <v>020-8010888</v>
      </c>
      <c r="AA110" s="167" t="s">
        <v>2035</v>
      </c>
      <c r="AB110" s="167" t="s">
        <v>1853</v>
      </c>
      <c r="AQ110" s="166" t="str">
        <f t="shared" si="24"/>
        <v>Perf-Test-User-112801@mailinator.com</v>
      </c>
      <c r="AR110" s="166" t="str">
        <f t="shared" si="25"/>
        <v>Perf-Test-User-10183@mailinator.com</v>
      </c>
    </row>
    <row r="111" spans="1:44" ht="42.75" x14ac:dyDescent="0.25">
      <c r="A111" s="167" t="s">
        <v>2036</v>
      </c>
      <c r="B111" s="167" t="s">
        <v>1355</v>
      </c>
      <c r="C111" s="167" t="s">
        <v>1863</v>
      </c>
      <c r="D111" s="167" t="s">
        <v>1988</v>
      </c>
      <c r="E111" s="167" t="s">
        <v>1970</v>
      </c>
      <c r="F111" s="167"/>
      <c r="G111" s="167" t="s">
        <v>1859</v>
      </c>
      <c r="H111" s="167" t="s">
        <v>1865</v>
      </c>
      <c r="I111" s="167"/>
      <c r="J111" s="167"/>
      <c r="K111" s="168" t="str">
        <f t="shared" si="26"/>
        <v>KASTING</v>
      </c>
      <c r="L111" s="168" t="str">
        <f t="shared" si="15"/>
        <v>SATTERTHWAITE</v>
      </c>
      <c r="M111" s="168">
        <f t="shared" si="16"/>
        <v>21248</v>
      </c>
      <c r="N111" s="168">
        <f t="shared" si="17"/>
        <v>31390</v>
      </c>
      <c r="O111" s="168" t="str">
        <f t="shared" si="18"/>
        <v>242597653</v>
      </c>
      <c r="P111" s="168" t="str">
        <f t="shared" si="19"/>
        <v>242597408</v>
      </c>
      <c r="Q111" s="167"/>
      <c r="R111" s="167"/>
      <c r="S111" s="167"/>
      <c r="T111" s="167"/>
      <c r="U111" s="167"/>
      <c r="V111" s="167"/>
      <c r="W111" s="169" t="str">
        <f t="shared" si="20"/>
        <v>Perf-Test-User-112801@mailinator.com</v>
      </c>
      <c r="X111" s="167" t="str">
        <f t="shared" si="21"/>
        <v>Perf-Test-User-10183@mailinator.com</v>
      </c>
      <c r="Y111" s="168" t="str">
        <f t="shared" si="22"/>
        <v>Dummy!2022</v>
      </c>
      <c r="Z111" s="168" t="str">
        <f t="shared" si="23"/>
        <v>020-8010888</v>
      </c>
      <c r="AA111" s="167" t="s">
        <v>2037</v>
      </c>
      <c r="AB111" s="167" t="s">
        <v>1853</v>
      </c>
      <c r="AQ111" s="166" t="str">
        <f t="shared" si="24"/>
        <v>Perf-Test-User-112801@mailinator.com</v>
      </c>
      <c r="AR111" s="166" t="str">
        <f t="shared" si="25"/>
        <v>Perf-Test-User-10183@mailinator.com</v>
      </c>
    </row>
    <row r="112" spans="1:44" ht="42.75" x14ac:dyDescent="0.25">
      <c r="A112" s="167" t="s">
        <v>2038</v>
      </c>
      <c r="B112" s="167" t="s">
        <v>1355</v>
      </c>
      <c r="C112" s="167" t="s">
        <v>1870</v>
      </c>
      <c r="D112" s="167" t="s">
        <v>1988</v>
      </c>
      <c r="E112" s="167" t="s">
        <v>1970</v>
      </c>
      <c r="F112" s="167"/>
      <c r="G112" s="167" t="s">
        <v>1864</v>
      </c>
      <c r="H112" s="167" t="s">
        <v>1872</v>
      </c>
      <c r="I112" s="167"/>
      <c r="J112" s="167"/>
      <c r="K112" s="168" t="str">
        <f t="shared" si="26"/>
        <v>KASTING</v>
      </c>
      <c r="L112" s="168" t="str">
        <f t="shared" si="15"/>
        <v>SATTERTHWAITE</v>
      </c>
      <c r="M112" s="168">
        <f t="shared" si="16"/>
        <v>21248</v>
      </c>
      <c r="N112" s="168">
        <f t="shared" si="17"/>
        <v>31390</v>
      </c>
      <c r="O112" s="168" t="str">
        <f t="shared" si="18"/>
        <v>242597653</v>
      </c>
      <c r="P112" s="168" t="str">
        <f t="shared" si="19"/>
        <v>242597408</v>
      </c>
      <c r="Q112" s="167"/>
      <c r="R112" s="167"/>
      <c r="S112" s="167"/>
      <c r="T112" s="167"/>
      <c r="U112" s="167"/>
      <c r="V112" s="167"/>
      <c r="W112" s="169" t="str">
        <f t="shared" si="20"/>
        <v>Perf-Test-User-112801@mailinator.com</v>
      </c>
      <c r="X112" s="167" t="str">
        <f t="shared" si="21"/>
        <v>Perf-Test-User-10183@mailinator.com</v>
      </c>
      <c r="Y112" s="168" t="str">
        <f t="shared" si="22"/>
        <v>Dummy!2022</v>
      </c>
      <c r="Z112" s="168" t="str">
        <f t="shared" si="23"/>
        <v>020-8010888</v>
      </c>
      <c r="AA112" s="167" t="s">
        <v>2039</v>
      </c>
      <c r="AB112" s="167" t="s">
        <v>1853</v>
      </c>
      <c r="AQ112" s="166" t="str">
        <f t="shared" si="24"/>
        <v>Perf-Test-User-112801@mailinator.com</v>
      </c>
      <c r="AR112" s="166" t="str">
        <f t="shared" si="25"/>
        <v>Perf-Test-User-10183@mailinator.com</v>
      </c>
    </row>
    <row r="113" spans="1:44" ht="42.75" x14ac:dyDescent="0.25">
      <c r="A113" s="167" t="s">
        <v>2040</v>
      </c>
      <c r="B113" s="167" t="s">
        <v>1355</v>
      </c>
      <c r="C113" s="167" t="s">
        <v>1886</v>
      </c>
      <c r="D113" s="167" t="s">
        <v>1988</v>
      </c>
      <c r="E113" s="167" t="s">
        <v>1970</v>
      </c>
      <c r="F113" s="167" t="s">
        <v>79</v>
      </c>
      <c r="G113" s="167" t="s">
        <v>1871</v>
      </c>
      <c r="H113" s="167" t="s">
        <v>1852</v>
      </c>
      <c r="I113" s="167"/>
      <c r="J113" s="167"/>
      <c r="K113" s="168" t="str">
        <f t="shared" si="26"/>
        <v>KASTING</v>
      </c>
      <c r="L113" s="168" t="str">
        <f t="shared" si="15"/>
        <v>SATTERTHWAITE</v>
      </c>
      <c r="M113" s="168">
        <f t="shared" si="16"/>
        <v>21248</v>
      </c>
      <c r="N113" s="168">
        <f t="shared" si="17"/>
        <v>31390</v>
      </c>
      <c r="O113" s="168" t="str">
        <f t="shared" si="18"/>
        <v>242597653</v>
      </c>
      <c r="P113" s="168" t="str">
        <f t="shared" si="19"/>
        <v>242597408</v>
      </c>
      <c r="Q113" s="167" t="s">
        <v>1880</v>
      </c>
      <c r="R113" s="167" t="s">
        <v>1881</v>
      </c>
      <c r="S113" s="167" t="s">
        <v>1882</v>
      </c>
      <c r="T113" s="167" t="s">
        <v>1883</v>
      </c>
      <c r="U113" s="167" t="s">
        <v>1884</v>
      </c>
      <c r="V113" s="167"/>
      <c r="W113" s="169" t="str">
        <f t="shared" si="20"/>
        <v>Perf-Test-User-112801@mailinator.com</v>
      </c>
      <c r="X113" s="167" t="str">
        <f t="shared" si="21"/>
        <v>Perf-Test-User-10183@mailinator.com</v>
      </c>
      <c r="Y113" s="168" t="str">
        <f t="shared" si="22"/>
        <v>Dummy!2022</v>
      </c>
      <c r="Z113" s="168" t="str">
        <f t="shared" si="23"/>
        <v>020-8010888</v>
      </c>
      <c r="AA113" s="167" t="s">
        <v>2041</v>
      </c>
      <c r="AB113" s="167" t="s">
        <v>1853</v>
      </c>
      <c r="AQ113" s="166" t="str">
        <f t="shared" si="24"/>
        <v>Perf-Test-User-112801@mailinator.com</v>
      </c>
      <c r="AR113" s="166" t="str">
        <f t="shared" si="25"/>
        <v>Perf-Test-User-10183@mailinator.com</v>
      </c>
    </row>
    <row r="114" spans="1:44" ht="42.75" x14ac:dyDescent="0.25">
      <c r="A114" s="167" t="s">
        <v>2042</v>
      </c>
      <c r="B114" s="167" t="s">
        <v>1355</v>
      </c>
      <c r="C114" s="167" t="s">
        <v>1892</v>
      </c>
      <c r="D114" s="167" t="s">
        <v>1988</v>
      </c>
      <c r="E114" s="167" t="s">
        <v>1970</v>
      </c>
      <c r="F114" s="167" t="s">
        <v>79</v>
      </c>
      <c r="G114" s="167" t="s">
        <v>1877</v>
      </c>
      <c r="H114" s="167"/>
      <c r="I114" s="167"/>
      <c r="J114" s="167"/>
      <c r="K114" s="168" t="str">
        <f t="shared" si="26"/>
        <v>KASTING</v>
      </c>
      <c r="L114" s="168" t="str">
        <f t="shared" si="15"/>
        <v>SATTERTHWAITE</v>
      </c>
      <c r="M114" s="168">
        <f t="shared" si="16"/>
        <v>21248</v>
      </c>
      <c r="N114" s="168">
        <f t="shared" si="17"/>
        <v>31390</v>
      </c>
      <c r="O114" s="168" t="str">
        <f t="shared" si="18"/>
        <v>242597653</v>
      </c>
      <c r="P114" s="168" t="str">
        <f t="shared" si="19"/>
        <v>242597408</v>
      </c>
      <c r="Q114" s="167" t="s">
        <v>1880</v>
      </c>
      <c r="R114" s="167" t="s">
        <v>1881</v>
      </c>
      <c r="S114" s="167" t="s">
        <v>1882</v>
      </c>
      <c r="T114" s="167" t="s">
        <v>1883</v>
      </c>
      <c r="U114" s="167" t="s">
        <v>1884</v>
      </c>
      <c r="V114" s="167"/>
      <c r="W114" s="169" t="str">
        <f t="shared" si="20"/>
        <v>Perf-Test-User-112801@mailinator.com</v>
      </c>
      <c r="X114" s="167" t="str">
        <f t="shared" si="21"/>
        <v>Perf-Test-User-10183@mailinator.com</v>
      </c>
      <c r="Y114" s="168" t="str">
        <f t="shared" si="22"/>
        <v>Dummy!2022</v>
      </c>
      <c r="Z114" s="168" t="str">
        <f t="shared" si="23"/>
        <v>020-8010888</v>
      </c>
      <c r="AA114" s="167" t="s">
        <v>2043</v>
      </c>
      <c r="AB114" s="167" t="s">
        <v>1853</v>
      </c>
      <c r="AQ114" s="166" t="str">
        <f t="shared" si="24"/>
        <v>Perf-Test-User-112801@mailinator.com</v>
      </c>
      <c r="AR114" s="166" t="str">
        <f t="shared" si="25"/>
        <v>Perf-Test-User-10183@mailinator.com</v>
      </c>
    </row>
    <row r="115" spans="1:44" ht="42.75" x14ac:dyDescent="0.25">
      <c r="A115" s="167" t="s">
        <v>2044</v>
      </c>
      <c r="B115" s="167" t="s">
        <v>1355</v>
      </c>
      <c r="C115" s="167" t="s">
        <v>1892</v>
      </c>
      <c r="D115" s="167" t="s">
        <v>1988</v>
      </c>
      <c r="E115" s="167" t="s">
        <v>1970</v>
      </c>
      <c r="F115" s="167" t="s">
        <v>36</v>
      </c>
      <c r="G115" s="167" t="s">
        <v>1887</v>
      </c>
      <c r="H115" s="167"/>
      <c r="I115" s="167"/>
      <c r="J115" s="167"/>
      <c r="K115" s="168" t="str">
        <f t="shared" si="26"/>
        <v>KASTING</v>
      </c>
      <c r="L115" s="168" t="str">
        <f t="shared" si="15"/>
        <v>SATTERTHWAITE</v>
      </c>
      <c r="M115" s="168">
        <f t="shared" si="16"/>
        <v>21248</v>
      </c>
      <c r="N115" s="168">
        <f t="shared" si="17"/>
        <v>31390</v>
      </c>
      <c r="O115" s="168" t="str">
        <f t="shared" si="18"/>
        <v>242597653</v>
      </c>
      <c r="P115" s="168" t="str">
        <f t="shared" si="19"/>
        <v>242597408</v>
      </c>
      <c r="Q115" s="167" t="s">
        <v>1880</v>
      </c>
      <c r="R115" s="167" t="s">
        <v>1881</v>
      </c>
      <c r="S115" s="167" t="s">
        <v>1882</v>
      </c>
      <c r="T115" s="167" t="s">
        <v>1883</v>
      </c>
      <c r="U115" s="167" t="s">
        <v>1884</v>
      </c>
      <c r="V115" s="167"/>
      <c r="W115" s="169" t="str">
        <f t="shared" si="20"/>
        <v>Perf-Test-User-112801@mailinator.com</v>
      </c>
      <c r="X115" s="167" t="str">
        <f t="shared" si="21"/>
        <v>Perf-Test-User-10183@mailinator.com</v>
      </c>
      <c r="Y115" s="168" t="str">
        <f t="shared" si="22"/>
        <v>Dummy!2022</v>
      </c>
      <c r="Z115" s="168" t="str">
        <f t="shared" si="23"/>
        <v>020-8010888</v>
      </c>
      <c r="AA115" s="167" t="s">
        <v>2045</v>
      </c>
      <c r="AB115" s="167" t="s">
        <v>1853</v>
      </c>
      <c r="AQ115" s="166" t="str">
        <f t="shared" si="24"/>
        <v>Perf-Test-User-112801@mailinator.com</v>
      </c>
      <c r="AR115" s="166" t="str">
        <f t="shared" si="25"/>
        <v>Perf-Test-User-10183@mailinator.com</v>
      </c>
    </row>
    <row r="116" spans="1:44" ht="42.75" x14ac:dyDescent="0.25">
      <c r="A116" s="167" t="s">
        <v>1453</v>
      </c>
      <c r="B116" s="167" t="s">
        <v>1355</v>
      </c>
      <c r="C116" s="167" t="s">
        <v>1896</v>
      </c>
      <c r="D116" s="167" t="s">
        <v>1988</v>
      </c>
      <c r="E116" s="167" t="s">
        <v>1970</v>
      </c>
      <c r="F116" s="167" t="s">
        <v>36</v>
      </c>
      <c r="G116" s="167" t="s">
        <v>1893</v>
      </c>
      <c r="H116" s="167" t="s">
        <v>1852</v>
      </c>
      <c r="I116" s="167"/>
      <c r="J116" s="167"/>
      <c r="K116" s="168" t="str">
        <f t="shared" si="26"/>
        <v>KASTING</v>
      </c>
      <c r="L116" s="168" t="str">
        <f t="shared" si="15"/>
        <v>SATTERTHWAITE</v>
      </c>
      <c r="M116" s="168">
        <f t="shared" si="16"/>
        <v>21248</v>
      </c>
      <c r="N116" s="168">
        <f t="shared" si="17"/>
        <v>31390</v>
      </c>
      <c r="O116" s="168" t="str">
        <f t="shared" si="18"/>
        <v>242597653</v>
      </c>
      <c r="P116" s="168" t="str">
        <f t="shared" si="19"/>
        <v>242597408</v>
      </c>
      <c r="Q116" s="167" t="s">
        <v>1880</v>
      </c>
      <c r="R116" s="167" t="s">
        <v>1881</v>
      </c>
      <c r="S116" s="167" t="s">
        <v>1919</v>
      </c>
      <c r="T116" s="167" t="s">
        <v>1883</v>
      </c>
      <c r="U116" s="167" t="s">
        <v>1884</v>
      </c>
      <c r="V116" s="167"/>
      <c r="W116" s="169" t="str">
        <f t="shared" si="20"/>
        <v>Perf-Test-User-112801@mailinator.com</v>
      </c>
      <c r="X116" s="167" t="str">
        <f t="shared" si="21"/>
        <v>Perf-Test-User-10183@mailinator.com</v>
      </c>
      <c r="Y116" s="168" t="str">
        <f t="shared" si="22"/>
        <v>Dummy!2022</v>
      </c>
      <c r="Z116" s="168" t="str">
        <f t="shared" si="23"/>
        <v>020-8010888</v>
      </c>
      <c r="AA116" s="167" t="s">
        <v>2046</v>
      </c>
      <c r="AB116" s="167" t="s">
        <v>1853</v>
      </c>
      <c r="AQ116" s="166" t="str">
        <f t="shared" si="24"/>
        <v>Perf-Test-User-112801@mailinator.com</v>
      </c>
      <c r="AR116" s="166" t="str">
        <f t="shared" si="25"/>
        <v>Perf-Test-User-10183@mailinator.com</v>
      </c>
    </row>
    <row r="117" spans="1:44" ht="42.75" x14ac:dyDescent="0.25">
      <c r="A117" s="167" t="s">
        <v>1454</v>
      </c>
      <c r="B117" s="167" t="s">
        <v>1355</v>
      </c>
      <c r="C117" s="167" t="s">
        <v>1886</v>
      </c>
      <c r="D117" s="167" t="s">
        <v>1988</v>
      </c>
      <c r="E117" s="167" t="s">
        <v>1970</v>
      </c>
      <c r="F117" s="167" t="s">
        <v>36</v>
      </c>
      <c r="G117" s="167" t="s">
        <v>1897</v>
      </c>
      <c r="H117" s="167" t="s">
        <v>1865</v>
      </c>
      <c r="I117" s="167"/>
      <c r="J117" s="167"/>
      <c r="K117" s="168" t="str">
        <f t="shared" si="26"/>
        <v>KASTING</v>
      </c>
      <c r="L117" s="168" t="str">
        <f t="shared" si="15"/>
        <v>SATTERTHWAITE</v>
      </c>
      <c r="M117" s="168">
        <f t="shared" si="16"/>
        <v>21248</v>
      </c>
      <c r="N117" s="168">
        <f t="shared" si="17"/>
        <v>31390</v>
      </c>
      <c r="O117" s="168" t="str">
        <f t="shared" si="18"/>
        <v>242597653</v>
      </c>
      <c r="P117" s="168" t="str">
        <f t="shared" si="19"/>
        <v>242597408</v>
      </c>
      <c r="Q117" s="167" t="s">
        <v>1880</v>
      </c>
      <c r="R117" s="167" t="s">
        <v>1881</v>
      </c>
      <c r="S117" s="167" t="s">
        <v>1921</v>
      </c>
      <c r="T117" s="167" t="s">
        <v>1883</v>
      </c>
      <c r="U117" s="167" t="s">
        <v>1884</v>
      </c>
      <c r="V117" s="167"/>
      <c r="W117" s="169" t="str">
        <f t="shared" si="20"/>
        <v>Perf-Test-User-112801@mailinator.com</v>
      </c>
      <c r="X117" s="167" t="str">
        <f t="shared" si="21"/>
        <v>Perf-Test-User-10183@mailinator.com</v>
      </c>
      <c r="Y117" s="168" t="str">
        <f t="shared" si="22"/>
        <v>Dummy!2022</v>
      </c>
      <c r="Z117" s="168" t="str">
        <f t="shared" si="23"/>
        <v>020-8010888</v>
      </c>
      <c r="AA117" s="167" t="s">
        <v>2047</v>
      </c>
      <c r="AB117" s="167" t="s">
        <v>1853</v>
      </c>
      <c r="AQ117" s="166" t="str">
        <f t="shared" si="24"/>
        <v>Perf-Test-User-112801@mailinator.com</v>
      </c>
      <c r="AR117" s="166" t="str">
        <f t="shared" si="25"/>
        <v>Perf-Test-User-10183@mailinator.com</v>
      </c>
    </row>
    <row r="118" spans="1:44" ht="42.75" x14ac:dyDescent="0.25">
      <c r="A118" s="167" t="s">
        <v>1470</v>
      </c>
      <c r="B118" s="167" t="s">
        <v>1847</v>
      </c>
      <c r="C118" s="167" t="s">
        <v>1848</v>
      </c>
      <c r="D118" s="167" t="s">
        <v>1849</v>
      </c>
      <c r="E118" s="167" t="s">
        <v>1850</v>
      </c>
      <c r="F118" s="167" t="s">
        <v>1355</v>
      </c>
      <c r="G118" s="167" t="s">
        <v>1852</v>
      </c>
      <c r="H118" s="167" t="s">
        <v>1852</v>
      </c>
      <c r="I118" s="167">
        <v>100</v>
      </c>
      <c r="J118" s="167" t="s">
        <v>1355</v>
      </c>
      <c r="K118" s="168" t="str">
        <f t="shared" si="26"/>
        <v>HIDDERLEY</v>
      </c>
      <c r="L118" s="168" t="str">
        <f t="shared" si="15"/>
        <v/>
      </c>
      <c r="M118" s="168">
        <f t="shared" si="16"/>
        <v>35736</v>
      </c>
      <c r="N118" s="168" t="str">
        <f t="shared" si="17"/>
        <v/>
      </c>
      <c r="O118" s="168" t="str">
        <f t="shared" si="18"/>
        <v>242597904</v>
      </c>
      <c r="P118" s="168" t="str">
        <f t="shared" si="19"/>
        <v/>
      </c>
      <c r="Q118" s="167" t="s">
        <v>1355</v>
      </c>
      <c r="R118" s="167" t="s">
        <v>1355</v>
      </c>
      <c r="S118" s="167" t="s">
        <v>1355</v>
      </c>
      <c r="T118" s="167" t="s">
        <v>1355</v>
      </c>
      <c r="U118" s="167" t="s">
        <v>1355</v>
      </c>
      <c r="V118" s="167" t="s">
        <v>1355</v>
      </c>
      <c r="W118" s="169" t="str">
        <f t="shared" si="20"/>
        <v>UAT-WF-User77@mailinator.com</v>
      </c>
      <c r="X118" s="167" t="str">
        <f t="shared" si="21"/>
        <v/>
      </c>
      <c r="Y118" s="168" t="str">
        <f t="shared" si="22"/>
        <v>Dummy!2024</v>
      </c>
      <c r="Z118" s="168" t="str">
        <f t="shared" si="23"/>
        <v>020-8030031</v>
      </c>
      <c r="AA118" s="167"/>
      <c r="AB118" s="167" t="s">
        <v>1853</v>
      </c>
      <c r="AQ118" s="166" t="str">
        <f t="shared" si="24"/>
        <v>UAT-WF-User77@mailinator.com</v>
      </c>
      <c r="AR118" s="166" t="str">
        <f t="shared" si="25"/>
        <v/>
      </c>
    </row>
    <row r="119" spans="1:44" ht="42.75" x14ac:dyDescent="0.25">
      <c r="A119" s="167" t="s">
        <v>1469</v>
      </c>
      <c r="B119" s="167" t="s">
        <v>1858</v>
      </c>
      <c r="C119" s="167" t="s">
        <v>24</v>
      </c>
      <c r="D119" s="167" t="s">
        <v>1849</v>
      </c>
      <c r="E119" s="167" t="s">
        <v>1850</v>
      </c>
      <c r="F119" s="167" t="s">
        <v>1355</v>
      </c>
      <c r="G119" s="167" t="s">
        <v>1851</v>
      </c>
      <c r="H119" s="167"/>
      <c r="I119" s="167" t="s">
        <v>60</v>
      </c>
      <c r="J119" s="167" t="s">
        <v>1355</v>
      </c>
      <c r="K119" s="168" t="str">
        <f t="shared" si="26"/>
        <v>HIDDERLEY</v>
      </c>
      <c r="L119" s="168" t="str">
        <f t="shared" si="15"/>
        <v/>
      </c>
      <c r="M119" s="168">
        <f t="shared" si="16"/>
        <v>35736</v>
      </c>
      <c r="N119" s="168" t="str">
        <f t="shared" si="17"/>
        <v/>
      </c>
      <c r="O119" s="168" t="str">
        <f t="shared" si="18"/>
        <v>242597904</v>
      </c>
      <c r="P119" s="168" t="str">
        <f t="shared" si="19"/>
        <v/>
      </c>
      <c r="Q119" s="167" t="s">
        <v>1355</v>
      </c>
      <c r="R119" s="167" t="s">
        <v>1355</v>
      </c>
      <c r="S119" s="167" t="s">
        <v>1355</v>
      </c>
      <c r="T119" s="167" t="s">
        <v>1355</v>
      </c>
      <c r="U119" s="167" t="s">
        <v>1355</v>
      </c>
      <c r="V119" s="167" t="s">
        <v>1355</v>
      </c>
      <c r="W119" s="169" t="str">
        <f t="shared" si="20"/>
        <v>UAT-WF-User77@mailinator.com</v>
      </c>
      <c r="X119" s="167" t="str">
        <f t="shared" si="21"/>
        <v/>
      </c>
      <c r="Y119" s="168" t="str">
        <f t="shared" si="22"/>
        <v>Dummy!2024</v>
      </c>
      <c r="Z119" s="168" t="str">
        <f t="shared" si="23"/>
        <v>020-8030031</v>
      </c>
      <c r="AA119" s="167"/>
      <c r="AB119" s="167" t="s">
        <v>1853</v>
      </c>
      <c r="AQ119" s="166" t="str">
        <f t="shared" si="24"/>
        <v>UAT-WF-User77@mailinator.com</v>
      </c>
      <c r="AR119" s="166" t="str">
        <f t="shared" si="25"/>
        <v/>
      </c>
    </row>
    <row r="120" spans="1:44" ht="42.75" x14ac:dyDescent="0.25">
      <c r="A120" s="167" t="s">
        <v>1531</v>
      </c>
      <c r="B120" s="167" t="s">
        <v>1355</v>
      </c>
      <c r="C120" s="167" t="s">
        <v>1863</v>
      </c>
      <c r="D120" s="167" t="s">
        <v>1849</v>
      </c>
      <c r="E120" s="167" t="s">
        <v>1850</v>
      </c>
      <c r="F120" s="167" t="s">
        <v>1355</v>
      </c>
      <c r="G120" s="167" t="s">
        <v>1859</v>
      </c>
      <c r="H120" s="167" t="s">
        <v>1865</v>
      </c>
      <c r="I120" s="167" t="s">
        <v>1866</v>
      </c>
      <c r="J120" s="167" t="s">
        <v>1355</v>
      </c>
      <c r="K120" s="168" t="str">
        <f t="shared" si="26"/>
        <v>HIDDERLEY</v>
      </c>
      <c r="L120" s="168" t="str">
        <f t="shared" si="15"/>
        <v/>
      </c>
      <c r="M120" s="168">
        <f t="shared" si="16"/>
        <v>35736</v>
      </c>
      <c r="N120" s="168" t="str">
        <f t="shared" si="17"/>
        <v/>
      </c>
      <c r="O120" s="168" t="str">
        <f t="shared" si="18"/>
        <v>242597904</v>
      </c>
      <c r="P120" s="168" t="str">
        <f t="shared" si="19"/>
        <v/>
      </c>
      <c r="Q120" s="167" t="s">
        <v>1355</v>
      </c>
      <c r="R120" s="167" t="s">
        <v>1355</v>
      </c>
      <c r="S120" s="167" t="s">
        <v>1355</v>
      </c>
      <c r="T120" s="167" t="s">
        <v>1355</v>
      </c>
      <c r="U120" s="167" t="s">
        <v>1355</v>
      </c>
      <c r="V120" s="167" t="s">
        <v>1355</v>
      </c>
      <c r="W120" s="169" t="str">
        <f t="shared" si="20"/>
        <v>UAT-WF-User77@mailinator.com</v>
      </c>
      <c r="X120" s="167" t="str">
        <f t="shared" si="21"/>
        <v/>
      </c>
      <c r="Y120" s="168" t="str">
        <f t="shared" si="22"/>
        <v>Dummy!2024</v>
      </c>
      <c r="Z120" s="168" t="str">
        <f t="shared" si="23"/>
        <v>020-8030031</v>
      </c>
      <c r="AA120" s="167"/>
      <c r="AB120" s="167" t="s">
        <v>1853</v>
      </c>
      <c r="AQ120" s="166" t="str">
        <f t="shared" si="24"/>
        <v>UAT-WF-User77@mailinator.com</v>
      </c>
      <c r="AR120" s="166" t="str">
        <f t="shared" si="25"/>
        <v/>
      </c>
    </row>
    <row r="121" spans="1:44" ht="42.75" x14ac:dyDescent="0.25">
      <c r="A121" s="167" t="s">
        <v>1455</v>
      </c>
      <c r="B121" s="167" t="s">
        <v>1355</v>
      </c>
      <c r="C121" s="167" t="s">
        <v>1870</v>
      </c>
      <c r="D121" s="167" t="s">
        <v>1849</v>
      </c>
      <c r="E121" s="167" t="s">
        <v>1850</v>
      </c>
      <c r="F121" s="167" t="s">
        <v>1355</v>
      </c>
      <c r="G121" s="167" t="s">
        <v>1864</v>
      </c>
      <c r="H121" s="167" t="s">
        <v>1872</v>
      </c>
      <c r="I121" s="167" t="s">
        <v>1873</v>
      </c>
      <c r="J121" s="167" t="s">
        <v>1355</v>
      </c>
      <c r="K121" s="168" t="str">
        <f t="shared" si="26"/>
        <v>HIDDERLEY</v>
      </c>
      <c r="L121" s="168" t="str">
        <f t="shared" si="15"/>
        <v/>
      </c>
      <c r="M121" s="168">
        <f t="shared" si="16"/>
        <v>35736</v>
      </c>
      <c r="N121" s="168" t="str">
        <f t="shared" si="17"/>
        <v/>
      </c>
      <c r="O121" s="168" t="str">
        <f t="shared" si="18"/>
        <v>242597904</v>
      </c>
      <c r="P121" s="168" t="str">
        <f t="shared" si="19"/>
        <v/>
      </c>
      <c r="Q121" s="167" t="s">
        <v>1355</v>
      </c>
      <c r="R121" s="167" t="s">
        <v>1355</v>
      </c>
      <c r="S121" s="167" t="s">
        <v>1355</v>
      </c>
      <c r="T121" s="167" t="s">
        <v>1355</v>
      </c>
      <c r="U121" s="167" t="s">
        <v>1355</v>
      </c>
      <c r="V121" s="167" t="s">
        <v>1355</v>
      </c>
      <c r="W121" s="169" t="str">
        <f t="shared" si="20"/>
        <v>UAT-WF-User77@mailinator.com</v>
      </c>
      <c r="X121" s="167" t="str">
        <f t="shared" si="21"/>
        <v/>
      </c>
      <c r="Y121" s="168" t="str">
        <f t="shared" si="22"/>
        <v>Dummy!2024</v>
      </c>
      <c r="Z121" s="168" t="str">
        <f t="shared" si="23"/>
        <v>020-8030031</v>
      </c>
      <c r="AA121" s="167"/>
      <c r="AB121" s="167" t="s">
        <v>1853</v>
      </c>
      <c r="AQ121" s="166" t="str">
        <f t="shared" si="24"/>
        <v>UAT-WF-User77@mailinator.com</v>
      </c>
      <c r="AR121" s="166" t="str">
        <f t="shared" si="25"/>
        <v/>
      </c>
    </row>
    <row r="122" spans="1:44" ht="42.75" x14ac:dyDescent="0.25">
      <c r="A122" s="167" t="s">
        <v>2048</v>
      </c>
      <c r="B122" s="167" t="s">
        <v>1355</v>
      </c>
      <c r="C122" s="167" t="s">
        <v>1876</v>
      </c>
      <c r="D122" s="167" t="s">
        <v>1849</v>
      </c>
      <c r="E122" s="167" t="s">
        <v>1850</v>
      </c>
      <c r="F122" s="167" t="s">
        <v>79</v>
      </c>
      <c r="G122" s="167" t="s">
        <v>1871</v>
      </c>
      <c r="H122" s="167"/>
      <c r="I122" s="167" t="s">
        <v>1355</v>
      </c>
      <c r="J122" s="167" t="s">
        <v>1878</v>
      </c>
      <c r="K122" s="167" t="s">
        <v>1879</v>
      </c>
      <c r="L122" s="168" t="str">
        <f t="shared" si="15"/>
        <v/>
      </c>
      <c r="M122" s="168">
        <f t="shared" si="16"/>
        <v>35736</v>
      </c>
      <c r="N122" s="168" t="str">
        <f t="shared" si="17"/>
        <v/>
      </c>
      <c r="O122" s="168" t="str">
        <f t="shared" si="18"/>
        <v>242597904</v>
      </c>
      <c r="P122" s="168" t="str">
        <f t="shared" si="19"/>
        <v/>
      </c>
      <c r="Q122" s="167" t="s">
        <v>1880</v>
      </c>
      <c r="R122" s="167" t="s">
        <v>1881</v>
      </c>
      <c r="S122" s="167" t="s">
        <v>1882</v>
      </c>
      <c r="T122" s="167" t="s">
        <v>1883</v>
      </c>
      <c r="U122" s="167" t="s">
        <v>1884</v>
      </c>
      <c r="V122" s="167" t="s">
        <v>1885</v>
      </c>
      <c r="W122" s="169" t="str">
        <f t="shared" si="20"/>
        <v>UAT-WF-User77@mailinator.com</v>
      </c>
      <c r="X122" s="167" t="str">
        <f t="shared" si="21"/>
        <v/>
      </c>
      <c r="Y122" s="168" t="str">
        <f t="shared" si="22"/>
        <v>Dummy!2024</v>
      </c>
      <c r="Z122" s="168" t="str">
        <f t="shared" si="23"/>
        <v>020-8030031</v>
      </c>
      <c r="AA122" s="167"/>
      <c r="AB122" s="167" t="s">
        <v>1853</v>
      </c>
      <c r="AQ122" s="166" t="str">
        <f t="shared" si="24"/>
        <v>UAT-WF-User77@mailinator.com</v>
      </c>
      <c r="AR122" s="166" t="str">
        <f t="shared" si="25"/>
        <v/>
      </c>
    </row>
    <row r="123" spans="1:44" ht="42.75" x14ac:dyDescent="0.25">
      <c r="A123" s="167" t="s">
        <v>1456</v>
      </c>
      <c r="B123" s="167" t="s">
        <v>1355</v>
      </c>
      <c r="C123" s="167" t="s">
        <v>1886</v>
      </c>
      <c r="D123" s="167" t="s">
        <v>1849</v>
      </c>
      <c r="E123" s="167" t="s">
        <v>1850</v>
      </c>
      <c r="F123" s="167" t="s">
        <v>1355</v>
      </c>
      <c r="G123" s="167" t="s">
        <v>1877</v>
      </c>
      <c r="H123" s="167" t="s">
        <v>1852</v>
      </c>
      <c r="I123" s="167" t="s">
        <v>1355</v>
      </c>
      <c r="J123" s="167" t="s">
        <v>1355</v>
      </c>
      <c r="K123" s="168" t="str">
        <f>IF(W123=$AU$4, $AX$4,
IF(W123=$AU$2,$AX$2, ""))</f>
        <v>HIDDERLEY</v>
      </c>
      <c r="L123" s="168" t="str">
        <f t="shared" si="15"/>
        <v/>
      </c>
      <c r="M123" s="168">
        <f t="shared" si="16"/>
        <v>35736</v>
      </c>
      <c r="N123" s="168" t="str">
        <f t="shared" si="17"/>
        <v/>
      </c>
      <c r="O123" s="168" t="str">
        <f t="shared" si="18"/>
        <v>242597904</v>
      </c>
      <c r="P123" s="168" t="str">
        <f t="shared" si="19"/>
        <v/>
      </c>
      <c r="Q123" s="167" t="s">
        <v>1888</v>
      </c>
      <c r="R123" s="167" t="s">
        <v>1889</v>
      </c>
      <c r="S123" s="167" t="s">
        <v>1890</v>
      </c>
      <c r="T123" s="167" t="s">
        <v>1355</v>
      </c>
      <c r="U123" s="167" t="s">
        <v>1355</v>
      </c>
      <c r="V123" s="167" t="s">
        <v>1355</v>
      </c>
      <c r="W123" s="169" t="str">
        <f t="shared" si="20"/>
        <v>UAT-WF-User77@mailinator.com</v>
      </c>
      <c r="X123" s="167" t="str">
        <f t="shared" si="21"/>
        <v/>
      </c>
      <c r="Y123" s="168" t="str">
        <f t="shared" si="22"/>
        <v>Dummy!2024</v>
      </c>
      <c r="Z123" s="168" t="str">
        <f t="shared" si="23"/>
        <v>020-8030031</v>
      </c>
      <c r="AA123" s="167"/>
      <c r="AB123" s="167" t="s">
        <v>1853</v>
      </c>
      <c r="AQ123" s="166" t="str">
        <f t="shared" si="24"/>
        <v>UAT-WF-User77@mailinator.com</v>
      </c>
      <c r="AR123" s="166" t="str">
        <f t="shared" si="25"/>
        <v/>
      </c>
    </row>
    <row r="124" spans="1:44" ht="42.75" x14ac:dyDescent="0.25">
      <c r="A124" s="167" t="s">
        <v>1457</v>
      </c>
      <c r="B124" s="167" t="s">
        <v>1355</v>
      </c>
      <c r="C124" s="167" t="s">
        <v>1892</v>
      </c>
      <c r="D124" s="167" t="s">
        <v>1849</v>
      </c>
      <c r="E124" s="167" t="s">
        <v>1850</v>
      </c>
      <c r="F124" s="167" t="s">
        <v>79</v>
      </c>
      <c r="G124" s="167" t="s">
        <v>1887</v>
      </c>
      <c r="H124" s="167"/>
      <c r="I124" s="167" t="s">
        <v>1355</v>
      </c>
      <c r="J124" s="167"/>
      <c r="K124" s="168" t="str">
        <f>IF(W124=$AU$4, $AX$4,
IF(W124=$AU$2,$AX$2, ""))</f>
        <v>HIDDERLEY</v>
      </c>
      <c r="L124" s="168" t="str">
        <f t="shared" si="15"/>
        <v/>
      </c>
      <c r="M124" s="168">
        <f t="shared" si="16"/>
        <v>35736</v>
      </c>
      <c r="N124" s="168" t="str">
        <f t="shared" si="17"/>
        <v/>
      </c>
      <c r="O124" s="168" t="str">
        <f t="shared" si="18"/>
        <v>242597904</v>
      </c>
      <c r="P124" s="168" t="str">
        <f t="shared" si="19"/>
        <v/>
      </c>
      <c r="Q124" s="167" t="s">
        <v>1894</v>
      </c>
      <c r="R124" s="167" t="s">
        <v>1895</v>
      </c>
      <c r="S124" s="167" t="s">
        <v>1882</v>
      </c>
      <c r="T124" s="167" t="s">
        <v>1883</v>
      </c>
      <c r="U124" s="167" t="s">
        <v>1884</v>
      </c>
      <c r="V124" s="167" t="s">
        <v>1885</v>
      </c>
      <c r="W124" s="169" t="str">
        <f t="shared" si="20"/>
        <v>UAT-WF-User77@mailinator.com</v>
      </c>
      <c r="X124" s="167" t="str">
        <f t="shared" si="21"/>
        <v/>
      </c>
      <c r="Y124" s="168" t="str">
        <f t="shared" si="22"/>
        <v>Dummy!2024</v>
      </c>
      <c r="Z124" s="168" t="str">
        <f t="shared" si="23"/>
        <v>020-8030031</v>
      </c>
      <c r="AA124" s="167"/>
      <c r="AB124" s="167" t="s">
        <v>1853</v>
      </c>
      <c r="AQ124" s="166" t="str">
        <f t="shared" si="24"/>
        <v>UAT-WF-User77@mailinator.com</v>
      </c>
      <c r="AR124" s="166" t="str">
        <f t="shared" si="25"/>
        <v/>
      </c>
    </row>
    <row r="125" spans="1:44" ht="42.75" x14ac:dyDescent="0.25">
      <c r="A125" s="167" t="s">
        <v>1477</v>
      </c>
      <c r="B125" s="167" t="s">
        <v>1355</v>
      </c>
      <c r="C125" s="167" t="s">
        <v>1896</v>
      </c>
      <c r="D125" s="167" t="s">
        <v>1849</v>
      </c>
      <c r="E125" s="167" t="s">
        <v>1850</v>
      </c>
      <c r="F125" s="167" t="s">
        <v>36</v>
      </c>
      <c r="G125" s="167" t="s">
        <v>1893</v>
      </c>
      <c r="H125" s="167" t="s">
        <v>1872</v>
      </c>
      <c r="I125" s="167" t="s">
        <v>1898</v>
      </c>
      <c r="J125" s="167" t="s">
        <v>1355</v>
      </c>
      <c r="K125" s="168" t="str">
        <f>IF(W125=$AU$4, $AX$4,
IF(W125=$AU$2,$AX$2, ""))</f>
        <v>HIDDERLEY</v>
      </c>
      <c r="L125" s="168" t="str">
        <f t="shared" si="15"/>
        <v/>
      </c>
      <c r="M125" s="168">
        <f t="shared" si="16"/>
        <v>35736</v>
      </c>
      <c r="N125" s="168" t="str">
        <f t="shared" si="17"/>
        <v/>
      </c>
      <c r="O125" s="168" t="str">
        <f t="shared" si="18"/>
        <v>242597904</v>
      </c>
      <c r="P125" s="168" t="str">
        <f t="shared" si="19"/>
        <v/>
      </c>
      <c r="Q125" s="167" t="s">
        <v>1888</v>
      </c>
      <c r="R125" s="167" t="s">
        <v>1889</v>
      </c>
      <c r="S125" s="167" t="s">
        <v>1890</v>
      </c>
      <c r="T125" s="167" t="s">
        <v>1883</v>
      </c>
      <c r="U125" s="167" t="s">
        <v>1884</v>
      </c>
      <c r="V125" s="167" t="s">
        <v>1355</v>
      </c>
      <c r="W125" s="169" t="str">
        <f t="shared" si="20"/>
        <v>UAT-WF-User77@mailinator.com</v>
      </c>
      <c r="X125" s="167" t="str">
        <f t="shared" si="21"/>
        <v/>
      </c>
      <c r="Y125" s="168" t="str">
        <f t="shared" si="22"/>
        <v>Dummy!2024</v>
      </c>
      <c r="Z125" s="168" t="str">
        <f t="shared" si="23"/>
        <v>020-8030031</v>
      </c>
      <c r="AA125" s="167"/>
      <c r="AB125" s="167" t="s">
        <v>1853</v>
      </c>
      <c r="AQ125" s="166" t="str">
        <f t="shared" si="24"/>
        <v>UAT-WF-User77@mailinator.com</v>
      </c>
      <c r="AR125" s="166" t="str">
        <f t="shared" si="25"/>
        <v/>
      </c>
    </row>
    <row r="126" spans="1:44" ht="42.75" x14ac:dyDescent="0.25">
      <c r="A126" s="167" t="s">
        <v>2049</v>
      </c>
      <c r="B126" s="167" t="s">
        <v>1355</v>
      </c>
      <c r="C126" s="167" t="s">
        <v>1876</v>
      </c>
      <c r="D126" s="167" t="s">
        <v>1849</v>
      </c>
      <c r="E126" s="167" t="s">
        <v>1850</v>
      </c>
      <c r="F126" s="167" t="s">
        <v>36</v>
      </c>
      <c r="G126" s="167" t="s">
        <v>1897</v>
      </c>
      <c r="H126" s="167"/>
      <c r="I126" s="167" t="s">
        <v>1355</v>
      </c>
      <c r="J126" s="167" t="s">
        <v>1878</v>
      </c>
      <c r="K126" s="167" t="s">
        <v>1879</v>
      </c>
      <c r="L126" s="168" t="str">
        <f t="shared" si="15"/>
        <v/>
      </c>
      <c r="M126" s="168">
        <f t="shared" si="16"/>
        <v>35736</v>
      </c>
      <c r="N126" s="168" t="str">
        <f t="shared" si="17"/>
        <v/>
      </c>
      <c r="O126" s="168" t="str">
        <f t="shared" si="18"/>
        <v>242597904</v>
      </c>
      <c r="P126" s="168" t="str">
        <f t="shared" si="19"/>
        <v/>
      </c>
      <c r="Q126" s="167" t="s">
        <v>1880</v>
      </c>
      <c r="R126" s="167" t="s">
        <v>1881</v>
      </c>
      <c r="S126" s="167" t="s">
        <v>1882</v>
      </c>
      <c r="T126" s="167" t="s">
        <v>1883</v>
      </c>
      <c r="U126" s="167" t="s">
        <v>1884</v>
      </c>
      <c r="V126" s="167" t="s">
        <v>1885</v>
      </c>
      <c r="W126" s="169" t="str">
        <f t="shared" si="20"/>
        <v>UAT-WF-User77@mailinator.com</v>
      </c>
      <c r="X126" s="167" t="str">
        <f t="shared" si="21"/>
        <v/>
      </c>
      <c r="Y126" s="168" t="str">
        <f t="shared" si="22"/>
        <v>Dummy!2024</v>
      </c>
      <c r="Z126" s="168" t="str">
        <f t="shared" si="23"/>
        <v>020-8030031</v>
      </c>
      <c r="AA126" s="167"/>
      <c r="AB126" s="167" t="s">
        <v>1853</v>
      </c>
      <c r="AQ126" s="166" t="str">
        <f t="shared" si="24"/>
        <v>UAT-WF-User77@mailinator.com</v>
      </c>
      <c r="AR126" s="166" t="str">
        <f t="shared" si="25"/>
        <v/>
      </c>
    </row>
    <row r="127" spans="1:44" ht="42.75" x14ac:dyDescent="0.25">
      <c r="A127" s="167" t="s">
        <v>1458</v>
      </c>
      <c r="B127" s="167" t="s">
        <v>1355</v>
      </c>
      <c r="C127" s="167" t="s">
        <v>1886</v>
      </c>
      <c r="D127" s="167" t="s">
        <v>1849</v>
      </c>
      <c r="E127" s="167" t="s">
        <v>1850</v>
      </c>
      <c r="F127" s="167" t="s">
        <v>36</v>
      </c>
      <c r="G127" s="167" t="s">
        <v>1852</v>
      </c>
      <c r="H127" s="167" t="s">
        <v>1865</v>
      </c>
      <c r="I127" s="167" t="s">
        <v>1355</v>
      </c>
      <c r="J127" s="167" t="s">
        <v>1355</v>
      </c>
      <c r="K127" s="168" t="str">
        <f t="shared" ref="K127:K132" si="27">IF(W127=$AU$4, $AX$4,
IF(W127=$AU$2,$AX$2, ""))</f>
        <v>HIDDERLEY</v>
      </c>
      <c r="L127" s="168" t="str">
        <f t="shared" si="15"/>
        <v/>
      </c>
      <c r="M127" s="168">
        <f t="shared" si="16"/>
        <v>35736</v>
      </c>
      <c r="N127" s="168" t="str">
        <f t="shared" si="17"/>
        <v/>
      </c>
      <c r="O127" s="168" t="str">
        <f t="shared" si="18"/>
        <v>242597904</v>
      </c>
      <c r="P127" s="168" t="str">
        <f t="shared" si="19"/>
        <v/>
      </c>
      <c r="Q127" s="167" t="s">
        <v>1888</v>
      </c>
      <c r="R127" s="167" t="s">
        <v>1889</v>
      </c>
      <c r="S127" s="167" t="s">
        <v>1890</v>
      </c>
      <c r="T127" s="167" t="s">
        <v>1883</v>
      </c>
      <c r="U127" s="167" t="s">
        <v>1884</v>
      </c>
      <c r="V127" s="167" t="s">
        <v>1355</v>
      </c>
      <c r="W127" s="169" t="str">
        <f t="shared" si="20"/>
        <v>UAT-WF-User77@mailinator.com</v>
      </c>
      <c r="X127" s="167" t="str">
        <f t="shared" si="21"/>
        <v/>
      </c>
      <c r="Y127" s="168" t="str">
        <f t="shared" si="22"/>
        <v>Dummy!2024</v>
      </c>
      <c r="Z127" s="168" t="str">
        <f t="shared" si="23"/>
        <v>020-8030031</v>
      </c>
      <c r="AA127" s="167"/>
      <c r="AB127" s="167" t="s">
        <v>1853</v>
      </c>
      <c r="AQ127" s="166" t="str">
        <f t="shared" si="24"/>
        <v>UAT-WF-User77@mailinator.com</v>
      </c>
      <c r="AR127" s="166" t="str">
        <f t="shared" si="25"/>
        <v/>
      </c>
    </row>
    <row r="128" spans="1:44" ht="42.75" x14ac:dyDescent="0.25">
      <c r="A128" s="167" t="s">
        <v>1459</v>
      </c>
      <c r="B128" s="167" t="s">
        <v>1355</v>
      </c>
      <c r="C128" s="167" t="s">
        <v>1892</v>
      </c>
      <c r="D128" s="167" t="s">
        <v>1849</v>
      </c>
      <c r="E128" s="167" t="s">
        <v>1850</v>
      </c>
      <c r="F128" s="167" t="s">
        <v>36</v>
      </c>
      <c r="G128" s="167" t="s">
        <v>1851</v>
      </c>
      <c r="H128" s="167"/>
      <c r="I128" s="167" t="s">
        <v>1355</v>
      </c>
      <c r="J128" s="167"/>
      <c r="K128" s="168" t="str">
        <f t="shared" si="27"/>
        <v>HIDDERLEY</v>
      </c>
      <c r="L128" s="168" t="str">
        <f t="shared" si="15"/>
        <v/>
      </c>
      <c r="M128" s="168">
        <f t="shared" si="16"/>
        <v>35736</v>
      </c>
      <c r="N128" s="168" t="str">
        <f t="shared" si="17"/>
        <v/>
      </c>
      <c r="O128" s="168" t="str">
        <f t="shared" si="18"/>
        <v>242597904</v>
      </c>
      <c r="P128" s="168" t="str">
        <f t="shared" si="19"/>
        <v/>
      </c>
      <c r="Q128" s="167" t="s">
        <v>1894</v>
      </c>
      <c r="R128" s="167" t="s">
        <v>1895</v>
      </c>
      <c r="S128" s="167" t="s">
        <v>1882</v>
      </c>
      <c r="T128" s="167" t="s">
        <v>1883</v>
      </c>
      <c r="U128" s="167" t="s">
        <v>1884</v>
      </c>
      <c r="V128" s="167" t="s">
        <v>1885</v>
      </c>
      <c r="W128" s="169" t="str">
        <f t="shared" si="20"/>
        <v>UAT-WF-User77@mailinator.com</v>
      </c>
      <c r="X128" s="167" t="str">
        <f t="shared" si="21"/>
        <v/>
      </c>
      <c r="Y128" s="168" t="str">
        <f t="shared" si="22"/>
        <v>Dummy!2024</v>
      </c>
      <c r="Z128" s="168" t="str">
        <f t="shared" si="23"/>
        <v>020-8030031</v>
      </c>
      <c r="AA128" s="167"/>
      <c r="AB128" s="167" t="s">
        <v>1853</v>
      </c>
      <c r="AQ128" s="166" t="str">
        <f t="shared" si="24"/>
        <v>UAT-WF-User77@mailinator.com</v>
      </c>
      <c r="AR128" s="166" t="str">
        <f t="shared" si="25"/>
        <v/>
      </c>
    </row>
    <row r="129" spans="1:44" ht="42.75" x14ac:dyDescent="0.25">
      <c r="A129" s="167" t="s">
        <v>1460</v>
      </c>
      <c r="B129" s="167" t="s">
        <v>1847</v>
      </c>
      <c r="C129" s="167" t="s">
        <v>1848</v>
      </c>
      <c r="D129" s="167" t="s">
        <v>1849</v>
      </c>
      <c r="E129" s="167" t="s">
        <v>1900</v>
      </c>
      <c r="F129" s="167"/>
      <c r="G129" s="167" t="s">
        <v>1859</v>
      </c>
      <c r="H129" s="167" t="s">
        <v>1852</v>
      </c>
      <c r="I129" s="167"/>
      <c r="J129" s="167"/>
      <c r="K129" s="168" t="str">
        <f t="shared" si="27"/>
        <v>KASTING</v>
      </c>
      <c r="L129" s="168" t="str">
        <f t="shared" si="15"/>
        <v/>
      </c>
      <c r="M129" s="168">
        <f t="shared" si="16"/>
        <v>21248</v>
      </c>
      <c r="N129" s="168" t="str">
        <f t="shared" si="17"/>
        <v/>
      </c>
      <c r="O129" s="168" t="str">
        <f t="shared" si="18"/>
        <v>242597653</v>
      </c>
      <c r="P129" s="168" t="str">
        <f t="shared" si="19"/>
        <v/>
      </c>
      <c r="Q129" s="167"/>
      <c r="R129" s="167"/>
      <c r="S129" s="167"/>
      <c r="T129" s="167"/>
      <c r="U129" s="167"/>
      <c r="V129" s="167"/>
      <c r="W129" s="169" t="str">
        <f t="shared" si="20"/>
        <v>Perf-Test-User-112801@mailinator.com</v>
      </c>
      <c r="X129" s="167" t="str">
        <f t="shared" si="21"/>
        <v/>
      </c>
      <c r="Y129" s="168" t="str">
        <f t="shared" si="22"/>
        <v>Dummy!2022</v>
      </c>
      <c r="Z129" s="168" t="str">
        <f t="shared" si="23"/>
        <v>020-8010888</v>
      </c>
      <c r="AA129" s="175" t="s">
        <v>2050</v>
      </c>
      <c r="AB129" s="167" t="s">
        <v>1853</v>
      </c>
      <c r="AQ129" s="166" t="str">
        <f t="shared" si="24"/>
        <v>Perf-Test-User-112801@mailinator.com</v>
      </c>
      <c r="AR129" s="166" t="str">
        <f t="shared" si="25"/>
        <v/>
      </c>
    </row>
    <row r="130" spans="1:44" ht="42.75" x14ac:dyDescent="0.25">
      <c r="A130" s="167" t="s">
        <v>1461</v>
      </c>
      <c r="B130" s="167" t="s">
        <v>1858</v>
      </c>
      <c r="C130" s="167" t="s">
        <v>24</v>
      </c>
      <c r="D130" s="167" t="s">
        <v>1849</v>
      </c>
      <c r="E130" s="167" t="s">
        <v>1900</v>
      </c>
      <c r="F130" s="167"/>
      <c r="G130" s="167" t="s">
        <v>1864</v>
      </c>
      <c r="H130" s="167"/>
      <c r="I130" s="167"/>
      <c r="J130" s="167"/>
      <c r="K130" s="168" t="str">
        <f t="shared" si="27"/>
        <v>KASTING</v>
      </c>
      <c r="L130" s="168" t="str">
        <f t="shared" ref="L130:L193" si="28">IF(X130=$AU$5, $AX$5,
IF(X130=$AU$3,$AX$3, ""))</f>
        <v/>
      </c>
      <c r="M130" s="168">
        <f t="shared" ref="M130:M193" si="29">IF(W130=$AU$4, $AW$4,
IF(W130=$AU$2,$AW$2, ""))</f>
        <v>21248</v>
      </c>
      <c r="N130" s="168" t="str">
        <f t="shared" ref="N130:N193" si="30">IF(X130=$AU$5, $AW$5,
IF(X130=$AU$3,$AW$3, ""))</f>
        <v/>
      </c>
      <c r="O130" s="168" t="str">
        <f t="shared" ref="O130:O193" si="31">IF(W130=$AU$4, $AV$4,
IF(W130=$AU$2,$AV$2, ""))</f>
        <v>242597653</v>
      </c>
      <c r="P130" s="168" t="str">
        <f t="shared" ref="P130:P193" si="32">IF(X130=$AU$5, $AV$5,
IF(X130=$AU$3,$AV$3, ""))</f>
        <v/>
      </c>
      <c r="Q130" s="167"/>
      <c r="R130" s="167"/>
      <c r="S130" s="167"/>
      <c r="T130" s="167"/>
      <c r="U130" s="167"/>
      <c r="V130" s="167"/>
      <c r="W130" s="169" t="str">
        <f t="shared" ref="W130:W193" si="33">IF(E130="Y", $AU$4,
IF(E130="N",$AU$2,
IF(E130="Y,Y",  $AU$4,
IF(E130="N,N",$AU$2,
IF(E130="Y,N", $AU$4,
IF(E130="N,Y", $AU$2, ""))))))</f>
        <v>Perf-Test-User-112801@mailinator.com</v>
      </c>
      <c r="X130" s="167" t="str">
        <f t="shared" ref="X130:X193" si="34">IF(E130="Y,Y", $AU$5,
IF(E130="N,N", $AU$3,
IF(E130="Y,N", $AU$3,
IF(E130="N,Y",$AU$5, ""))))</f>
        <v/>
      </c>
      <c r="Y130" s="168" t="str">
        <f t="shared" ref="Y130:Y193" si="35">IF(W130=$AU$2, $AZ$2,
IF(W130=$AU$4,$AZ$4, ""))</f>
        <v>Dummy!2022</v>
      </c>
      <c r="Z130" s="168" t="str">
        <f t="shared" ref="Z130:Z193" si="36">IF(W130=$AU$4, $AY$4,
IF(W130=$AU$2,$AY$2, ""))</f>
        <v>020-8010888</v>
      </c>
      <c r="AA130" s="175" t="s">
        <v>2051</v>
      </c>
      <c r="AB130" s="167" t="s">
        <v>1853</v>
      </c>
      <c r="AQ130" s="166" t="str">
        <f t="shared" ref="AQ130:AQ193" si="37">IF(E130="Y", $AU$4,
IF(E130="N",$AU$2,
IF(E130="Y,Y",  $AU$4,
IF(E130="N,N",$AU$2,
IF(E130="Y,N", $AU$4,
IF(E130="N,Y", $AU$2, ""))))))</f>
        <v>Perf-Test-User-112801@mailinator.com</v>
      </c>
      <c r="AR130" s="166" t="str">
        <f t="shared" ref="AR130:AR193" si="38">IF(E130="Y,Y", $AU$5,
IF(E130="N,N", $AU$3,
IF(E130="Y,N", $AU$3,
IF(E130="N,Y",$AU$5, ""))))</f>
        <v/>
      </c>
    </row>
    <row r="131" spans="1:44" ht="42.75" x14ac:dyDescent="0.25">
      <c r="A131" s="167" t="s">
        <v>2052</v>
      </c>
      <c r="B131" s="167" t="s">
        <v>1355</v>
      </c>
      <c r="C131" s="167" t="s">
        <v>1863</v>
      </c>
      <c r="D131" s="167" t="s">
        <v>1849</v>
      </c>
      <c r="E131" s="167" t="s">
        <v>1900</v>
      </c>
      <c r="F131" s="167"/>
      <c r="G131" s="167" t="s">
        <v>1871</v>
      </c>
      <c r="H131" s="167" t="s">
        <v>1865</v>
      </c>
      <c r="I131" s="167"/>
      <c r="J131" s="167"/>
      <c r="K131" s="168" t="str">
        <f t="shared" si="27"/>
        <v>KASTING</v>
      </c>
      <c r="L131" s="168" t="str">
        <f t="shared" si="28"/>
        <v/>
      </c>
      <c r="M131" s="168">
        <f t="shared" si="29"/>
        <v>21248</v>
      </c>
      <c r="N131" s="168" t="str">
        <f t="shared" si="30"/>
        <v/>
      </c>
      <c r="O131" s="168" t="str">
        <f t="shared" si="31"/>
        <v>242597653</v>
      </c>
      <c r="P131" s="168" t="str">
        <f t="shared" si="32"/>
        <v/>
      </c>
      <c r="Q131" s="167"/>
      <c r="R131" s="167"/>
      <c r="S131" s="167"/>
      <c r="T131" s="167"/>
      <c r="U131" s="167"/>
      <c r="V131" s="167"/>
      <c r="W131" s="169" t="str">
        <f t="shared" si="33"/>
        <v>Perf-Test-User-112801@mailinator.com</v>
      </c>
      <c r="X131" s="167" t="str">
        <f t="shared" si="34"/>
        <v/>
      </c>
      <c r="Y131" s="168" t="str">
        <f t="shared" si="35"/>
        <v>Dummy!2022</v>
      </c>
      <c r="Z131" s="168" t="str">
        <f t="shared" si="36"/>
        <v>020-8010888</v>
      </c>
      <c r="AA131" s="175" t="s">
        <v>2053</v>
      </c>
      <c r="AB131" s="167" t="s">
        <v>1853</v>
      </c>
      <c r="AQ131" s="166" t="str">
        <f t="shared" si="37"/>
        <v>Perf-Test-User-112801@mailinator.com</v>
      </c>
      <c r="AR131" s="166" t="str">
        <f t="shared" si="38"/>
        <v/>
      </c>
    </row>
    <row r="132" spans="1:44" ht="42.75" x14ac:dyDescent="0.25">
      <c r="A132" s="167" t="s">
        <v>2054</v>
      </c>
      <c r="B132" s="167" t="s">
        <v>1355</v>
      </c>
      <c r="C132" s="167" t="s">
        <v>1870</v>
      </c>
      <c r="D132" s="167" t="s">
        <v>1849</v>
      </c>
      <c r="E132" s="167" t="s">
        <v>1900</v>
      </c>
      <c r="F132" s="167"/>
      <c r="G132" s="167" t="s">
        <v>1877</v>
      </c>
      <c r="H132" s="167" t="s">
        <v>1872</v>
      </c>
      <c r="I132" s="167"/>
      <c r="J132" s="167"/>
      <c r="K132" s="168" t="str">
        <f t="shared" si="27"/>
        <v>KASTING</v>
      </c>
      <c r="L132" s="168" t="str">
        <f t="shared" si="28"/>
        <v/>
      </c>
      <c r="M132" s="168">
        <f t="shared" si="29"/>
        <v>21248</v>
      </c>
      <c r="N132" s="168" t="str">
        <f t="shared" si="30"/>
        <v/>
      </c>
      <c r="O132" s="168" t="str">
        <f t="shared" si="31"/>
        <v>242597653</v>
      </c>
      <c r="P132" s="168" t="str">
        <f t="shared" si="32"/>
        <v/>
      </c>
      <c r="Q132" s="167"/>
      <c r="R132" s="167"/>
      <c r="S132" s="167"/>
      <c r="T132" s="167"/>
      <c r="U132" s="167"/>
      <c r="V132" s="167"/>
      <c r="W132" s="169" t="str">
        <f t="shared" si="33"/>
        <v>Perf-Test-User-112801@mailinator.com</v>
      </c>
      <c r="X132" s="167" t="str">
        <f t="shared" si="34"/>
        <v/>
      </c>
      <c r="Y132" s="168" t="str">
        <f t="shared" si="35"/>
        <v>Dummy!2022</v>
      </c>
      <c r="Z132" s="168" t="str">
        <f t="shared" si="36"/>
        <v>020-8010888</v>
      </c>
      <c r="AA132" s="175" t="s">
        <v>2055</v>
      </c>
      <c r="AB132" s="167" t="s">
        <v>1853</v>
      </c>
      <c r="AQ132" s="166" t="str">
        <f t="shared" si="37"/>
        <v>Perf-Test-User-112801@mailinator.com</v>
      </c>
      <c r="AR132" s="166" t="str">
        <f t="shared" si="38"/>
        <v/>
      </c>
    </row>
    <row r="133" spans="1:44" ht="42.75" x14ac:dyDescent="0.25">
      <c r="A133" s="167" t="s">
        <v>2056</v>
      </c>
      <c r="B133" s="167" t="s">
        <v>1355</v>
      </c>
      <c r="C133" s="167" t="s">
        <v>1876</v>
      </c>
      <c r="D133" s="167" t="s">
        <v>1849</v>
      </c>
      <c r="E133" s="167" t="s">
        <v>1900</v>
      </c>
      <c r="F133" s="167" t="s">
        <v>79</v>
      </c>
      <c r="G133" s="167" t="s">
        <v>1887</v>
      </c>
      <c r="H133" s="167"/>
      <c r="I133" s="167"/>
      <c r="J133" s="167" t="s">
        <v>1878</v>
      </c>
      <c r="K133" s="167" t="s">
        <v>1879</v>
      </c>
      <c r="L133" s="168" t="str">
        <f t="shared" si="28"/>
        <v/>
      </c>
      <c r="M133" s="168">
        <f t="shared" si="29"/>
        <v>21248</v>
      </c>
      <c r="N133" s="168" t="str">
        <f t="shared" si="30"/>
        <v/>
      </c>
      <c r="O133" s="168" t="str">
        <f t="shared" si="31"/>
        <v>242597653</v>
      </c>
      <c r="P133" s="168" t="str">
        <f t="shared" si="32"/>
        <v/>
      </c>
      <c r="Q133" s="167" t="s">
        <v>1880</v>
      </c>
      <c r="R133" s="167" t="s">
        <v>1881</v>
      </c>
      <c r="S133" s="167" t="s">
        <v>1882</v>
      </c>
      <c r="T133" s="167" t="s">
        <v>1883</v>
      </c>
      <c r="U133" s="167" t="s">
        <v>1884</v>
      </c>
      <c r="V133" s="167" t="s">
        <v>1885</v>
      </c>
      <c r="W133" s="169" t="str">
        <f t="shared" si="33"/>
        <v>Perf-Test-User-112801@mailinator.com</v>
      </c>
      <c r="X133" s="167" t="str">
        <f t="shared" si="34"/>
        <v/>
      </c>
      <c r="Y133" s="168" t="str">
        <f t="shared" si="35"/>
        <v>Dummy!2022</v>
      </c>
      <c r="Z133" s="168" t="str">
        <f t="shared" si="36"/>
        <v>020-8010888</v>
      </c>
      <c r="AA133" s="175" t="s">
        <v>2057</v>
      </c>
      <c r="AB133" s="167" t="s">
        <v>1853</v>
      </c>
      <c r="AQ133" s="166" t="str">
        <f t="shared" si="37"/>
        <v>Perf-Test-User-112801@mailinator.com</v>
      </c>
      <c r="AR133" s="166" t="str">
        <f t="shared" si="38"/>
        <v/>
      </c>
    </row>
    <row r="134" spans="1:44" ht="42.75" x14ac:dyDescent="0.25">
      <c r="A134" s="167" t="s">
        <v>2058</v>
      </c>
      <c r="B134" s="167" t="s">
        <v>1355</v>
      </c>
      <c r="C134" s="167" t="s">
        <v>1886</v>
      </c>
      <c r="D134" s="167" t="s">
        <v>1849</v>
      </c>
      <c r="E134" s="167" t="s">
        <v>1900</v>
      </c>
      <c r="F134" s="167" t="s">
        <v>79</v>
      </c>
      <c r="G134" s="167" t="s">
        <v>1893</v>
      </c>
      <c r="H134" s="167" t="s">
        <v>1852</v>
      </c>
      <c r="I134" s="167"/>
      <c r="J134" s="167"/>
      <c r="K134" s="168" t="str">
        <f>IF(W134=$AU$4, $AX$4,
IF(W134=$AU$2,$AX$2, ""))</f>
        <v>KASTING</v>
      </c>
      <c r="L134" s="168" t="str">
        <f t="shared" si="28"/>
        <v/>
      </c>
      <c r="M134" s="168">
        <f t="shared" si="29"/>
        <v>21248</v>
      </c>
      <c r="N134" s="168" t="str">
        <f t="shared" si="30"/>
        <v/>
      </c>
      <c r="O134" s="168" t="str">
        <f t="shared" si="31"/>
        <v>242597653</v>
      </c>
      <c r="P134" s="168" t="str">
        <f t="shared" si="32"/>
        <v/>
      </c>
      <c r="Q134" s="167" t="s">
        <v>1880</v>
      </c>
      <c r="R134" s="167" t="s">
        <v>1881</v>
      </c>
      <c r="S134" s="167" t="s">
        <v>1882</v>
      </c>
      <c r="T134" s="167" t="s">
        <v>1883</v>
      </c>
      <c r="U134" s="167" t="s">
        <v>1884</v>
      </c>
      <c r="V134" s="167"/>
      <c r="W134" s="169" t="str">
        <f t="shared" si="33"/>
        <v>Perf-Test-User-112801@mailinator.com</v>
      </c>
      <c r="X134" s="167" t="str">
        <f t="shared" si="34"/>
        <v/>
      </c>
      <c r="Y134" s="168" t="str">
        <f t="shared" si="35"/>
        <v>Dummy!2022</v>
      </c>
      <c r="Z134" s="168" t="str">
        <f t="shared" si="36"/>
        <v>020-8010888</v>
      </c>
      <c r="AA134" s="175" t="s">
        <v>2059</v>
      </c>
      <c r="AB134" s="167" t="s">
        <v>1853</v>
      </c>
      <c r="AQ134" s="166" t="str">
        <f t="shared" si="37"/>
        <v>Perf-Test-User-112801@mailinator.com</v>
      </c>
      <c r="AR134" s="166" t="str">
        <f t="shared" si="38"/>
        <v/>
      </c>
    </row>
    <row r="135" spans="1:44" ht="42.75" x14ac:dyDescent="0.25">
      <c r="A135" s="167" t="s">
        <v>2060</v>
      </c>
      <c r="B135" s="167" t="s">
        <v>1355</v>
      </c>
      <c r="C135" s="167" t="s">
        <v>1892</v>
      </c>
      <c r="D135" s="167" t="s">
        <v>1849</v>
      </c>
      <c r="E135" s="167" t="s">
        <v>1900</v>
      </c>
      <c r="F135" s="167" t="s">
        <v>36</v>
      </c>
      <c r="G135" s="167" t="s">
        <v>1897</v>
      </c>
      <c r="H135" s="167"/>
      <c r="I135" s="167"/>
      <c r="J135" s="167"/>
      <c r="K135" s="168" t="str">
        <f>IF(W135=$AU$4, $AX$4,
IF(W135=$AU$2,$AX$2, ""))</f>
        <v>KASTING</v>
      </c>
      <c r="L135" s="168" t="str">
        <f t="shared" si="28"/>
        <v/>
      </c>
      <c r="M135" s="168">
        <f t="shared" si="29"/>
        <v>21248</v>
      </c>
      <c r="N135" s="168" t="str">
        <f t="shared" si="30"/>
        <v/>
      </c>
      <c r="O135" s="168" t="str">
        <f t="shared" si="31"/>
        <v>242597653</v>
      </c>
      <c r="P135" s="168" t="str">
        <f t="shared" si="32"/>
        <v/>
      </c>
      <c r="Q135" s="167" t="s">
        <v>1880</v>
      </c>
      <c r="R135" s="167" t="s">
        <v>1881</v>
      </c>
      <c r="S135" s="167" t="s">
        <v>1912</v>
      </c>
      <c r="T135" s="167" t="s">
        <v>1883</v>
      </c>
      <c r="U135" s="167" t="s">
        <v>1884</v>
      </c>
      <c r="V135" s="167"/>
      <c r="W135" s="169" t="str">
        <f t="shared" si="33"/>
        <v>Perf-Test-User-112801@mailinator.com</v>
      </c>
      <c r="X135" s="167" t="str">
        <f t="shared" si="34"/>
        <v/>
      </c>
      <c r="Y135" s="168" t="str">
        <f t="shared" si="35"/>
        <v>Dummy!2022</v>
      </c>
      <c r="Z135" s="168" t="str">
        <f t="shared" si="36"/>
        <v>020-8010888</v>
      </c>
      <c r="AA135" s="175" t="s">
        <v>2061</v>
      </c>
      <c r="AB135" s="167" t="s">
        <v>1853</v>
      </c>
      <c r="AQ135" s="166" t="str">
        <f t="shared" si="37"/>
        <v>Perf-Test-User-112801@mailinator.com</v>
      </c>
      <c r="AR135" s="166" t="str">
        <f t="shared" si="38"/>
        <v/>
      </c>
    </row>
    <row r="136" spans="1:44" ht="42.75" x14ac:dyDescent="0.25">
      <c r="A136" s="167" t="s">
        <v>2062</v>
      </c>
      <c r="B136" s="167" t="s">
        <v>1355</v>
      </c>
      <c r="C136" s="167" t="s">
        <v>1896</v>
      </c>
      <c r="D136" s="167" t="s">
        <v>1849</v>
      </c>
      <c r="E136" s="167" t="s">
        <v>1900</v>
      </c>
      <c r="F136" s="167" t="s">
        <v>36</v>
      </c>
      <c r="G136" s="167" t="s">
        <v>1852</v>
      </c>
      <c r="H136" s="167" t="s">
        <v>1872</v>
      </c>
      <c r="I136" s="167"/>
      <c r="J136" s="167"/>
      <c r="K136" s="168" t="str">
        <f>IF(W136=$AU$4, $AX$4,
IF(W136=$AU$2,$AX$2, ""))</f>
        <v>KASTING</v>
      </c>
      <c r="L136" s="168" t="str">
        <f t="shared" si="28"/>
        <v/>
      </c>
      <c r="M136" s="168">
        <f t="shared" si="29"/>
        <v>21248</v>
      </c>
      <c r="N136" s="168" t="str">
        <f t="shared" si="30"/>
        <v/>
      </c>
      <c r="O136" s="168" t="str">
        <f t="shared" si="31"/>
        <v>242597653</v>
      </c>
      <c r="P136" s="168" t="str">
        <f t="shared" si="32"/>
        <v/>
      </c>
      <c r="Q136" s="167" t="s">
        <v>1880</v>
      </c>
      <c r="R136" s="167" t="s">
        <v>1881</v>
      </c>
      <c r="S136" s="167" t="s">
        <v>1915</v>
      </c>
      <c r="T136" s="167" t="s">
        <v>1883</v>
      </c>
      <c r="U136" s="167" t="s">
        <v>1884</v>
      </c>
      <c r="V136" s="167"/>
      <c r="W136" s="169" t="str">
        <f t="shared" si="33"/>
        <v>Perf-Test-User-112801@mailinator.com</v>
      </c>
      <c r="X136" s="167" t="str">
        <f t="shared" si="34"/>
        <v/>
      </c>
      <c r="Y136" s="168" t="str">
        <f t="shared" si="35"/>
        <v>Dummy!2022</v>
      </c>
      <c r="Z136" s="168" t="str">
        <f t="shared" si="36"/>
        <v>020-8010888</v>
      </c>
      <c r="AA136" s="175" t="s">
        <v>2063</v>
      </c>
      <c r="AB136" s="167" t="s">
        <v>1853</v>
      </c>
      <c r="AQ136" s="166" t="str">
        <f t="shared" si="37"/>
        <v>Perf-Test-User-112801@mailinator.com</v>
      </c>
      <c r="AR136" s="166" t="str">
        <f t="shared" si="38"/>
        <v/>
      </c>
    </row>
    <row r="137" spans="1:44" ht="42.75" x14ac:dyDescent="0.25">
      <c r="A137" s="167" t="s">
        <v>2064</v>
      </c>
      <c r="B137" s="167" t="s">
        <v>1355</v>
      </c>
      <c r="C137" s="167" t="s">
        <v>1876</v>
      </c>
      <c r="D137" s="167" t="s">
        <v>1849</v>
      </c>
      <c r="E137" s="167" t="s">
        <v>1900</v>
      </c>
      <c r="F137" s="167" t="s">
        <v>36</v>
      </c>
      <c r="G137" s="167" t="s">
        <v>1851</v>
      </c>
      <c r="H137" s="167"/>
      <c r="I137" s="167"/>
      <c r="J137" s="167" t="s">
        <v>1878</v>
      </c>
      <c r="K137" s="167" t="s">
        <v>1879</v>
      </c>
      <c r="L137" s="168" t="str">
        <f t="shared" si="28"/>
        <v/>
      </c>
      <c r="M137" s="168">
        <f t="shared" si="29"/>
        <v>21248</v>
      </c>
      <c r="N137" s="168" t="str">
        <f t="shared" si="30"/>
        <v/>
      </c>
      <c r="O137" s="168" t="str">
        <f t="shared" si="31"/>
        <v>242597653</v>
      </c>
      <c r="P137" s="168" t="str">
        <f t="shared" si="32"/>
        <v/>
      </c>
      <c r="Q137" s="167" t="s">
        <v>1880</v>
      </c>
      <c r="R137" s="167" t="s">
        <v>1881</v>
      </c>
      <c r="S137" s="167" t="s">
        <v>1882</v>
      </c>
      <c r="T137" s="167" t="s">
        <v>1883</v>
      </c>
      <c r="U137" s="167" t="s">
        <v>1884</v>
      </c>
      <c r="V137" s="167" t="s">
        <v>1885</v>
      </c>
      <c r="W137" s="169" t="str">
        <f t="shared" si="33"/>
        <v>Perf-Test-User-112801@mailinator.com</v>
      </c>
      <c r="X137" s="167" t="str">
        <f t="shared" si="34"/>
        <v/>
      </c>
      <c r="Y137" s="168" t="str">
        <f t="shared" si="35"/>
        <v>Dummy!2022</v>
      </c>
      <c r="Z137" s="168" t="str">
        <f t="shared" si="36"/>
        <v>020-8010888</v>
      </c>
      <c r="AA137" s="175" t="s">
        <v>2065</v>
      </c>
      <c r="AB137" s="167" t="s">
        <v>1853</v>
      </c>
      <c r="AQ137" s="166" t="str">
        <f t="shared" si="37"/>
        <v>Perf-Test-User-112801@mailinator.com</v>
      </c>
      <c r="AR137" s="166" t="str">
        <f t="shared" si="38"/>
        <v/>
      </c>
    </row>
    <row r="138" spans="1:44" ht="42.75" x14ac:dyDescent="0.25">
      <c r="A138" s="167" t="s">
        <v>2066</v>
      </c>
      <c r="B138" s="167" t="s">
        <v>1355</v>
      </c>
      <c r="C138" s="167" t="s">
        <v>1886</v>
      </c>
      <c r="D138" s="167" t="s">
        <v>1849</v>
      </c>
      <c r="E138" s="167" t="s">
        <v>1900</v>
      </c>
      <c r="F138" s="167" t="s">
        <v>36</v>
      </c>
      <c r="G138" s="167" t="s">
        <v>1859</v>
      </c>
      <c r="H138" s="167" t="s">
        <v>1865</v>
      </c>
      <c r="I138" s="167"/>
      <c r="J138" s="167"/>
      <c r="K138" s="168" t="str">
        <f t="shared" ref="K138:K201" si="39">IF(W138=$AU$4, $AX$4,
IF(W138=$AU$2,$AX$2, ""))</f>
        <v>KASTING</v>
      </c>
      <c r="L138" s="168" t="str">
        <f t="shared" si="28"/>
        <v/>
      </c>
      <c r="M138" s="168">
        <f t="shared" si="29"/>
        <v>21248</v>
      </c>
      <c r="N138" s="168" t="str">
        <f t="shared" si="30"/>
        <v/>
      </c>
      <c r="O138" s="168" t="str">
        <f t="shared" si="31"/>
        <v>242597653</v>
      </c>
      <c r="P138" s="168" t="str">
        <f t="shared" si="32"/>
        <v/>
      </c>
      <c r="Q138" s="167" t="s">
        <v>1880</v>
      </c>
      <c r="R138" s="167" t="s">
        <v>1881</v>
      </c>
      <c r="S138" s="167" t="s">
        <v>1919</v>
      </c>
      <c r="T138" s="167" t="s">
        <v>1883</v>
      </c>
      <c r="U138" s="167" t="s">
        <v>1884</v>
      </c>
      <c r="V138" s="167"/>
      <c r="W138" s="169" t="str">
        <f t="shared" si="33"/>
        <v>Perf-Test-User-112801@mailinator.com</v>
      </c>
      <c r="X138" s="167" t="str">
        <f t="shared" si="34"/>
        <v/>
      </c>
      <c r="Y138" s="168" t="str">
        <f t="shared" si="35"/>
        <v>Dummy!2022</v>
      </c>
      <c r="Z138" s="168" t="str">
        <f t="shared" si="36"/>
        <v>020-8010888</v>
      </c>
      <c r="AA138" s="175" t="s">
        <v>2067</v>
      </c>
      <c r="AB138" s="167" t="s">
        <v>1853</v>
      </c>
      <c r="AQ138" s="166" t="str">
        <f t="shared" si="37"/>
        <v>Perf-Test-User-112801@mailinator.com</v>
      </c>
      <c r="AR138" s="166" t="str">
        <f t="shared" si="38"/>
        <v/>
      </c>
    </row>
    <row r="139" spans="1:44" ht="42.75" x14ac:dyDescent="0.25">
      <c r="A139" s="167" t="s">
        <v>2068</v>
      </c>
      <c r="B139" s="167" t="s">
        <v>1355</v>
      </c>
      <c r="C139" s="167" t="s">
        <v>1892</v>
      </c>
      <c r="D139" s="167" t="s">
        <v>1849</v>
      </c>
      <c r="E139" s="167" t="s">
        <v>1900</v>
      </c>
      <c r="F139" s="167" t="s">
        <v>36</v>
      </c>
      <c r="G139" s="167" t="s">
        <v>1864</v>
      </c>
      <c r="H139" s="167"/>
      <c r="I139" s="167"/>
      <c r="J139" s="167"/>
      <c r="K139" s="168" t="str">
        <f t="shared" si="39"/>
        <v>KASTING</v>
      </c>
      <c r="L139" s="168" t="str">
        <f t="shared" si="28"/>
        <v/>
      </c>
      <c r="M139" s="168">
        <f t="shared" si="29"/>
        <v>21248</v>
      </c>
      <c r="N139" s="168" t="str">
        <f t="shared" si="30"/>
        <v/>
      </c>
      <c r="O139" s="168" t="str">
        <f t="shared" si="31"/>
        <v>242597653</v>
      </c>
      <c r="P139" s="168" t="str">
        <f t="shared" si="32"/>
        <v/>
      </c>
      <c r="Q139" s="167" t="s">
        <v>1880</v>
      </c>
      <c r="R139" s="167" t="s">
        <v>1881</v>
      </c>
      <c r="S139" s="167" t="s">
        <v>1921</v>
      </c>
      <c r="T139" s="167" t="s">
        <v>1883</v>
      </c>
      <c r="U139" s="167" t="s">
        <v>1884</v>
      </c>
      <c r="V139" s="167"/>
      <c r="W139" s="169" t="str">
        <f t="shared" si="33"/>
        <v>Perf-Test-User-112801@mailinator.com</v>
      </c>
      <c r="X139" s="167" t="str">
        <f t="shared" si="34"/>
        <v/>
      </c>
      <c r="Y139" s="168" t="str">
        <f t="shared" si="35"/>
        <v>Dummy!2022</v>
      </c>
      <c r="Z139" s="168" t="str">
        <f t="shared" si="36"/>
        <v>020-8010888</v>
      </c>
      <c r="AA139" s="175" t="s">
        <v>2069</v>
      </c>
      <c r="AB139" s="167" t="s">
        <v>1853</v>
      </c>
      <c r="AQ139" s="166" t="str">
        <f t="shared" si="37"/>
        <v>Perf-Test-User-112801@mailinator.com</v>
      </c>
      <c r="AR139" s="166" t="str">
        <f t="shared" si="38"/>
        <v/>
      </c>
    </row>
    <row r="140" spans="1:44" ht="42.75" x14ac:dyDescent="0.25">
      <c r="A140" s="167" t="s">
        <v>2070</v>
      </c>
      <c r="B140" s="167" t="s">
        <v>1847</v>
      </c>
      <c r="C140" s="167" t="s">
        <v>1848</v>
      </c>
      <c r="D140" s="167" t="s">
        <v>1988</v>
      </c>
      <c r="E140" s="167" t="s">
        <v>1938</v>
      </c>
      <c r="F140" s="167"/>
      <c r="G140" s="167" t="s">
        <v>1871</v>
      </c>
      <c r="H140" s="167" t="s">
        <v>1852</v>
      </c>
      <c r="I140" s="167"/>
      <c r="J140" s="167"/>
      <c r="K140" s="168" t="str">
        <f t="shared" si="39"/>
        <v>HIDDERLEY</v>
      </c>
      <c r="L140" s="168" t="str">
        <f t="shared" si="28"/>
        <v>SATTERTHWAITE</v>
      </c>
      <c r="M140" s="168">
        <f t="shared" si="29"/>
        <v>35736</v>
      </c>
      <c r="N140" s="168">
        <f t="shared" si="30"/>
        <v>31390</v>
      </c>
      <c r="O140" s="168" t="str">
        <f t="shared" si="31"/>
        <v>242597904</v>
      </c>
      <c r="P140" s="168" t="str">
        <f t="shared" si="32"/>
        <v>242597408</v>
      </c>
      <c r="Q140" s="167"/>
      <c r="R140" s="167"/>
      <c r="S140" s="167"/>
      <c r="T140" s="167"/>
      <c r="U140" s="167"/>
      <c r="V140" s="167"/>
      <c r="W140" s="169" t="str">
        <f t="shared" si="33"/>
        <v>UAT-WF-User77@mailinator.com</v>
      </c>
      <c r="X140" s="167" t="str">
        <f t="shared" si="34"/>
        <v>Perf-Test-User-10183@mailinator.com</v>
      </c>
      <c r="Y140" s="168" t="str">
        <f t="shared" si="35"/>
        <v>Dummy!2024</v>
      </c>
      <c r="Z140" s="168" t="str">
        <f t="shared" si="36"/>
        <v>020-8030031</v>
      </c>
      <c r="AA140" s="167"/>
      <c r="AB140" s="167" t="s">
        <v>1853</v>
      </c>
      <c r="AQ140" s="166" t="str">
        <f t="shared" si="37"/>
        <v>UAT-WF-User77@mailinator.com</v>
      </c>
      <c r="AR140" s="166" t="str">
        <f t="shared" si="38"/>
        <v>Perf-Test-User-10183@mailinator.com</v>
      </c>
    </row>
    <row r="141" spans="1:44" ht="42.75" x14ac:dyDescent="0.25">
      <c r="A141" s="167" t="s">
        <v>2071</v>
      </c>
      <c r="B141" s="167" t="s">
        <v>1858</v>
      </c>
      <c r="C141" s="167" t="s">
        <v>24</v>
      </c>
      <c r="D141" s="167" t="s">
        <v>1988</v>
      </c>
      <c r="E141" s="167" t="s">
        <v>1938</v>
      </c>
      <c r="F141" s="167"/>
      <c r="G141" s="167" t="s">
        <v>1877</v>
      </c>
      <c r="H141" s="167"/>
      <c r="I141" s="167"/>
      <c r="J141" s="167"/>
      <c r="K141" s="168" t="str">
        <f t="shared" si="39"/>
        <v>HIDDERLEY</v>
      </c>
      <c r="L141" s="168" t="str">
        <f t="shared" si="28"/>
        <v>SATTERTHWAITE</v>
      </c>
      <c r="M141" s="168">
        <f t="shared" si="29"/>
        <v>35736</v>
      </c>
      <c r="N141" s="168">
        <f t="shared" si="30"/>
        <v>31390</v>
      </c>
      <c r="O141" s="168" t="str">
        <f t="shared" si="31"/>
        <v>242597904</v>
      </c>
      <c r="P141" s="168" t="str">
        <f t="shared" si="32"/>
        <v>242597408</v>
      </c>
      <c r="Q141" s="167"/>
      <c r="R141" s="167"/>
      <c r="S141" s="167"/>
      <c r="T141" s="167"/>
      <c r="U141" s="167"/>
      <c r="V141" s="167"/>
      <c r="W141" s="169" t="str">
        <f t="shared" si="33"/>
        <v>UAT-WF-User77@mailinator.com</v>
      </c>
      <c r="X141" s="167" t="str">
        <f t="shared" si="34"/>
        <v>Perf-Test-User-10183@mailinator.com</v>
      </c>
      <c r="Y141" s="168" t="str">
        <f t="shared" si="35"/>
        <v>Dummy!2024</v>
      </c>
      <c r="Z141" s="168" t="str">
        <f t="shared" si="36"/>
        <v>020-8030031</v>
      </c>
      <c r="AA141" s="167"/>
      <c r="AB141" s="167" t="s">
        <v>1853</v>
      </c>
      <c r="AQ141" s="166" t="str">
        <f t="shared" si="37"/>
        <v>UAT-WF-User77@mailinator.com</v>
      </c>
      <c r="AR141" s="166" t="str">
        <f t="shared" si="38"/>
        <v>Perf-Test-User-10183@mailinator.com</v>
      </c>
    </row>
    <row r="142" spans="1:44" ht="42.75" x14ac:dyDescent="0.25">
      <c r="A142" s="167" t="s">
        <v>2072</v>
      </c>
      <c r="B142" s="167" t="s">
        <v>1355</v>
      </c>
      <c r="C142" s="167" t="s">
        <v>1863</v>
      </c>
      <c r="D142" s="167" t="s">
        <v>1988</v>
      </c>
      <c r="E142" s="167" t="s">
        <v>1938</v>
      </c>
      <c r="F142" s="167"/>
      <c r="G142" s="167" t="s">
        <v>1887</v>
      </c>
      <c r="H142" s="167" t="s">
        <v>1865</v>
      </c>
      <c r="I142" s="167"/>
      <c r="J142" s="167"/>
      <c r="K142" s="168" t="str">
        <f t="shared" si="39"/>
        <v>HIDDERLEY</v>
      </c>
      <c r="L142" s="168" t="str">
        <f t="shared" si="28"/>
        <v>SATTERTHWAITE</v>
      </c>
      <c r="M142" s="168">
        <f t="shared" si="29"/>
        <v>35736</v>
      </c>
      <c r="N142" s="168">
        <f t="shared" si="30"/>
        <v>31390</v>
      </c>
      <c r="O142" s="168" t="str">
        <f t="shared" si="31"/>
        <v>242597904</v>
      </c>
      <c r="P142" s="168" t="str">
        <f t="shared" si="32"/>
        <v>242597408</v>
      </c>
      <c r="Q142" s="167"/>
      <c r="R142" s="167"/>
      <c r="S142" s="167"/>
      <c r="T142" s="167"/>
      <c r="U142" s="167"/>
      <c r="V142" s="167"/>
      <c r="W142" s="169" t="str">
        <f t="shared" si="33"/>
        <v>UAT-WF-User77@mailinator.com</v>
      </c>
      <c r="X142" s="167" t="str">
        <f t="shared" si="34"/>
        <v>Perf-Test-User-10183@mailinator.com</v>
      </c>
      <c r="Y142" s="168" t="str">
        <f t="shared" si="35"/>
        <v>Dummy!2024</v>
      </c>
      <c r="Z142" s="168" t="str">
        <f t="shared" si="36"/>
        <v>020-8030031</v>
      </c>
      <c r="AA142" s="167"/>
      <c r="AB142" s="167" t="s">
        <v>1853</v>
      </c>
      <c r="AQ142" s="166" t="str">
        <f t="shared" si="37"/>
        <v>UAT-WF-User77@mailinator.com</v>
      </c>
      <c r="AR142" s="166" t="str">
        <f t="shared" si="38"/>
        <v>Perf-Test-User-10183@mailinator.com</v>
      </c>
    </row>
    <row r="143" spans="1:44" ht="42.75" x14ac:dyDescent="0.25">
      <c r="A143" s="167" t="s">
        <v>2073</v>
      </c>
      <c r="B143" s="167" t="s">
        <v>1355</v>
      </c>
      <c r="C143" s="167" t="s">
        <v>1870</v>
      </c>
      <c r="D143" s="167" t="s">
        <v>1988</v>
      </c>
      <c r="E143" s="167" t="s">
        <v>1938</v>
      </c>
      <c r="F143" s="167"/>
      <c r="G143" s="167" t="s">
        <v>1893</v>
      </c>
      <c r="H143" s="167" t="s">
        <v>1872</v>
      </c>
      <c r="I143" s="167"/>
      <c r="J143" s="167"/>
      <c r="K143" s="168" t="str">
        <f t="shared" si="39"/>
        <v>HIDDERLEY</v>
      </c>
      <c r="L143" s="168" t="str">
        <f t="shared" si="28"/>
        <v>SATTERTHWAITE</v>
      </c>
      <c r="M143" s="168">
        <f t="shared" si="29"/>
        <v>35736</v>
      </c>
      <c r="N143" s="168">
        <f t="shared" si="30"/>
        <v>31390</v>
      </c>
      <c r="O143" s="168" t="str">
        <f t="shared" si="31"/>
        <v>242597904</v>
      </c>
      <c r="P143" s="168" t="str">
        <f t="shared" si="32"/>
        <v>242597408</v>
      </c>
      <c r="Q143" s="167"/>
      <c r="R143" s="167"/>
      <c r="S143" s="167"/>
      <c r="T143" s="167"/>
      <c r="U143" s="167"/>
      <c r="V143" s="167"/>
      <c r="W143" s="169" t="str">
        <f t="shared" si="33"/>
        <v>UAT-WF-User77@mailinator.com</v>
      </c>
      <c r="X143" s="167" t="str">
        <f t="shared" si="34"/>
        <v>Perf-Test-User-10183@mailinator.com</v>
      </c>
      <c r="Y143" s="168" t="str">
        <f t="shared" si="35"/>
        <v>Dummy!2024</v>
      </c>
      <c r="Z143" s="168" t="str">
        <f t="shared" si="36"/>
        <v>020-8030031</v>
      </c>
      <c r="AA143" s="167"/>
      <c r="AB143" s="167" t="s">
        <v>1853</v>
      </c>
      <c r="AQ143" s="166" t="str">
        <f t="shared" si="37"/>
        <v>UAT-WF-User77@mailinator.com</v>
      </c>
      <c r="AR143" s="166" t="str">
        <f t="shared" si="38"/>
        <v>Perf-Test-User-10183@mailinator.com</v>
      </c>
    </row>
    <row r="144" spans="1:44" ht="42.75" x14ac:dyDescent="0.25">
      <c r="A144" s="167" t="s">
        <v>2074</v>
      </c>
      <c r="B144" s="167" t="s">
        <v>1355</v>
      </c>
      <c r="C144" s="167" t="s">
        <v>1886</v>
      </c>
      <c r="D144" s="167" t="s">
        <v>1988</v>
      </c>
      <c r="E144" s="167" t="s">
        <v>1938</v>
      </c>
      <c r="F144" s="167" t="s">
        <v>79</v>
      </c>
      <c r="G144" s="167" t="s">
        <v>1897</v>
      </c>
      <c r="H144" s="167" t="s">
        <v>1852</v>
      </c>
      <c r="I144" s="167"/>
      <c r="J144" s="167"/>
      <c r="K144" s="168" t="str">
        <f t="shared" si="39"/>
        <v>HIDDERLEY</v>
      </c>
      <c r="L144" s="168" t="str">
        <f t="shared" si="28"/>
        <v>SATTERTHWAITE</v>
      </c>
      <c r="M144" s="168">
        <f t="shared" si="29"/>
        <v>35736</v>
      </c>
      <c r="N144" s="168">
        <f t="shared" si="30"/>
        <v>31390</v>
      </c>
      <c r="O144" s="168" t="str">
        <f t="shared" si="31"/>
        <v>242597904</v>
      </c>
      <c r="P144" s="168" t="str">
        <f t="shared" si="32"/>
        <v>242597408</v>
      </c>
      <c r="Q144" s="167" t="s">
        <v>1880</v>
      </c>
      <c r="R144" s="167" t="s">
        <v>1881</v>
      </c>
      <c r="S144" s="167" t="s">
        <v>1882</v>
      </c>
      <c r="T144" s="167" t="s">
        <v>1883</v>
      </c>
      <c r="U144" s="167" t="s">
        <v>1884</v>
      </c>
      <c r="V144" s="167"/>
      <c r="W144" s="169" t="str">
        <f t="shared" si="33"/>
        <v>UAT-WF-User77@mailinator.com</v>
      </c>
      <c r="X144" s="167" t="str">
        <f t="shared" si="34"/>
        <v>Perf-Test-User-10183@mailinator.com</v>
      </c>
      <c r="Y144" s="168" t="str">
        <f t="shared" si="35"/>
        <v>Dummy!2024</v>
      </c>
      <c r="Z144" s="168" t="str">
        <f t="shared" si="36"/>
        <v>020-8030031</v>
      </c>
      <c r="AA144" s="167"/>
      <c r="AB144" s="167" t="s">
        <v>1853</v>
      </c>
      <c r="AQ144" s="166" t="str">
        <f t="shared" si="37"/>
        <v>UAT-WF-User77@mailinator.com</v>
      </c>
      <c r="AR144" s="166" t="str">
        <f t="shared" si="38"/>
        <v>Perf-Test-User-10183@mailinator.com</v>
      </c>
    </row>
    <row r="145" spans="1:44" ht="42.75" x14ac:dyDescent="0.25">
      <c r="A145" s="167" t="s">
        <v>2075</v>
      </c>
      <c r="B145" s="167" t="s">
        <v>1355</v>
      </c>
      <c r="C145" s="167" t="s">
        <v>1892</v>
      </c>
      <c r="D145" s="167" t="s">
        <v>1988</v>
      </c>
      <c r="E145" s="167" t="s">
        <v>1938</v>
      </c>
      <c r="F145" s="167" t="s">
        <v>79</v>
      </c>
      <c r="G145" s="167" t="s">
        <v>1852</v>
      </c>
      <c r="H145" s="167"/>
      <c r="I145" s="167"/>
      <c r="J145" s="167"/>
      <c r="K145" s="168" t="str">
        <f t="shared" si="39"/>
        <v>HIDDERLEY</v>
      </c>
      <c r="L145" s="168" t="str">
        <f t="shared" si="28"/>
        <v>SATTERTHWAITE</v>
      </c>
      <c r="M145" s="168">
        <f t="shared" si="29"/>
        <v>35736</v>
      </c>
      <c r="N145" s="168">
        <f t="shared" si="30"/>
        <v>31390</v>
      </c>
      <c r="O145" s="168" t="str">
        <f t="shared" si="31"/>
        <v>242597904</v>
      </c>
      <c r="P145" s="168" t="str">
        <f t="shared" si="32"/>
        <v>242597408</v>
      </c>
      <c r="Q145" s="167" t="s">
        <v>1880</v>
      </c>
      <c r="R145" s="167" t="s">
        <v>1881</v>
      </c>
      <c r="S145" s="167" t="s">
        <v>1882</v>
      </c>
      <c r="T145" s="167" t="s">
        <v>1883</v>
      </c>
      <c r="U145" s="167" t="s">
        <v>1884</v>
      </c>
      <c r="V145" s="167"/>
      <c r="W145" s="169" t="str">
        <f t="shared" si="33"/>
        <v>UAT-WF-User77@mailinator.com</v>
      </c>
      <c r="X145" s="167" t="str">
        <f t="shared" si="34"/>
        <v>Perf-Test-User-10183@mailinator.com</v>
      </c>
      <c r="Y145" s="168" t="str">
        <f t="shared" si="35"/>
        <v>Dummy!2024</v>
      </c>
      <c r="Z145" s="168" t="str">
        <f t="shared" si="36"/>
        <v>020-8030031</v>
      </c>
      <c r="AA145" s="167"/>
      <c r="AB145" s="167" t="s">
        <v>1853</v>
      </c>
      <c r="AQ145" s="166" t="str">
        <f t="shared" si="37"/>
        <v>UAT-WF-User77@mailinator.com</v>
      </c>
      <c r="AR145" s="166" t="str">
        <f t="shared" si="38"/>
        <v>Perf-Test-User-10183@mailinator.com</v>
      </c>
    </row>
    <row r="146" spans="1:44" ht="42.75" x14ac:dyDescent="0.25">
      <c r="A146" s="167" t="s">
        <v>2076</v>
      </c>
      <c r="B146" s="167" t="s">
        <v>1355</v>
      </c>
      <c r="C146" s="167" t="s">
        <v>1892</v>
      </c>
      <c r="D146" s="167" t="s">
        <v>1988</v>
      </c>
      <c r="E146" s="167" t="s">
        <v>1938</v>
      </c>
      <c r="F146" s="167" t="s">
        <v>36</v>
      </c>
      <c r="G146" s="167" t="s">
        <v>1851</v>
      </c>
      <c r="H146" s="167"/>
      <c r="I146" s="167"/>
      <c r="J146" s="167"/>
      <c r="K146" s="168" t="str">
        <f t="shared" si="39"/>
        <v>HIDDERLEY</v>
      </c>
      <c r="L146" s="168" t="str">
        <f t="shared" si="28"/>
        <v>SATTERTHWAITE</v>
      </c>
      <c r="M146" s="168">
        <f t="shared" si="29"/>
        <v>35736</v>
      </c>
      <c r="N146" s="168">
        <f t="shared" si="30"/>
        <v>31390</v>
      </c>
      <c r="O146" s="168" t="str">
        <f t="shared" si="31"/>
        <v>242597904</v>
      </c>
      <c r="P146" s="168" t="str">
        <f t="shared" si="32"/>
        <v>242597408</v>
      </c>
      <c r="Q146" s="167" t="s">
        <v>1880</v>
      </c>
      <c r="R146" s="167" t="s">
        <v>1881</v>
      </c>
      <c r="S146" s="167" t="s">
        <v>1882</v>
      </c>
      <c r="T146" s="167" t="s">
        <v>1883</v>
      </c>
      <c r="U146" s="167" t="s">
        <v>1884</v>
      </c>
      <c r="V146" s="167"/>
      <c r="W146" s="169" t="str">
        <f t="shared" si="33"/>
        <v>UAT-WF-User77@mailinator.com</v>
      </c>
      <c r="X146" s="167" t="str">
        <f t="shared" si="34"/>
        <v>Perf-Test-User-10183@mailinator.com</v>
      </c>
      <c r="Y146" s="168" t="str">
        <f t="shared" si="35"/>
        <v>Dummy!2024</v>
      </c>
      <c r="Z146" s="168" t="str">
        <f t="shared" si="36"/>
        <v>020-8030031</v>
      </c>
      <c r="AA146" s="167"/>
      <c r="AB146" s="167" t="s">
        <v>1853</v>
      </c>
      <c r="AQ146" s="166" t="str">
        <f t="shared" si="37"/>
        <v>UAT-WF-User77@mailinator.com</v>
      </c>
      <c r="AR146" s="166" t="str">
        <f t="shared" si="38"/>
        <v>Perf-Test-User-10183@mailinator.com</v>
      </c>
    </row>
    <row r="147" spans="1:44" ht="42.75" x14ac:dyDescent="0.25">
      <c r="A147" s="167" t="s">
        <v>2077</v>
      </c>
      <c r="B147" s="167" t="s">
        <v>1355</v>
      </c>
      <c r="C147" s="167" t="s">
        <v>1896</v>
      </c>
      <c r="D147" s="167" t="s">
        <v>1988</v>
      </c>
      <c r="E147" s="167" t="s">
        <v>1938</v>
      </c>
      <c r="F147" s="167" t="s">
        <v>36</v>
      </c>
      <c r="G147" s="167" t="s">
        <v>1859</v>
      </c>
      <c r="H147" s="167" t="s">
        <v>1852</v>
      </c>
      <c r="I147" s="167"/>
      <c r="J147" s="167"/>
      <c r="K147" s="168" t="str">
        <f t="shared" si="39"/>
        <v>HIDDERLEY</v>
      </c>
      <c r="L147" s="168" t="str">
        <f t="shared" si="28"/>
        <v>SATTERTHWAITE</v>
      </c>
      <c r="M147" s="168">
        <f t="shared" si="29"/>
        <v>35736</v>
      </c>
      <c r="N147" s="168">
        <f t="shared" si="30"/>
        <v>31390</v>
      </c>
      <c r="O147" s="168" t="str">
        <f t="shared" si="31"/>
        <v>242597904</v>
      </c>
      <c r="P147" s="168" t="str">
        <f t="shared" si="32"/>
        <v>242597408</v>
      </c>
      <c r="Q147" s="167" t="s">
        <v>1880</v>
      </c>
      <c r="R147" s="167" t="s">
        <v>1881</v>
      </c>
      <c r="S147" s="167" t="s">
        <v>1919</v>
      </c>
      <c r="T147" s="167" t="s">
        <v>1883</v>
      </c>
      <c r="U147" s="167" t="s">
        <v>1884</v>
      </c>
      <c r="V147" s="167"/>
      <c r="W147" s="169" t="str">
        <f t="shared" si="33"/>
        <v>UAT-WF-User77@mailinator.com</v>
      </c>
      <c r="X147" s="167" t="str">
        <f t="shared" si="34"/>
        <v>Perf-Test-User-10183@mailinator.com</v>
      </c>
      <c r="Y147" s="168" t="str">
        <f t="shared" si="35"/>
        <v>Dummy!2024</v>
      </c>
      <c r="Z147" s="168" t="str">
        <f t="shared" si="36"/>
        <v>020-8030031</v>
      </c>
      <c r="AA147" s="167"/>
      <c r="AB147" s="167" t="s">
        <v>1853</v>
      </c>
      <c r="AQ147" s="166" t="str">
        <f t="shared" si="37"/>
        <v>UAT-WF-User77@mailinator.com</v>
      </c>
      <c r="AR147" s="166" t="str">
        <f t="shared" si="38"/>
        <v>Perf-Test-User-10183@mailinator.com</v>
      </c>
    </row>
    <row r="148" spans="1:44" ht="42.75" x14ac:dyDescent="0.25">
      <c r="A148" s="167" t="s">
        <v>2078</v>
      </c>
      <c r="B148" s="167" t="s">
        <v>1355</v>
      </c>
      <c r="C148" s="167" t="s">
        <v>1886</v>
      </c>
      <c r="D148" s="167" t="s">
        <v>1988</v>
      </c>
      <c r="E148" s="167" t="s">
        <v>1938</v>
      </c>
      <c r="F148" s="167" t="s">
        <v>36</v>
      </c>
      <c r="G148" s="167" t="s">
        <v>1864</v>
      </c>
      <c r="H148" s="167" t="s">
        <v>1865</v>
      </c>
      <c r="I148" s="167"/>
      <c r="J148" s="167"/>
      <c r="K148" s="168" t="str">
        <f t="shared" si="39"/>
        <v>HIDDERLEY</v>
      </c>
      <c r="L148" s="168" t="str">
        <f t="shared" si="28"/>
        <v>SATTERTHWAITE</v>
      </c>
      <c r="M148" s="168">
        <f t="shared" si="29"/>
        <v>35736</v>
      </c>
      <c r="N148" s="168">
        <f t="shared" si="30"/>
        <v>31390</v>
      </c>
      <c r="O148" s="168" t="str">
        <f t="shared" si="31"/>
        <v>242597904</v>
      </c>
      <c r="P148" s="168" t="str">
        <f t="shared" si="32"/>
        <v>242597408</v>
      </c>
      <c r="Q148" s="167" t="s">
        <v>1880</v>
      </c>
      <c r="R148" s="167" t="s">
        <v>1881</v>
      </c>
      <c r="S148" s="167" t="s">
        <v>1921</v>
      </c>
      <c r="T148" s="167" t="s">
        <v>1883</v>
      </c>
      <c r="U148" s="167" t="s">
        <v>1884</v>
      </c>
      <c r="V148" s="167"/>
      <c r="W148" s="169" t="str">
        <f t="shared" si="33"/>
        <v>UAT-WF-User77@mailinator.com</v>
      </c>
      <c r="X148" s="167" t="str">
        <f t="shared" si="34"/>
        <v>Perf-Test-User-10183@mailinator.com</v>
      </c>
      <c r="Y148" s="168" t="str">
        <f t="shared" si="35"/>
        <v>Dummy!2024</v>
      </c>
      <c r="Z148" s="168" t="str">
        <f t="shared" si="36"/>
        <v>020-8030031</v>
      </c>
      <c r="AA148" s="167"/>
      <c r="AB148" s="167" t="s">
        <v>1853</v>
      </c>
      <c r="AQ148" s="166" t="str">
        <f t="shared" si="37"/>
        <v>UAT-WF-User77@mailinator.com</v>
      </c>
      <c r="AR148" s="166" t="str">
        <f t="shared" si="38"/>
        <v>Perf-Test-User-10183@mailinator.com</v>
      </c>
    </row>
    <row r="149" spans="1:44" ht="42.75" x14ac:dyDescent="0.25">
      <c r="A149" s="167" t="s">
        <v>2079</v>
      </c>
      <c r="B149" s="167" t="s">
        <v>1847</v>
      </c>
      <c r="C149" s="167" t="s">
        <v>1848</v>
      </c>
      <c r="D149" s="167" t="s">
        <v>1988</v>
      </c>
      <c r="E149" s="167" t="s">
        <v>1941</v>
      </c>
      <c r="F149" s="167"/>
      <c r="G149" s="167" t="s">
        <v>1871</v>
      </c>
      <c r="H149" s="167" t="s">
        <v>1852</v>
      </c>
      <c r="I149" s="167"/>
      <c r="J149" s="167"/>
      <c r="K149" s="168" t="str">
        <f t="shared" si="39"/>
        <v>KASTING</v>
      </c>
      <c r="L149" s="168" t="str">
        <f t="shared" si="28"/>
        <v>TERRELLY</v>
      </c>
      <c r="M149" s="168">
        <f t="shared" si="29"/>
        <v>21248</v>
      </c>
      <c r="N149" s="168">
        <f t="shared" si="30"/>
        <v>23480</v>
      </c>
      <c r="O149" s="168" t="str">
        <f t="shared" si="31"/>
        <v>242597653</v>
      </c>
      <c r="P149" s="168" t="str">
        <f t="shared" si="32"/>
        <v>242597947</v>
      </c>
      <c r="Q149" s="167"/>
      <c r="R149" s="167"/>
      <c r="S149" s="167"/>
      <c r="T149" s="167"/>
      <c r="U149" s="167"/>
      <c r="V149" s="167"/>
      <c r="W149" s="169" t="str">
        <f t="shared" si="33"/>
        <v>Perf-Test-User-112801@mailinator.com</v>
      </c>
      <c r="X149" s="167" t="str">
        <f t="shared" si="34"/>
        <v>Perf-Test-User-10208@mailinator.com</v>
      </c>
      <c r="Y149" s="168" t="str">
        <f t="shared" si="35"/>
        <v>Dummy!2022</v>
      </c>
      <c r="Z149" s="168" t="str">
        <f t="shared" si="36"/>
        <v>020-8010888</v>
      </c>
      <c r="AA149" s="167" t="s">
        <v>2080</v>
      </c>
      <c r="AB149" s="167" t="s">
        <v>1853</v>
      </c>
      <c r="AQ149" s="166" t="str">
        <f t="shared" si="37"/>
        <v>Perf-Test-User-112801@mailinator.com</v>
      </c>
      <c r="AR149" s="166" t="str">
        <f t="shared" si="38"/>
        <v>Perf-Test-User-10208@mailinator.com</v>
      </c>
    </row>
    <row r="150" spans="1:44" ht="42.75" x14ac:dyDescent="0.25">
      <c r="A150" s="167" t="s">
        <v>2081</v>
      </c>
      <c r="B150" s="167" t="s">
        <v>1858</v>
      </c>
      <c r="C150" s="167" t="s">
        <v>24</v>
      </c>
      <c r="D150" s="167" t="s">
        <v>1988</v>
      </c>
      <c r="E150" s="167" t="s">
        <v>1941</v>
      </c>
      <c r="F150" s="167"/>
      <c r="G150" s="167" t="s">
        <v>1877</v>
      </c>
      <c r="H150" s="167"/>
      <c r="I150" s="167"/>
      <c r="J150" s="167"/>
      <c r="K150" s="168" t="str">
        <f t="shared" si="39"/>
        <v>KASTING</v>
      </c>
      <c r="L150" s="168" t="str">
        <f t="shared" si="28"/>
        <v>TERRELLY</v>
      </c>
      <c r="M150" s="168">
        <f t="shared" si="29"/>
        <v>21248</v>
      </c>
      <c r="N150" s="168">
        <f t="shared" si="30"/>
        <v>23480</v>
      </c>
      <c r="O150" s="168" t="str">
        <f t="shared" si="31"/>
        <v>242597653</v>
      </c>
      <c r="P150" s="168" t="str">
        <f t="shared" si="32"/>
        <v>242597947</v>
      </c>
      <c r="Q150" s="167"/>
      <c r="R150" s="167"/>
      <c r="S150" s="167"/>
      <c r="T150" s="167"/>
      <c r="U150" s="167"/>
      <c r="V150" s="167"/>
      <c r="W150" s="169" t="str">
        <f t="shared" si="33"/>
        <v>Perf-Test-User-112801@mailinator.com</v>
      </c>
      <c r="X150" s="167" t="str">
        <f t="shared" si="34"/>
        <v>Perf-Test-User-10208@mailinator.com</v>
      </c>
      <c r="Y150" s="168" t="str">
        <f t="shared" si="35"/>
        <v>Dummy!2022</v>
      </c>
      <c r="Z150" s="168" t="str">
        <f t="shared" si="36"/>
        <v>020-8010888</v>
      </c>
      <c r="AA150" s="167" t="s">
        <v>2082</v>
      </c>
      <c r="AB150" s="167" t="s">
        <v>1853</v>
      </c>
      <c r="AQ150" s="166" t="str">
        <f t="shared" si="37"/>
        <v>Perf-Test-User-112801@mailinator.com</v>
      </c>
      <c r="AR150" s="166" t="str">
        <f t="shared" si="38"/>
        <v>Perf-Test-User-10208@mailinator.com</v>
      </c>
    </row>
    <row r="151" spans="1:44" ht="42.75" x14ac:dyDescent="0.25">
      <c r="A151" s="167" t="s">
        <v>2083</v>
      </c>
      <c r="B151" s="167" t="s">
        <v>1355</v>
      </c>
      <c r="C151" s="167" t="s">
        <v>1863</v>
      </c>
      <c r="D151" s="167" t="s">
        <v>1988</v>
      </c>
      <c r="E151" s="167" t="s">
        <v>1941</v>
      </c>
      <c r="F151" s="167"/>
      <c r="G151" s="167" t="s">
        <v>1887</v>
      </c>
      <c r="H151" s="167" t="s">
        <v>1865</v>
      </c>
      <c r="I151" s="167"/>
      <c r="J151" s="167"/>
      <c r="K151" s="168" t="str">
        <f t="shared" si="39"/>
        <v>KASTING</v>
      </c>
      <c r="L151" s="168" t="str">
        <f t="shared" si="28"/>
        <v>TERRELLY</v>
      </c>
      <c r="M151" s="168">
        <f t="shared" si="29"/>
        <v>21248</v>
      </c>
      <c r="N151" s="168">
        <f t="shared" si="30"/>
        <v>23480</v>
      </c>
      <c r="O151" s="168" t="str">
        <f t="shared" si="31"/>
        <v>242597653</v>
      </c>
      <c r="P151" s="168" t="str">
        <f t="shared" si="32"/>
        <v>242597947</v>
      </c>
      <c r="Q151" s="167"/>
      <c r="R151" s="167"/>
      <c r="S151" s="167"/>
      <c r="T151" s="167"/>
      <c r="U151" s="167"/>
      <c r="V151" s="167"/>
      <c r="W151" s="169" t="str">
        <f t="shared" si="33"/>
        <v>Perf-Test-User-112801@mailinator.com</v>
      </c>
      <c r="X151" s="167" t="str">
        <f t="shared" si="34"/>
        <v>Perf-Test-User-10208@mailinator.com</v>
      </c>
      <c r="Y151" s="168" t="str">
        <f t="shared" si="35"/>
        <v>Dummy!2022</v>
      </c>
      <c r="Z151" s="168" t="str">
        <f t="shared" si="36"/>
        <v>020-8010888</v>
      </c>
      <c r="AA151" s="167" t="s">
        <v>2084</v>
      </c>
      <c r="AB151" s="167" t="s">
        <v>1853</v>
      </c>
      <c r="AQ151" s="166" t="str">
        <f t="shared" si="37"/>
        <v>Perf-Test-User-112801@mailinator.com</v>
      </c>
      <c r="AR151" s="166" t="str">
        <f t="shared" si="38"/>
        <v>Perf-Test-User-10208@mailinator.com</v>
      </c>
    </row>
    <row r="152" spans="1:44" ht="42.75" x14ac:dyDescent="0.25">
      <c r="A152" s="167" t="s">
        <v>2085</v>
      </c>
      <c r="B152" s="167" t="s">
        <v>1355</v>
      </c>
      <c r="C152" s="167" t="s">
        <v>1870</v>
      </c>
      <c r="D152" s="167" t="s">
        <v>1988</v>
      </c>
      <c r="E152" s="167" t="s">
        <v>1941</v>
      </c>
      <c r="F152" s="167"/>
      <c r="G152" s="167" t="s">
        <v>1893</v>
      </c>
      <c r="H152" s="167" t="s">
        <v>1872</v>
      </c>
      <c r="I152" s="167"/>
      <c r="J152" s="167"/>
      <c r="K152" s="168" t="str">
        <f t="shared" si="39"/>
        <v>KASTING</v>
      </c>
      <c r="L152" s="168" t="str">
        <f t="shared" si="28"/>
        <v>TERRELLY</v>
      </c>
      <c r="M152" s="168">
        <f t="shared" si="29"/>
        <v>21248</v>
      </c>
      <c r="N152" s="168">
        <f t="shared" si="30"/>
        <v>23480</v>
      </c>
      <c r="O152" s="168" t="str">
        <f t="shared" si="31"/>
        <v>242597653</v>
      </c>
      <c r="P152" s="168" t="str">
        <f t="shared" si="32"/>
        <v>242597947</v>
      </c>
      <c r="Q152" s="167"/>
      <c r="R152" s="167"/>
      <c r="S152" s="167"/>
      <c r="T152" s="167"/>
      <c r="U152" s="167"/>
      <c r="V152" s="167"/>
      <c r="W152" s="169" t="str">
        <f t="shared" si="33"/>
        <v>Perf-Test-User-112801@mailinator.com</v>
      </c>
      <c r="X152" s="167" t="str">
        <f t="shared" si="34"/>
        <v>Perf-Test-User-10208@mailinator.com</v>
      </c>
      <c r="Y152" s="168" t="str">
        <f t="shared" si="35"/>
        <v>Dummy!2022</v>
      </c>
      <c r="Z152" s="168" t="str">
        <f t="shared" si="36"/>
        <v>020-8010888</v>
      </c>
      <c r="AA152" s="167" t="s">
        <v>2086</v>
      </c>
      <c r="AB152" s="167" t="s">
        <v>1853</v>
      </c>
      <c r="AQ152" s="166" t="str">
        <f t="shared" si="37"/>
        <v>Perf-Test-User-112801@mailinator.com</v>
      </c>
      <c r="AR152" s="166" t="str">
        <f t="shared" si="38"/>
        <v>Perf-Test-User-10208@mailinator.com</v>
      </c>
    </row>
    <row r="153" spans="1:44" ht="42.75" x14ac:dyDescent="0.25">
      <c r="A153" s="167" t="s">
        <v>2087</v>
      </c>
      <c r="B153" s="167" t="s">
        <v>1355</v>
      </c>
      <c r="C153" s="167" t="s">
        <v>1886</v>
      </c>
      <c r="D153" s="167" t="s">
        <v>1988</v>
      </c>
      <c r="E153" s="167" t="s">
        <v>1941</v>
      </c>
      <c r="F153" s="167" t="s">
        <v>79</v>
      </c>
      <c r="G153" s="167" t="s">
        <v>1897</v>
      </c>
      <c r="H153" s="167" t="s">
        <v>1852</v>
      </c>
      <c r="I153" s="167"/>
      <c r="J153" s="167"/>
      <c r="K153" s="168" t="str">
        <f t="shared" si="39"/>
        <v>KASTING</v>
      </c>
      <c r="L153" s="168" t="str">
        <f t="shared" si="28"/>
        <v>TERRELLY</v>
      </c>
      <c r="M153" s="168">
        <f t="shared" si="29"/>
        <v>21248</v>
      </c>
      <c r="N153" s="168">
        <f t="shared" si="30"/>
        <v>23480</v>
      </c>
      <c r="O153" s="168" t="str">
        <f t="shared" si="31"/>
        <v>242597653</v>
      </c>
      <c r="P153" s="168" t="str">
        <f t="shared" si="32"/>
        <v>242597947</v>
      </c>
      <c r="Q153" s="167" t="s">
        <v>1880</v>
      </c>
      <c r="R153" s="167" t="s">
        <v>1881</v>
      </c>
      <c r="S153" s="167" t="s">
        <v>1882</v>
      </c>
      <c r="T153" s="167" t="s">
        <v>1883</v>
      </c>
      <c r="U153" s="167" t="s">
        <v>1884</v>
      </c>
      <c r="V153" s="167"/>
      <c r="W153" s="169" t="str">
        <f t="shared" si="33"/>
        <v>Perf-Test-User-112801@mailinator.com</v>
      </c>
      <c r="X153" s="167" t="str">
        <f t="shared" si="34"/>
        <v>Perf-Test-User-10208@mailinator.com</v>
      </c>
      <c r="Y153" s="168" t="str">
        <f t="shared" si="35"/>
        <v>Dummy!2022</v>
      </c>
      <c r="Z153" s="168" t="str">
        <f t="shared" si="36"/>
        <v>020-8010888</v>
      </c>
      <c r="AA153" s="167" t="s">
        <v>2088</v>
      </c>
      <c r="AB153" s="167" t="s">
        <v>1853</v>
      </c>
      <c r="AQ153" s="166" t="str">
        <f t="shared" si="37"/>
        <v>Perf-Test-User-112801@mailinator.com</v>
      </c>
      <c r="AR153" s="166" t="str">
        <f t="shared" si="38"/>
        <v>Perf-Test-User-10208@mailinator.com</v>
      </c>
    </row>
    <row r="154" spans="1:44" ht="42.75" x14ac:dyDescent="0.25">
      <c r="A154" s="167" t="s">
        <v>2089</v>
      </c>
      <c r="B154" s="167" t="s">
        <v>1355</v>
      </c>
      <c r="C154" s="167" t="s">
        <v>1892</v>
      </c>
      <c r="D154" s="167" t="s">
        <v>1988</v>
      </c>
      <c r="E154" s="167" t="s">
        <v>1941</v>
      </c>
      <c r="F154" s="167" t="s">
        <v>79</v>
      </c>
      <c r="G154" s="167" t="s">
        <v>1852</v>
      </c>
      <c r="H154" s="167"/>
      <c r="I154" s="167"/>
      <c r="J154" s="167"/>
      <c r="K154" s="168" t="str">
        <f t="shared" si="39"/>
        <v>KASTING</v>
      </c>
      <c r="L154" s="168" t="str">
        <f t="shared" si="28"/>
        <v>TERRELLY</v>
      </c>
      <c r="M154" s="168">
        <f t="shared" si="29"/>
        <v>21248</v>
      </c>
      <c r="N154" s="168">
        <f t="shared" si="30"/>
        <v>23480</v>
      </c>
      <c r="O154" s="168" t="str">
        <f t="shared" si="31"/>
        <v>242597653</v>
      </c>
      <c r="P154" s="168" t="str">
        <f t="shared" si="32"/>
        <v>242597947</v>
      </c>
      <c r="Q154" s="167" t="s">
        <v>1880</v>
      </c>
      <c r="R154" s="167" t="s">
        <v>1881</v>
      </c>
      <c r="S154" s="167" t="s">
        <v>1882</v>
      </c>
      <c r="T154" s="167" t="s">
        <v>1883</v>
      </c>
      <c r="U154" s="167" t="s">
        <v>1884</v>
      </c>
      <c r="V154" s="167"/>
      <c r="W154" s="169" t="str">
        <f t="shared" si="33"/>
        <v>Perf-Test-User-112801@mailinator.com</v>
      </c>
      <c r="X154" s="167" t="str">
        <f t="shared" si="34"/>
        <v>Perf-Test-User-10208@mailinator.com</v>
      </c>
      <c r="Y154" s="168" t="str">
        <f t="shared" si="35"/>
        <v>Dummy!2022</v>
      </c>
      <c r="Z154" s="168" t="str">
        <f t="shared" si="36"/>
        <v>020-8010888</v>
      </c>
      <c r="AA154" s="167" t="s">
        <v>2090</v>
      </c>
      <c r="AB154" s="167" t="s">
        <v>1853</v>
      </c>
      <c r="AQ154" s="166" t="str">
        <f t="shared" si="37"/>
        <v>Perf-Test-User-112801@mailinator.com</v>
      </c>
      <c r="AR154" s="166" t="str">
        <f t="shared" si="38"/>
        <v>Perf-Test-User-10208@mailinator.com</v>
      </c>
    </row>
    <row r="155" spans="1:44" ht="42.75" x14ac:dyDescent="0.25">
      <c r="A155" s="167" t="s">
        <v>2091</v>
      </c>
      <c r="B155" s="167" t="s">
        <v>1355</v>
      </c>
      <c r="C155" s="167" t="s">
        <v>1892</v>
      </c>
      <c r="D155" s="167" t="s">
        <v>1988</v>
      </c>
      <c r="E155" s="167" t="s">
        <v>1941</v>
      </c>
      <c r="F155" s="167" t="s">
        <v>36</v>
      </c>
      <c r="G155" s="167" t="s">
        <v>1851</v>
      </c>
      <c r="H155" s="167"/>
      <c r="I155" s="167"/>
      <c r="J155" s="167"/>
      <c r="K155" s="168" t="str">
        <f t="shared" si="39"/>
        <v>KASTING</v>
      </c>
      <c r="L155" s="168" t="str">
        <f t="shared" si="28"/>
        <v>TERRELLY</v>
      </c>
      <c r="M155" s="168">
        <f t="shared" si="29"/>
        <v>21248</v>
      </c>
      <c r="N155" s="168">
        <f t="shared" si="30"/>
        <v>23480</v>
      </c>
      <c r="O155" s="168" t="str">
        <f t="shared" si="31"/>
        <v>242597653</v>
      </c>
      <c r="P155" s="168" t="str">
        <f t="shared" si="32"/>
        <v>242597947</v>
      </c>
      <c r="Q155" s="167" t="s">
        <v>1880</v>
      </c>
      <c r="R155" s="167" t="s">
        <v>1881</v>
      </c>
      <c r="S155" s="167" t="s">
        <v>1882</v>
      </c>
      <c r="T155" s="167" t="s">
        <v>1883</v>
      </c>
      <c r="U155" s="167" t="s">
        <v>1884</v>
      </c>
      <c r="V155" s="167"/>
      <c r="W155" s="169" t="str">
        <f t="shared" si="33"/>
        <v>Perf-Test-User-112801@mailinator.com</v>
      </c>
      <c r="X155" s="167" t="str">
        <f t="shared" si="34"/>
        <v>Perf-Test-User-10208@mailinator.com</v>
      </c>
      <c r="Y155" s="168" t="str">
        <f t="shared" si="35"/>
        <v>Dummy!2022</v>
      </c>
      <c r="Z155" s="168" t="str">
        <f t="shared" si="36"/>
        <v>020-8010888</v>
      </c>
      <c r="AA155" s="167" t="s">
        <v>2092</v>
      </c>
      <c r="AB155" s="167" t="s">
        <v>1853</v>
      </c>
      <c r="AQ155" s="166" t="str">
        <f t="shared" si="37"/>
        <v>Perf-Test-User-112801@mailinator.com</v>
      </c>
      <c r="AR155" s="166" t="str">
        <f t="shared" si="38"/>
        <v>Perf-Test-User-10208@mailinator.com</v>
      </c>
    </row>
    <row r="156" spans="1:44" ht="42.75" x14ac:dyDescent="0.25">
      <c r="A156" s="167" t="s">
        <v>2093</v>
      </c>
      <c r="B156" s="167" t="s">
        <v>1355</v>
      </c>
      <c r="C156" s="167" t="s">
        <v>1896</v>
      </c>
      <c r="D156" s="167" t="s">
        <v>1988</v>
      </c>
      <c r="E156" s="167" t="s">
        <v>1941</v>
      </c>
      <c r="F156" s="167" t="s">
        <v>36</v>
      </c>
      <c r="G156" s="167" t="s">
        <v>1859</v>
      </c>
      <c r="H156" s="167" t="s">
        <v>1852</v>
      </c>
      <c r="I156" s="167"/>
      <c r="J156" s="167"/>
      <c r="K156" s="168" t="str">
        <f t="shared" si="39"/>
        <v>KASTING</v>
      </c>
      <c r="L156" s="168" t="str">
        <f t="shared" si="28"/>
        <v>TERRELLY</v>
      </c>
      <c r="M156" s="168">
        <f t="shared" si="29"/>
        <v>21248</v>
      </c>
      <c r="N156" s="168">
        <f t="shared" si="30"/>
        <v>23480</v>
      </c>
      <c r="O156" s="168" t="str">
        <f t="shared" si="31"/>
        <v>242597653</v>
      </c>
      <c r="P156" s="168" t="str">
        <f t="shared" si="32"/>
        <v>242597947</v>
      </c>
      <c r="Q156" s="167" t="s">
        <v>1880</v>
      </c>
      <c r="R156" s="167" t="s">
        <v>1881</v>
      </c>
      <c r="S156" s="167" t="s">
        <v>1919</v>
      </c>
      <c r="T156" s="167" t="s">
        <v>1883</v>
      </c>
      <c r="U156" s="167" t="s">
        <v>1884</v>
      </c>
      <c r="V156" s="167"/>
      <c r="W156" s="169" t="str">
        <f t="shared" si="33"/>
        <v>Perf-Test-User-112801@mailinator.com</v>
      </c>
      <c r="X156" s="167" t="str">
        <f t="shared" si="34"/>
        <v>Perf-Test-User-10208@mailinator.com</v>
      </c>
      <c r="Y156" s="168" t="str">
        <f t="shared" si="35"/>
        <v>Dummy!2022</v>
      </c>
      <c r="Z156" s="168" t="str">
        <f t="shared" si="36"/>
        <v>020-8010888</v>
      </c>
      <c r="AA156" s="167" t="s">
        <v>2094</v>
      </c>
      <c r="AB156" s="167" t="s">
        <v>1853</v>
      </c>
      <c r="AQ156" s="166" t="str">
        <f t="shared" si="37"/>
        <v>Perf-Test-User-112801@mailinator.com</v>
      </c>
      <c r="AR156" s="166" t="str">
        <f t="shared" si="38"/>
        <v>Perf-Test-User-10208@mailinator.com</v>
      </c>
    </row>
    <row r="157" spans="1:44" ht="42.75" x14ac:dyDescent="0.25">
      <c r="A157" s="167" t="s">
        <v>2095</v>
      </c>
      <c r="B157" s="167" t="s">
        <v>1355</v>
      </c>
      <c r="C157" s="167" t="s">
        <v>1886</v>
      </c>
      <c r="D157" s="167" t="s">
        <v>1988</v>
      </c>
      <c r="E157" s="167" t="s">
        <v>1941</v>
      </c>
      <c r="F157" s="167" t="s">
        <v>36</v>
      </c>
      <c r="G157" s="167" t="s">
        <v>1864</v>
      </c>
      <c r="H157" s="167" t="s">
        <v>1865</v>
      </c>
      <c r="I157" s="167"/>
      <c r="J157" s="167"/>
      <c r="K157" s="168" t="str">
        <f t="shared" si="39"/>
        <v>KASTING</v>
      </c>
      <c r="L157" s="168" t="str">
        <f t="shared" si="28"/>
        <v>TERRELLY</v>
      </c>
      <c r="M157" s="168">
        <f t="shared" si="29"/>
        <v>21248</v>
      </c>
      <c r="N157" s="168">
        <f t="shared" si="30"/>
        <v>23480</v>
      </c>
      <c r="O157" s="168" t="str">
        <f t="shared" si="31"/>
        <v>242597653</v>
      </c>
      <c r="P157" s="168" t="str">
        <f t="shared" si="32"/>
        <v>242597947</v>
      </c>
      <c r="Q157" s="167" t="s">
        <v>1880</v>
      </c>
      <c r="R157" s="167" t="s">
        <v>1881</v>
      </c>
      <c r="S157" s="167" t="s">
        <v>1921</v>
      </c>
      <c r="T157" s="167" t="s">
        <v>1883</v>
      </c>
      <c r="U157" s="167" t="s">
        <v>1884</v>
      </c>
      <c r="V157" s="167"/>
      <c r="W157" s="169" t="str">
        <f t="shared" si="33"/>
        <v>Perf-Test-User-112801@mailinator.com</v>
      </c>
      <c r="X157" s="167" t="str">
        <f t="shared" si="34"/>
        <v>Perf-Test-User-10208@mailinator.com</v>
      </c>
      <c r="Y157" s="168" t="str">
        <f t="shared" si="35"/>
        <v>Dummy!2022</v>
      </c>
      <c r="Z157" s="168" t="str">
        <f t="shared" si="36"/>
        <v>020-8010888</v>
      </c>
      <c r="AA157" s="167" t="s">
        <v>2096</v>
      </c>
      <c r="AB157" s="167" t="s">
        <v>1853</v>
      </c>
      <c r="AQ157" s="166" t="str">
        <f t="shared" si="37"/>
        <v>Perf-Test-User-112801@mailinator.com</v>
      </c>
      <c r="AR157" s="166" t="str">
        <f t="shared" si="38"/>
        <v>Perf-Test-User-10208@mailinator.com</v>
      </c>
    </row>
    <row r="158" spans="1:44" ht="42.75" x14ac:dyDescent="0.25">
      <c r="A158" s="167" t="s">
        <v>2097</v>
      </c>
      <c r="B158" s="167" t="s">
        <v>1847</v>
      </c>
      <c r="C158" s="167" t="s">
        <v>1848</v>
      </c>
      <c r="D158" s="167" t="s">
        <v>1988</v>
      </c>
      <c r="E158" s="167" t="s">
        <v>1958</v>
      </c>
      <c r="F158" s="167"/>
      <c r="G158" s="167" t="s">
        <v>1871</v>
      </c>
      <c r="H158" s="167" t="s">
        <v>1852</v>
      </c>
      <c r="I158" s="167"/>
      <c r="J158" s="167"/>
      <c r="K158" s="168" t="str">
        <f t="shared" si="39"/>
        <v>HIDDERLEY</v>
      </c>
      <c r="L158" s="168" t="str">
        <f t="shared" si="28"/>
        <v>TERRELLY</v>
      </c>
      <c r="M158" s="168">
        <f t="shared" si="29"/>
        <v>35736</v>
      </c>
      <c r="N158" s="168">
        <f t="shared" si="30"/>
        <v>23480</v>
      </c>
      <c r="O158" s="168" t="str">
        <f t="shared" si="31"/>
        <v>242597904</v>
      </c>
      <c r="P158" s="168" t="str">
        <f t="shared" si="32"/>
        <v>242597947</v>
      </c>
      <c r="Q158" s="167"/>
      <c r="R158" s="167"/>
      <c r="S158" s="167"/>
      <c r="T158" s="167"/>
      <c r="U158" s="167"/>
      <c r="V158" s="167"/>
      <c r="W158" s="169" t="str">
        <f t="shared" si="33"/>
        <v>UAT-WF-User77@mailinator.com</v>
      </c>
      <c r="X158" s="167" t="str">
        <f t="shared" si="34"/>
        <v>Perf-Test-User-10208@mailinator.com</v>
      </c>
      <c r="Y158" s="168" t="str">
        <f t="shared" si="35"/>
        <v>Dummy!2024</v>
      </c>
      <c r="Z158" s="168" t="str">
        <f t="shared" si="36"/>
        <v>020-8030031</v>
      </c>
      <c r="AA158" s="167" t="s">
        <v>2098</v>
      </c>
      <c r="AB158" s="167" t="s">
        <v>1853</v>
      </c>
      <c r="AQ158" s="166" t="str">
        <f t="shared" si="37"/>
        <v>UAT-WF-User77@mailinator.com</v>
      </c>
      <c r="AR158" s="166" t="str">
        <f t="shared" si="38"/>
        <v>Perf-Test-User-10208@mailinator.com</v>
      </c>
    </row>
    <row r="159" spans="1:44" ht="42.75" x14ac:dyDescent="0.25">
      <c r="A159" s="167" t="s">
        <v>2099</v>
      </c>
      <c r="B159" s="167" t="s">
        <v>1858</v>
      </c>
      <c r="C159" s="167" t="s">
        <v>24</v>
      </c>
      <c r="D159" s="167" t="s">
        <v>1988</v>
      </c>
      <c r="E159" s="167" t="s">
        <v>1958</v>
      </c>
      <c r="F159" s="167"/>
      <c r="G159" s="167" t="s">
        <v>1877</v>
      </c>
      <c r="H159" s="167"/>
      <c r="I159" s="167"/>
      <c r="J159" s="167"/>
      <c r="K159" s="168" t="str">
        <f t="shared" si="39"/>
        <v>HIDDERLEY</v>
      </c>
      <c r="L159" s="168" t="str">
        <f t="shared" si="28"/>
        <v>TERRELLY</v>
      </c>
      <c r="M159" s="168">
        <f t="shared" si="29"/>
        <v>35736</v>
      </c>
      <c r="N159" s="168">
        <f t="shared" si="30"/>
        <v>23480</v>
      </c>
      <c r="O159" s="168" t="str">
        <f t="shared" si="31"/>
        <v>242597904</v>
      </c>
      <c r="P159" s="168" t="str">
        <f t="shared" si="32"/>
        <v>242597947</v>
      </c>
      <c r="Q159" s="167"/>
      <c r="R159" s="167"/>
      <c r="S159" s="167"/>
      <c r="T159" s="167"/>
      <c r="U159" s="167"/>
      <c r="V159" s="167"/>
      <c r="W159" s="169" t="str">
        <f t="shared" si="33"/>
        <v>UAT-WF-User77@mailinator.com</v>
      </c>
      <c r="X159" s="167" t="str">
        <f t="shared" si="34"/>
        <v>Perf-Test-User-10208@mailinator.com</v>
      </c>
      <c r="Y159" s="168" t="str">
        <f t="shared" si="35"/>
        <v>Dummy!2024</v>
      </c>
      <c r="Z159" s="168" t="str">
        <f t="shared" si="36"/>
        <v>020-8030031</v>
      </c>
      <c r="AA159" s="167" t="s">
        <v>2100</v>
      </c>
      <c r="AB159" s="167" t="s">
        <v>1853</v>
      </c>
      <c r="AQ159" s="166" t="str">
        <f t="shared" si="37"/>
        <v>UAT-WF-User77@mailinator.com</v>
      </c>
      <c r="AR159" s="166" t="str">
        <f t="shared" si="38"/>
        <v>Perf-Test-User-10208@mailinator.com</v>
      </c>
    </row>
    <row r="160" spans="1:44" ht="42.75" x14ac:dyDescent="0.25">
      <c r="A160" s="167" t="s">
        <v>2101</v>
      </c>
      <c r="B160" s="167" t="s">
        <v>1355</v>
      </c>
      <c r="C160" s="167" t="s">
        <v>1863</v>
      </c>
      <c r="D160" s="167" t="s">
        <v>1988</v>
      </c>
      <c r="E160" s="167" t="s">
        <v>1958</v>
      </c>
      <c r="F160" s="167"/>
      <c r="G160" s="167" t="s">
        <v>1887</v>
      </c>
      <c r="H160" s="167" t="s">
        <v>1865</v>
      </c>
      <c r="I160" s="167"/>
      <c r="J160" s="167"/>
      <c r="K160" s="168" t="str">
        <f t="shared" si="39"/>
        <v>HIDDERLEY</v>
      </c>
      <c r="L160" s="168" t="str">
        <f t="shared" si="28"/>
        <v>TERRELLY</v>
      </c>
      <c r="M160" s="168">
        <f t="shared" si="29"/>
        <v>35736</v>
      </c>
      <c r="N160" s="168">
        <f t="shared" si="30"/>
        <v>23480</v>
      </c>
      <c r="O160" s="168" t="str">
        <f t="shared" si="31"/>
        <v>242597904</v>
      </c>
      <c r="P160" s="168" t="str">
        <f t="shared" si="32"/>
        <v>242597947</v>
      </c>
      <c r="Q160" s="167"/>
      <c r="R160" s="167"/>
      <c r="S160" s="167"/>
      <c r="T160" s="167"/>
      <c r="U160" s="167"/>
      <c r="V160" s="167"/>
      <c r="W160" s="169" t="str">
        <f t="shared" si="33"/>
        <v>UAT-WF-User77@mailinator.com</v>
      </c>
      <c r="X160" s="167" t="str">
        <f t="shared" si="34"/>
        <v>Perf-Test-User-10208@mailinator.com</v>
      </c>
      <c r="Y160" s="168" t="str">
        <f t="shared" si="35"/>
        <v>Dummy!2024</v>
      </c>
      <c r="Z160" s="168" t="str">
        <f t="shared" si="36"/>
        <v>020-8030031</v>
      </c>
      <c r="AA160" s="167" t="s">
        <v>2102</v>
      </c>
      <c r="AB160" s="167" t="s">
        <v>1853</v>
      </c>
      <c r="AQ160" s="166" t="str">
        <f t="shared" si="37"/>
        <v>UAT-WF-User77@mailinator.com</v>
      </c>
      <c r="AR160" s="166" t="str">
        <f t="shared" si="38"/>
        <v>Perf-Test-User-10208@mailinator.com</v>
      </c>
    </row>
    <row r="161" spans="1:44" ht="42.75" x14ac:dyDescent="0.25">
      <c r="A161" s="167" t="s">
        <v>2103</v>
      </c>
      <c r="B161" s="167" t="s">
        <v>1355</v>
      </c>
      <c r="C161" s="167" t="s">
        <v>1870</v>
      </c>
      <c r="D161" s="167" t="s">
        <v>1988</v>
      </c>
      <c r="E161" s="167" t="s">
        <v>1958</v>
      </c>
      <c r="F161" s="167"/>
      <c r="G161" s="167" t="s">
        <v>1893</v>
      </c>
      <c r="H161" s="167" t="s">
        <v>1872</v>
      </c>
      <c r="I161" s="167"/>
      <c r="J161" s="167"/>
      <c r="K161" s="168" t="str">
        <f t="shared" si="39"/>
        <v>HIDDERLEY</v>
      </c>
      <c r="L161" s="168" t="str">
        <f t="shared" si="28"/>
        <v>TERRELLY</v>
      </c>
      <c r="M161" s="168">
        <f t="shared" si="29"/>
        <v>35736</v>
      </c>
      <c r="N161" s="168">
        <f t="shared" si="30"/>
        <v>23480</v>
      </c>
      <c r="O161" s="168" t="str">
        <f t="shared" si="31"/>
        <v>242597904</v>
      </c>
      <c r="P161" s="168" t="str">
        <f t="shared" si="32"/>
        <v>242597947</v>
      </c>
      <c r="Q161" s="167"/>
      <c r="R161" s="167"/>
      <c r="S161" s="167"/>
      <c r="T161" s="167"/>
      <c r="U161" s="167"/>
      <c r="V161" s="167"/>
      <c r="W161" s="169" t="str">
        <f t="shared" si="33"/>
        <v>UAT-WF-User77@mailinator.com</v>
      </c>
      <c r="X161" s="167" t="str">
        <f t="shared" si="34"/>
        <v>Perf-Test-User-10208@mailinator.com</v>
      </c>
      <c r="Y161" s="168" t="str">
        <f t="shared" si="35"/>
        <v>Dummy!2024</v>
      </c>
      <c r="Z161" s="168" t="str">
        <f t="shared" si="36"/>
        <v>020-8030031</v>
      </c>
      <c r="AA161" s="167" t="s">
        <v>2104</v>
      </c>
      <c r="AB161" s="167" t="s">
        <v>1853</v>
      </c>
      <c r="AQ161" s="166" t="str">
        <f t="shared" si="37"/>
        <v>UAT-WF-User77@mailinator.com</v>
      </c>
      <c r="AR161" s="166" t="str">
        <f t="shared" si="38"/>
        <v>Perf-Test-User-10208@mailinator.com</v>
      </c>
    </row>
    <row r="162" spans="1:44" ht="42.75" x14ac:dyDescent="0.25">
      <c r="A162" s="167" t="s">
        <v>2105</v>
      </c>
      <c r="B162" s="167" t="s">
        <v>1355</v>
      </c>
      <c r="C162" s="167" t="s">
        <v>1886</v>
      </c>
      <c r="D162" s="167" t="s">
        <v>1988</v>
      </c>
      <c r="E162" s="167" t="s">
        <v>1958</v>
      </c>
      <c r="F162" s="167" t="s">
        <v>79</v>
      </c>
      <c r="G162" s="167" t="s">
        <v>1897</v>
      </c>
      <c r="H162" s="167" t="s">
        <v>1852</v>
      </c>
      <c r="I162" s="167"/>
      <c r="J162" s="167"/>
      <c r="K162" s="168" t="str">
        <f t="shared" si="39"/>
        <v>HIDDERLEY</v>
      </c>
      <c r="L162" s="168" t="str">
        <f t="shared" si="28"/>
        <v>TERRELLY</v>
      </c>
      <c r="M162" s="168">
        <f t="shared" si="29"/>
        <v>35736</v>
      </c>
      <c r="N162" s="168">
        <f t="shared" si="30"/>
        <v>23480</v>
      </c>
      <c r="O162" s="168" t="str">
        <f t="shared" si="31"/>
        <v>242597904</v>
      </c>
      <c r="P162" s="168" t="str">
        <f t="shared" si="32"/>
        <v>242597947</v>
      </c>
      <c r="Q162" s="167" t="s">
        <v>1880</v>
      </c>
      <c r="R162" s="167" t="s">
        <v>1881</v>
      </c>
      <c r="S162" s="167" t="s">
        <v>1882</v>
      </c>
      <c r="T162" s="167" t="s">
        <v>1883</v>
      </c>
      <c r="U162" s="167" t="s">
        <v>1884</v>
      </c>
      <c r="V162" s="167"/>
      <c r="W162" s="169" t="str">
        <f t="shared" si="33"/>
        <v>UAT-WF-User77@mailinator.com</v>
      </c>
      <c r="X162" s="167" t="str">
        <f t="shared" si="34"/>
        <v>Perf-Test-User-10208@mailinator.com</v>
      </c>
      <c r="Y162" s="168" t="str">
        <f t="shared" si="35"/>
        <v>Dummy!2024</v>
      </c>
      <c r="Z162" s="168" t="str">
        <f t="shared" si="36"/>
        <v>020-8030031</v>
      </c>
      <c r="AA162" s="167" t="s">
        <v>2106</v>
      </c>
      <c r="AB162" s="167" t="s">
        <v>1853</v>
      </c>
      <c r="AQ162" s="166" t="str">
        <f t="shared" si="37"/>
        <v>UAT-WF-User77@mailinator.com</v>
      </c>
      <c r="AR162" s="166" t="str">
        <f t="shared" si="38"/>
        <v>Perf-Test-User-10208@mailinator.com</v>
      </c>
    </row>
    <row r="163" spans="1:44" ht="42.75" x14ac:dyDescent="0.25">
      <c r="A163" s="167" t="s">
        <v>2107</v>
      </c>
      <c r="B163" s="167" t="s">
        <v>1355</v>
      </c>
      <c r="C163" s="167" t="s">
        <v>1892</v>
      </c>
      <c r="D163" s="167" t="s">
        <v>1988</v>
      </c>
      <c r="E163" s="167" t="s">
        <v>1958</v>
      </c>
      <c r="F163" s="167" t="s">
        <v>79</v>
      </c>
      <c r="G163" s="167" t="s">
        <v>1852</v>
      </c>
      <c r="H163" s="167"/>
      <c r="I163" s="167"/>
      <c r="J163" s="167"/>
      <c r="K163" s="168" t="str">
        <f t="shared" si="39"/>
        <v>HIDDERLEY</v>
      </c>
      <c r="L163" s="168" t="str">
        <f t="shared" si="28"/>
        <v>TERRELLY</v>
      </c>
      <c r="M163" s="168">
        <f t="shared" si="29"/>
        <v>35736</v>
      </c>
      <c r="N163" s="168">
        <f t="shared" si="30"/>
        <v>23480</v>
      </c>
      <c r="O163" s="168" t="str">
        <f t="shared" si="31"/>
        <v>242597904</v>
      </c>
      <c r="P163" s="168" t="str">
        <f t="shared" si="32"/>
        <v>242597947</v>
      </c>
      <c r="Q163" s="167" t="s">
        <v>1880</v>
      </c>
      <c r="R163" s="167" t="s">
        <v>1881</v>
      </c>
      <c r="S163" s="167" t="s">
        <v>1882</v>
      </c>
      <c r="T163" s="167" t="s">
        <v>1883</v>
      </c>
      <c r="U163" s="167" t="s">
        <v>1884</v>
      </c>
      <c r="V163" s="167"/>
      <c r="W163" s="169" t="str">
        <f t="shared" si="33"/>
        <v>UAT-WF-User77@mailinator.com</v>
      </c>
      <c r="X163" s="167" t="str">
        <f t="shared" si="34"/>
        <v>Perf-Test-User-10208@mailinator.com</v>
      </c>
      <c r="Y163" s="168" t="str">
        <f t="shared" si="35"/>
        <v>Dummy!2024</v>
      </c>
      <c r="Z163" s="168" t="str">
        <f t="shared" si="36"/>
        <v>020-8030031</v>
      </c>
      <c r="AA163" s="167" t="s">
        <v>2108</v>
      </c>
      <c r="AB163" s="167" t="s">
        <v>1853</v>
      </c>
      <c r="AQ163" s="166" t="str">
        <f t="shared" si="37"/>
        <v>UAT-WF-User77@mailinator.com</v>
      </c>
      <c r="AR163" s="166" t="str">
        <f t="shared" si="38"/>
        <v>Perf-Test-User-10208@mailinator.com</v>
      </c>
    </row>
    <row r="164" spans="1:44" ht="42.75" x14ac:dyDescent="0.25">
      <c r="A164" s="167" t="s">
        <v>2109</v>
      </c>
      <c r="B164" s="167" t="s">
        <v>1355</v>
      </c>
      <c r="C164" s="167" t="s">
        <v>1892</v>
      </c>
      <c r="D164" s="167" t="s">
        <v>1988</v>
      </c>
      <c r="E164" s="167" t="s">
        <v>1958</v>
      </c>
      <c r="F164" s="167" t="s">
        <v>36</v>
      </c>
      <c r="G164" s="167" t="s">
        <v>1851</v>
      </c>
      <c r="H164" s="167"/>
      <c r="I164" s="167"/>
      <c r="J164" s="167"/>
      <c r="K164" s="168" t="str">
        <f t="shared" si="39"/>
        <v>HIDDERLEY</v>
      </c>
      <c r="L164" s="168" t="str">
        <f t="shared" si="28"/>
        <v>TERRELLY</v>
      </c>
      <c r="M164" s="168">
        <f t="shared" si="29"/>
        <v>35736</v>
      </c>
      <c r="N164" s="168">
        <f t="shared" si="30"/>
        <v>23480</v>
      </c>
      <c r="O164" s="168" t="str">
        <f t="shared" si="31"/>
        <v>242597904</v>
      </c>
      <c r="P164" s="168" t="str">
        <f t="shared" si="32"/>
        <v>242597947</v>
      </c>
      <c r="Q164" s="167" t="s">
        <v>1880</v>
      </c>
      <c r="R164" s="167" t="s">
        <v>1881</v>
      </c>
      <c r="S164" s="167" t="s">
        <v>1882</v>
      </c>
      <c r="T164" s="167" t="s">
        <v>1883</v>
      </c>
      <c r="U164" s="167" t="s">
        <v>1884</v>
      </c>
      <c r="V164" s="167"/>
      <c r="W164" s="169" t="str">
        <f t="shared" si="33"/>
        <v>UAT-WF-User77@mailinator.com</v>
      </c>
      <c r="X164" s="167" t="str">
        <f t="shared" si="34"/>
        <v>Perf-Test-User-10208@mailinator.com</v>
      </c>
      <c r="Y164" s="168" t="str">
        <f t="shared" si="35"/>
        <v>Dummy!2024</v>
      </c>
      <c r="Z164" s="168" t="str">
        <f t="shared" si="36"/>
        <v>020-8030031</v>
      </c>
      <c r="AA164" s="167" t="s">
        <v>2110</v>
      </c>
      <c r="AB164" s="167" t="s">
        <v>1853</v>
      </c>
      <c r="AQ164" s="166" t="str">
        <f t="shared" si="37"/>
        <v>UAT-WF-User77@mailinator.com</v>
      </c>
      <c r="AR164" s="166" t="str">
        <f t="shared" si="38"/>
        <v>Perf-Test-User-10208@mailinator.com</v>
      </c>
    </row>
    <row r="165" spans="1:44" ht="42.75" x14ac:dyDescent="0.25">
      <c r="A165" s="167" t="s">
        <v>2111</v>
      </c>
      <c r="B165" s="167" t="s">
        <v>1355</v>
      </c>
      <c r="C165" s="167" t="s">
        <v>1896</v>
      </c>
      <c r="D165" s="167" t="s">
        <v>1988</v>
      </c>
      <c r="E165" s="167" t="s">
        <v>1958</v>
      </c>
      <c r="F165" s="167" t="s">
        <v>36</v>
      </c>
      <c r="G165" s="167" t="s">
        <v>1859</v>
      </c>
      <c r="H165" s="167" t="s">
        <v>1852</v>
      </c>
      <c r="I165" s="167"/>
      <c r="J165" s="167"/>
      <c r="K165" s="168" t="str">
        <f t="shared" si="39"/>
        <v>HIDDERLEY</v>
      </c>
      <c r="L165" s="168" t="str">
        <f t="shared" si="28"/>
        <v>TERRELLY</v>
      </c>
      <c r="M165" s="168">
        <f t="shared" si="29"/>
        <v>35736</v>
      </c>
      <c r="N165" s="168">
        <f t="shared" si="30"/>
        <v>23480</v>
      </c>
      <c r="O165" s="168" t="str">
        <f t="shared" si="31"/>
        <v>242597904</v>
      </c>
      <c r="P165" s="168" t="str">
        <f t="shared" si="32"/>
        <v>242597947</v>
      </c>
      <c r="Q165" s="167" t="s">
        <v>1880</v>
      </c>
      <c r="R165" s="167" t="s">
        <v>1881</v>
      </c>
      <c r="S165" s="167" t="s">
        <v>1919</v>
      </c>
      <c r="T165" s="167" t="s">
        <v>1883</v>
      </c>
      <c r="U165" s="167" t="s">
        <v>1884</v>
      </c>
      <c r="V165" s="167"/>
      <c r="W165" s="169" t="str">
        <f t="shared" si="33"/>
        <v>UAT-WF-User77@mailinator.com</v>
      </c>
      <c r="X165" s="167" t="str">
        <f t="shared" si="34"/>
        <v>Perf-Test-User-10208@mailinator.com</v>
      </c>
      <c r="Y165" s="168" t="str">
        <f t="shared" si="35"/>
        <v>Dummy!2024</v>
      </c>
      <c r="Z165" s="168" t="str">
        <f t="shared" si="36"/>
        <v>020-8030031</v>
      </c>
      <c r="AA165" s="175" t="s">
        <v>2112</v>
      </c>
      <c r="AB165" s="167" t="s">
        <v>1853</v>
      </c>
      <c r="AQ165" s="166" t="str">
        <f t="shared" si="37"/>
        <v>UAT-WF-User77@mailinator.com</v>
      </c>
      <c r="AR165" s="166" t="str">
        <f t="shared" si="38"/>
        <v>Perf-Test-User-10208@mailinator.com</v>
      </c>
    </row>
    <row r="166" spans="1:44" ht="42.75" x14ac:dyDescent="0.25">
      <c r="A166" s="167" t="s">
        <v>2113</v>
      </c>
      <c r="B166" s="167" t="s">
        <v>1355</v>
      </c>
      <c r="C166" s="167" t="s">
        <v>1886</v>
      </c>
      <c r="D166" s="167" t="s">
        <v>1988</v>
      </c>
      <c r="E166" s="167" t="s">
        <v>1958</v>
      </c>
      <c r="F166" s="167" t="s">
        <v>36</v>
      </c>
      <c r="G166" s="167" t="s">
        <v>1864</v>
      </c>
      <c r="H166" s="167" t="s">
        <v>1865</v>
      </c>
      <c r="I166" s="167"/>
      <c r="J166" s="167"/>
      <c r="K166" s="168" t="str">
        <f t="shared" si="39"/>
        <v>HIDDERLEY</v>
      </c>
      <c r="L166" s="168" t="str">
        <f t="shared" si="28"/>
        <v>TERRELLY</v>
      </c>
      <c r="M166" s="168">
        <f t="shared" si="29"/>
        <v>35736</v>
      </c>
      <c r="N166" s="168">
        <f t="shared" si="30"/>
        <v>23480</v>
      </c>
      <c r="O166" s="168" t="str">
        <f t="shared" si="31"/>
        <v>242597904</v>
      </c>
      <c r="P166" s="168" t="str">
        <f t="shared" si="32"/>
        <v>242597947</v>
      </c>
      <c r="Q166" s="167" t="s">
        <v>1880</v>
      </c>
      <c r="R166" s="167" t="s">
        <v>1881</v>
      </c>
      <c r="S166" s="167" t="s">
        <v>1921</v>
      </c>
      <c r="T166" s="167" t="s">
        <v>1883</v>
      </c>
      <c r="U166" s="167" t="s">
        <v>1884</v>
      </c>
      <c r="V166" s="167"/>
      <c r="W166" s="169" t="str">
        <f t="shared" si="33"/>
        <v>UAT-WF-User77@mailinator.com</v>
      </c>
      <c r="X166" s="167" t="str">
        <f t="shared" si="34"/>
        <v>Perf-Test-User-10208@mailinator.com</v>
      </c>
      <c r="Y166" s="168" t="str">
        <f t="shared" si="35"/>
        <v>Dummy!2024</v>
      </c>
      <c r="Z166" s="168" t="str">
        <f t="shared" si="36"/>
        <v>020-8030031</v>
      </c>
      <c r="AA166" s="175" t="s">
        <v>2114</v>
      </c>
      <c r="AB166" s="167" t="s">
        <v>1853</v>
      </c>
      <c r="AQ166" s="166" t="str">
        <f t="shared" si="37"/>
        <v>UAT-WF-User77@mailinator.com</v>
      </c>
      <c r="AR166" s="166" t="str">
        <f t="shared" si="38"/>
        <v>Perf-Test-User-10208@mailinator.com</v>
      </c>
    </row>
    <row r="167" spans="1:44" ht="42.75" x14ac:dyDescent="0.25">
      <c r="A167" s="167" t="s">
        <v>2115</v>
      </c>
      <c r="B167" s="167" t="s">
        <v>1847</v>
      </c>
      <c r="C167" s="167" t="s">
        <v>1848</v>
      </c>
      <c r="D167" s="167" t="s">
        <v>1988</v>
      </c>
      <c r="E167" s="167" t="s">
        <v>1970</v>
      </c>
      <c r="F167" s="167"/>
      <c r="G167" s="167" t="s">
        <v>1871</v>
      </c>
      <c r="H167" s="167" t="s">
        <v>1852</v>
      </c>
      <c r="I167" s="167"/>
      <c r="J167" s="167"/>
      <c r="K167" s="168" t="str">
        <f t="shared" si="39"/>
        <v>KASTING</v>
      </c>
      <c r="L167" s="168" t="str">
        <f t="shared" si="28"/>
        <v>SATTERTHWAITE</v>
      </c>
      <c r="M167" s="168">
        <f t="shared" si="29"/>
        <v>21248</v>
      </c>
      <c r="N167" s="168">
        <f t="shared" si="30"/>
        <v>31390</v>
      </c>
      <c r="O167" s="168" t="str">
        <f t="shared" si="31"/>
        <v>242597653</v>
      </c>
      <c r="P167" s="168" t="str">
        <f t="shared" si="32"/>
        <v>242597408</v>
      </c>
      <c r="Q167" s="167"/>
      <c r="R167" s="167"/>
      <c r="S167" s="167"/>
      <c r="T167" s="167"/>
      <c r="U167" s="167"/>
      <c r="V167" s="167"/>
      <c r="W167" s="169" t="str">
        <f t="shared" si="33"/>
        <v>Perf-Test-User-112801@mailinator.com</v>
      </c>
      <c r="X167" s="167" t="str">
        <f t="shared" si="34"/>
        <v>Perf-Test-User-10183@mailinator.com</v>
      </c>
      <c r="Y167" s="168" t="str">
        <f t="shared" si="35"/>
        <v>Dummy!2022</v>
      </c>
      <c r="Z167" s="168" t="str">
        <f t="shared" si="36"/>
        <v>020-8010888</v>
      </c>
      <c r="AA167" s="175" t="s">
        <v>2116</v>
      </c>
      <c r="AB167" s="167" t="s">
        <v>1853</v>
      </c>
      <c r="AQ167" s="166" t="str">
        <f t="shared" si="37"/>
        <v>Perf-Test-User-112801@mailinator.com</v>
      </c>
      <c r="AR167" s="166" t="str">
        <f t="shared" si="38"/>
        <v>Perf-Test-User-10183@mailinator.com</v>
      </c>
    </row>
    <row r="168" spans="1:44" ht="42.75" x14ac:dyDescent="0.25">
      <c r="A168" s="167" t="s">
        <v>2117</v>
      </c>
      <c r="B168" s="167" t="s">
        <v>1858</v>
      </c>
      <c r="C168" s="167" t="s">
        <v>24</v>
      </c>
      <c r="D168" s="167" t="s">
        <v>1988</v>
      </c>
      <c r="E168" s="167" t="s">
        <v>1970</v>
      </c>
      <c r="F168" s="167"/>
      <c r="G168" s="167" t="s">
        <v>1877</v>
      </c>
      <c r="H168" s="167"/>
      <c r="I168" s="167"/>
      <c r="J168" s="167"/>
      <c r="K168" s="168" t="str">
        <f t="shared" si="39"/>
        <v>KASTING</v>
      </c>
      <c r="L168" s="168" t="str">
        <f t="shared" si="28"/>
        <v>SATTERTHWAITE</v>
      </c>
      <c r="M168" s="168">
        <f t="shared" si="29"/>
        <v>21248</v>
      </c>
      <c r="N168" s="168">
        <f t="shared" si="30"/>
        <v>31390</v>
      </c>
      <c r="O168" s="168" t="str">
        <f t="shared" si="31"/>
        <v>242597653</v>
      </c>
      <c r="P168" s="168" t="str">
        <f t="shared" si="32"/>
        <v>242597408</v>
      </c>
      <c r="Q168" s="167"/>
      <c r="R168" s="167"/>
      <c r="S168" s="167"/>
      <c r="T168" s="167"/>
      <c r="U168" s="167"/>
      <c r="V168" s="167"/>
      <c r="W168" s="169" t="str">
        <f t="shared" si="33"/>
        <v>Perf-Test-User-112801@mailinator.com</v>
      </c>
      <c r="X168" s="167" t="str">
        <f t="shared" si="34"/>
        <v>Perf-Test-User-10183@mailinator.com</v>
      </c>
      <c r="Y168" s="168" t="str">
        <f t="shared" si="35"/>
        <v>Dummy!2022</v>
      </c>
      <c r="Z168" s="168" t="str">
        <f t="shared" si="36"/>
        <v>020-8010888</v>
      </c>
      <c r="AA168" s="175" t="s">
        <v>2118</v>
      </c>
      <c r="AB168" s="167" t="s">
        <v>1853</v>
      </c>
      <c r="AQ168" s="166" t="str">
        <f t="shared" si="37"/>
        <v>Perf-Test-User-112801@mailinator.com</v>
      </c>
      <c r="AR168" s="166" t="str">
        <f t="shared" si="38"/>
        <v>Perf-Test-User-10183@mailinator.com</v>
      </c>
    </row>
    <row r="169" spans="1:44" ht="42.75" x14ac:dyDescent="0.25">
      <c r="A169" s="167" t="s">
        <v>2119</v>
      </c>
      <c r="B169" s="167" t="s">
        <v>1355</v>
      </c>
      <c r="C169" s="167" t="s">
        <v>1863</v>
      </c>
      <c r="D169" s="167" t="s">
        <v>1988</v>
      </c>
      <c r="E169" s="167" t="s">
        <v>1970</v>
      </c>
      <c r="F169" s="167"/>
      <c r="G169" s="167" t="s">
        <v>1887</v>
      </c>
      <c r="H169" s="167" t="s">
        <v>1865</v>
      </c>
      <c r="I169" s="167"/>
      <c r="J169" s="167"/>
      <c r="K169" s="168" t="str">
        <f t="shared" si="39"/>
        <v>KASTING</v>
      </c>
      <c r="L169" s="168" t="str">
        <f t="shared" si="28"/>
        <v>SATTERTHWAITE</v>
      </c>
      <c r="M169" s="168">
        <f t="shared" si="29"/>
        <v>21248</v>
      </c>
      <c r="N169" s="168">
        <f t="shared" si="30"/>
        <v>31390</v>
      </c>
      <c r="O169" s="168" t="str">
        <f t="shared" si="31"/>
        <v>242597653</v>
      </c>
      <c r="P169" s="168" t="str">
        <f t="shared" si="32"/>
        <v>242597408</v>
      </c>
      <c r="Q169" s="167"/>
      <c r="R169" s="167"/>
      <c r="S169" s="167"/>
      <c r="T169" s="167"/>
      <c r="U169" s="167"/>
      <c r="V169" s="167"/>
      <c r="W169" s="169" t="str">
        <f t="shared" si="33"/>
        <v>Perf-Test-User-112801@mailinator.com</v>
      </c>
      <c r="X169" s="167" t="str">
        <f t="shared" si="34"/>
        <v>Perf-Test-User-10183@mailinator.com</v>
      </c>
      <c r="Y169" s="168" t="str">
        <f t="shared" si="35"/>
        <v>Dummy!2022</v>
      </c>
      <c r="Z169" s="168" t="str">
        <f t="shared" si="36"/>
        <v>020-8010888</v>
      </c>
      <c r="AA169" s="175" t="s">
        <v>2120</v>
      </c>
      <c r="AB169" s="167" t="s">
        <v>1853</v>
      </c>
      <c r="AQ169" s="166" t="str">
        <f t="shared" si="37"/>
        <v>Perf-Test-User-112801@mailinator.com</v>
      </c>
      <c r="AR169" s="166" t="str">
        <f t="shared" si="38"/>
        <v>Perf-Test-User-10183@mailinator.com</v>
      </c>
    </row>
    <row r="170" spans="1:44" ht="42.75" x14ac:dyDescent="0.25">
      <c r="A170" s="167" t="s">
        <v>2121</v>
      </c>
      <c r="B170" s="167" t="s">
        <v>1355</v>
      </c>
      <c r="C170" s="167" t="s">
        <v>1870</v>
      </c>
      <c r="D170" s="167" t="s">
        <v>1988</v>
      </c>
      <c r="E170" s="167" t="s">
        <v>1970</v>
      </c>
      <c r="F170" s="167"/>
      <c r="G170" s="167" t="s">
        <v>1893</v>
      </c>
      <c r="H170" s="167" t="s">
        <v>1872</v>
      </c>
      <c r="I170" s="167"/>
      <c r="J170" s="167"/>
      <c r="K170" s="168" t="str">
        <f t="shared" si="39"/>
        <v>KASTING</v>
      </c>
      <c r="L170" s="168" t="str">
        <f t="shared" si="28"/>
        <v>SATTERTHWAITE</v>
      </c>
      <c r="M170" s="168">
        <f t="shared" si="29"/>
        <v>21248</v>
      </c>
      <c r="N170" s="168">
        <f t="shared" si="30"/>
        <v>31390</v>
      </c>
      <c r="O170" s="168" t="str">
        <f t="shared" si="31"/>
        <v>242597653</v>
      </c>
      <c r="P170" s="168" t="str">
        <f t="shared" si="32"/>
        <v>242597408</v>
      </c>
      <c r="Q170" s="167"/>
      <c r="R170" s="167"/>
      <c r="S170" s="167"/>
      <c r="T170" s="167"/>
      <c r="U170" s="167"/>
      <c r="V170" s="167"/>
      <c r="W170" s="169" t="str">
        <f t="shared" si="33"/>
        <v>Perf-Test-User-112801@mailinator.com</v>
      </c>
      <c r="X170" s="167" t="str">
        <f t="shared" si="34"/>
        <v>Perf-Test-User-10183@mailinator.com</v>
      </c>
      <c r="Y170" s="168" t="str">
        <f t="shared" si="35"/>
        <v>Dummy!2022</v>
      </c>
      <c r="Z170" s="168" t="str">
        <f t="shared" si="36"/>
        <v>020-8010888</v>
      </c>
      <c r="AA170" s="175" t="s">
        <v>2122</v>
      </c>
      <c r="AB170" s="167" t="s">
        <v>1853</v>
      </c>
      <c r="AQ170" s="166" t="str">
        <f t="shared" si="37"/>
        <v>Perf-Test-User-112801@mailinator.com</v>
      </c>
      <c r="AR170" s="166" t="str">
        <f t="shared" si="38"/>
        <v>Perf-Test-User-10183@mailinator.com</v>
      </c>
    </row>
    <row r="171" spans="1:44" ht="42.75" x14ac:dyDescent="0.25">
      <c r="A171" s="167" t="s">
        <v>2123</v>
      </c>
      <c r="B171" s="167" t="s">
        <v>1355</v>
      </c>
      <c r="C171" s="167" t="s">
        <v>1886</v>
      </c>
      <c r="D171" s="167" t="s">
        <v>1988</v>
      </c>
      <c r="E171" s="167" t="s">
        <v>1970</v>
      </c>
      <c r="F171" s="167" t="s">
        <v>79</v>
      </c>
      <c r="G171" s="167" t="s">
        <v>1897</v>
      </c>
      <c r="H171" s="167" t="s">
        <v>1852</v>
      </c>
      <c r="I171" s="167"/>
      <c r="J171" s="167"/>
      <c r="K171" s="168" t="str">
        <f t="shared" si="39"/>
        <v>KASTING</v>
      </c>
      <c r="L171" s="168" t="str">
        <f t="shared" si="28"/>
        <v>SATTERTHWAITE</v>
      </c>
      <c r="M171" s="168">
        <f t="shared" si="29"/>
        <v>21248</v>
      </c>
      <c r="N171" s="168">
        <f t="shared" si="30"/>
        <v>31390</v>
      </c>
      <c r="O171" s="168" t="str">
        <f t="shared" si="31"/>
        <v>242597653</v>
      </c>
      <c r="P171" s="168" t="str">
        <f t="shared" si="32"/>
        <v>242597408</v>
      </c>
      <c r="Q171" s="167" t="s">
        <v>1880</v>
      </c>
      <c r="R171" s="167" t="s">
        <v>1881</v>
      </c>
      <c r="S171" s="167" t="s">
        <v>1882</v>
      </c>
      <c r="T171" s="167" t="s">
        <v>1883</v>
      </c>
      <c r="U171" s="167" t="s">
        <v>1884</v>
      </c>
      <c r="V171" s="167"/>
      <c r="W171" s="169" t="str">
        <f t="shared" si="33"/>
        <v>Perf-Test-User-112801@mailinator.com</v>
      </c>
      <c r="X171" s="167" t="str">
        <f t="shared" si="34"/>
        <v>Perf-Test-User-10183@mailinator.com</v>
      </c>
      <c r="Y171" s="168" t="str">
        <f t="shared" si="35"/>
        <v>Dummy!2022</v>
      </c>
      <c r="Z171" s="168" t="str">
        <f t="shared" si="36"/>
        <v>020-8010888</v>
      </c>
      <c r="AA171" s="175" t="s">
        <v>2124</v>
      </c>
      <c r="AB171" s="167" t="s">
        <v>1853</v>
      </c>
      <c r="AQ171" s="166" t="str">
        <f t="shared" si="37"/>
        <v>Perf-Test-User-112801@mailinator.com</v>
      </c>
      <c r="AR171" s="166" t="str">
        <f t="shared" si="38"/>
        <v>Perf-Test-User-10183@mailinator.com</v>
      </c>
    </row>
    <row r="172" spans="1:44" ht="42.75" x14ac:dyDescent="0.25">
      <c r="A172" s="167" t="s">
        <v>2125</v>
      </c>
      <c r="B172" s="167" t="s">
        <v>1355</v>
      </c>
      <c r="C172" s="167" t="s">
        <v>1892</v>
      </c>
      <c r="D172" s="167" t="s">
        <v>1988</v>
      </c>
      <c r="E172" s="167" t="s">
        <v>1970</v>
      </c>
      <c r="F172" s="167" t="s">
        <v>79</v>
      </c>
      <c r="G172" s="167" t="s">
        <v>1852</v>
      </c>
      <c r="H172" s="167"/>
      <c r="I172" s="167"/>
      <c r="J172" s="167"/>
      <c r="K172" s="168" t="str">
        <f t="shared" si="39"/>
        <v>KASTING</v>
      </c>
      <c r="L172" s="168" t="str">
        <f t="shared" si="28"/>
        <v>SATTERTHWAITE</v>
      </c>
      <c r="M172" s="168">
        <f t="shared" si="29"/>
        <v>21248</v>
      </c>
      <c r="N172" s="168">
        <f t="shared" si="30"/>
        <v>31390</v>
      </c>
      <c r="O172" s="168" t="str">
        <f t="shared" si="31"/>
        <v>242597653</v>
      </c>
      <c r="P172" s="168" t="str">
        <f t="shared" si="32"/>
        <v>242597408</v>
      </c>
      <c r="Q172" s="167" t="s">
        <v>1880</v>
      </c>
      <c r="R172" s="167" t="s">
        <v>1881</v>
      </c>
      <c r="S172" s="167" t="s">
        <v>1882</v>
      </c>
      <c r="T172" s="167" t="s">
        <v>1883</v>
      </c>
      <c r="U172" s="167" t="s">
        <v>1884</v>
      </c>
      <c r="V172" s="167"/>
      <c r="W172" s="169" t="str">
        <f t="shared" si="33"/>
        <v>Perf-Test-User-112801@mailinator.com</v>
      </c>
      <c r="X172" s="167" t="str">
        <f t="shared" si="34"/>
        <v>Perf-Test-User-10183@mailinator.com</v>
      </c>
      <c r="Y172" s="168" t="str">
        <f t="shared" si="35"/>
        <v>Dummy!2022</v>
      </c>
      <c r="Z172" s="168" t="str">
        <f t="shared" si="36"/>
        <v>020-8010888</v>
      </c>
      <c r="AA172" s="175" t="s">
        <v>2126</v>
      </c>
      <c r="AB172" s="167" t="s">
        <v>1853</v>
      </c>
      <c r="AQ172" s="166" t="str">
        <f t="shared" si="37"/>
        <v>Perf-Test-User-112801@mailinator.com</v>
      </c>
      <c r="AR172" s="166" t="str">
        <f t="shared" si="38"/>
        <v>Perf-Test-User-10183@mailinator.com</v>
      </c>
    </row>
    <row r="173" spans="1:44" ht="42.75" x14ac:dyDescent="0.25">
      <c r="A173" s="167" t="s">
        <v>2127</v>
      </c>
      <c r="B173" s="167" t="s">
        <v>1355</v>
      </c>
      <c r="C173" s="167" t="s">
        <v>1892</v>
      </c>
      <c r="D173" s="167" t="s">
        <v>1988</v>
      </c>
      <c r="E173" s="167" t="s">
        <v>1970</v>
      </c>
      <c r="F173" s="167" t="s">
        <v>36</v>
      </c>
      <c r="G173" s="167" t="s">
        <v>1851</v>
      </c>
      <c r="H173" s="167"/>
      <c r="I173" s="167"/>
      <c r="J173" s="167"/>
      <c r="K173" s="168" t="str">
        <f t="shared" si="39"/>
        <v>KASTING</v>
      </c>
      <c r="L173" s="168" t="str">
        <f t="shared" si="28"/>
        <v>SATTERTHWAITE</v>
      </c>
      <c r="M173" s="168">
        <f t="shared" si="29"/>
        <v>21248</v>
      </c>
      <c r="N173" s="168">
        <f t="shared" si="30"/>
        <v>31390</v>
      </c>
      <c r="O173" s="168" t="str">
        <f t="shared" si="31"/>
        <v>242597653</v>
      </c>
      <c r="P173" s="168" t="str">
        <f t="shared" si="32"/>
        <v>242597408</v>
      </c>
      <c r="Q173" s="167" t="s">
        <v>1880</v>
      </c>
      <c r="R173" s="167" t="s">
        <v>1881</v>
      </c>
      <c r="S173" s="167" t="s">
        <v>1882</v>
      </c>
      <c r="T173" s="167" t="s">
        <v>1883</v>
      </c>
      <c r="U173" s="167" t="s">
        <v>1884</v>
      </c>
      <c r="V173" s="167"/>
      <c r="W173" s="169" t="str">
        <f t="shared" si="33"/>
        <v>Perf-Test-User-112801@mailinator.com</v>
      </c>
      <c r="X173" s="167" t="str">
        <f t="shared" si="34"/>
        <v>Perf-Test-User-10183@mailinator.com</v>
      </c>
      <c r="Y173" s="168" t="str">
        <f t="shared" si="35"/>
        <v>Dummy!2022</v>
      </c>
      <c r="Z173" s="168" t="str">
        <f t="shared" si="36"/>
        <v>020-8010888</v>
      </c>
      <c r="AA173" s="175" t="s">
        <v>2128</v>
      </c>
      <c r="AB173" s="167" t="s">
        <v>1853</v>
      </c>
      <c r="AQ173" s="166" t="str">
        <f t="shared" si="37"/>
        <v>Perf-Test-User-112801@mailinator.com</v>
      </c>
      <c r="AR173" s="166" t="str">
        <f t="shared" si="38"/>
        <v>Perf-Test-User-10183@mailinator.com</v>
      </c>
    </row>
    <row r="174" spans="1:44" ht="42.75" x14ac:dyDescent="0.25">
      <c r="A174" s="167" t="s">
        <v>2129</v>
      </c>
      <c r="B174" s="167" t="s">
        <v>1355</v>
      </c>
      <c r="C174" s="167" t="s">
        <v>1896</v>
      </c>
      <c r="D174" s="167" t="s">
        <v>1988</v>
      </c>
      <c r="E174" s="167" t="s">
        <v>1970</v>
      </c>
      <c r="F174" s="167" t="s">
        <v>36</v>
      </c>
      <c r="G174" s="167" t="s">
        <v>1859</v>
      </c>
      <c r="H174" s="167" t="s">
        <v>1852</v>
      </c>
      <c r="I174" s="167"/>
      <c r="J174" s="167"/>
      <c r="K174" s="168" t="str">
        <f t="shared" si="39"/>
        <v>KASTING</v>
      </c>
      <c r="L174" s="168" t="str">
        <f t="shared" si="28"/>
        <v>SATTERTHWAITE</v>
      </c>
      <c r="M174" s="168">
        <f t="shared" si="29"/>
        <v>21248</v>
      </c>
      <c r="N174" s="168">
        <f t="shared" si="30"/>
        <v>31390</v>
      </c>
      <c r="O174" s="168" t="str">
        <f t="shared" si="31"/>
        <v>242597653</v>
      </c>
      <c r="P174" s="168" t="str">
        <f t="shared" si="32"/>
        <v>242597408</v>
      </c>
      <c r="Q174" s="167" t="s">
        <v>1880</v>
      </c>
      <c r="R174" s="167" t="s">
        <v>1881</v>
      </c>
      <c r="S174" s="167" t="s">
        <v>1919</v>
      </c>
      <c r="T174" s="167" t="s">
        <v>1883</v>
      </c>
      <c r="U174" s="167" t="s">
        <v>1884</v>
      </c>
      <c r="V174" s="167"/>
      <c r="W174" s="169" t="str">
        <f t="shared" si="33"/>
        <v>Perf-Test-User-112801@mailinator.com</v>
      </c>
      <c r="X174" s="167" t="str">
        <f t="shared" si="34"/>
        <v>Perf-Test-User-10183@mailinator.com</v>
      </c>
      <c r="Y174" s="168" t="str">
        <f t="shared" si="35"/>
        <v>Dummy!2022</v>
      </c>
      <c r="Z174" s="168" t="str">
        <f t="shared" si="36"/>
        <v>020-8010888</v>
      </c>
      <c r="AA174" s="175" t="s">
        <v>2130</v>
      </c>
      <c r="AB174" s="167" t="s">
        <v>1853</v>
      </c>
      <c r="AQ174" s="166" t="str">
        <f t="shared" si="37"/>
        <v>Perf-Test-User-112801@mailinator.com</v>
      </c>
      <c r="AR174" s="166" t="str">
        <f t="shared" si="38"/>
        <v>Perf-Test-User-10183@mailinator.com</v>
      </c>
    </row>
    <row r="175" spans="1:44" ht="42.75" x14ac:dyDescent="0.25">
      <c r="A175" s="167" t="s">
        <v>2131</v>
      </c>
      <c r="B175" s="167" t="s">
        <v>1355</v>
      </c>
      <c r="C175" s="167" t="s">
        <v>1886</v>
      </c>
      <c r="D175" s="167" t="s">
        <v>1988</v>
      </c>
      <c r="E175" s="167" t="s">
        <v>1970</v>
      </c>
      <c r="F175" s="167" t="s">
        <v>36</v>
      </c>
      <c r="G175" s="167" t="s">
        <v>1864</v>
      </c>
      <c r="H175" s="167" t="s">
        <v>1865</v>
      </c>
      <c r="I175" s="167"/>
      <c r="J175" s="167"/>
      <c r="K175" s="168" t="str">
        <f t="shared" si="39"/>
        <v>KASTING</v>
      </c>
      <c r="L175" s="168" t="str">
        <f t="shared" si="28"/>
        <v>SATTERTHWAITE</v>
      </c>
      <c r="M175" s="168">
        <f t="shared" si="29"/>
        <v>21248</v>
      </c>
      <c r="N175" s="168">
        <f t="shared" si="30"/>
        <v>31390</v>
      </c>
      <c r="O175" s="168" t="str">
        <f t="shared" si="31"/>
        <v>242597653</v>
      </c>
      <c r="P175" s="168" t="str">
        <f t="shared" si="32"/>
        <v>242597408</v>
      </c>
      <c r="Q175" s="167" t="s">
        <v>1880</v>
      </c>
      <c r="R175" s="167" t="s">
        <v>1881</v>
      </c>
      <c r="S175" s="167" t="s">
        <v>1921</v>
      </c>
      <c r="T175" s="167" t="s">
        <v>1883</v>
      </c>
      <c r="U175" s="167" t="s">
        <v>1884</v>
      </c>
      <c r="V175" s="167"/>
      <c r="W175" s="169" t="str">
        <f t="shared" si="33"/>
        <v>Perf-Test-User-112801@mailinator.com</v>
      </c>
      <c r="X175" s="167" t="str">
        <f t="shared" si="34"/>
        <v>Perf-Test-User-10183@mailinator.com</v>
      </c>
      <c r="Y175" s="168" t="str">
        <f t="shared" si="35"/>
        <v>Dummy!2022</v>
      </c>
      <c r="Z175" s="168" t="str">
        <f t="shared" si="36"/>
        <v>020-8010888</v>
      </c>
      <c r="AA175" s="175" t="s">
        <v>2132</v>
      </c>
      <c r="AB175" s="167" t="s">
        <v>1853</v>
      </c>
      <c r="AQ175" s="166" t="str">
        <f t="shared" si="37"/>
        <v>Perf-Test-User-112801@mailinator.com</v>
      </c>
      <c r="AR175" s="166" t="str">
        <f t="shared" si="38"/>
        <v>Perf-Test-User-10183@mailinator.com</v>
      </c>
    </row>
    <row r="176" spans="1:44" ht="42.75" x14ac:dyDescent="0.25">
      <c r="A176" s="167" t="s">
        <v>2133</v>
      </c>
      <c r="B176" s="167" t="s">
        <v>1355</v>
      </c>
      <c r="C176" s="167" t="s">
        <v>2134</v>
      </c>
      <c r="D176" s="167" t="s">
        <v>1923</v>
      </c>
      <c r="E176" s="167" t="s">
        <v>1850</v>
      </c>
      <c r="F176" s="167" t="s">
        <v>36</v>
      </c>
      <c r="G176" s="167" t="s">
        <v>1877</v>
      </c>
      <c r="H176" s="167" t="s">
        <v>1872</v>
      </c>
      <c r="I176" s="176" t="s">
        <v>2135</v>
      </c>
      <c r="J176" s="167" t="s">
        <v>2136</v>
      </c>
      <c r="K176" s="168" t="str">
        <f t="shared" si="39"/>
        <v>HIDDERLEY</v>
      </c>
      <c r="L176" s="168" t="str">
        <f t="shared" si="28"/>
        <v/>
      </c>
      <c r="M176" s="168">
        <f t="shared" si="29"/>
        <v>35736</v>
      </c>
      <c r="N176" s="168" t="str">
        <f t="shared" si="30"/>
        <v/>
      </c>
      <c r="O176" s="168" t="str">
        <f t="shared" si="31"/>
        <v>242597904</v>
      </c>
      <c r="P176" s="168" t="str">
        <f t="shared" si="32"/>
        <v/>
      </c>
      <c r="Q176" s="167" t="s">
        <v>1880</v>
      </c>
      <c r="R176" s="167" t="s">
        <v>1881</v>
      </c>
      <c r="S176" s="167" t="s">
        <v>1915</v>
      </c>
      <c r="T176" s="167" t="s">
        <v>1883</v>
      </c>
      <c r="U176" s="167" t="s">
        <v>1884</v>
      </c>
      <c r="V176" s="167"/>
      <c r="W176" s="169" t="str">
        <f t="shared" si="33"/>
        <v>UAT-WF-User77@mailinator.com</v>
      </c>
      <c r="X176" s="167" t="str">
        <f t="shared" si="34"/>
        <v/>
      </c>
      <c r="Y176" s="168" t="str">
        <f t="shared" si="35"/>
        <v>Dummy!2024</v>
      </c>
      <c r="Z176" s="168" t="str">
        <f t="shared" si="36"/>
        <v>020-8030031</v>
      </c>
      <c r="AA176" s="167"/>
      <c r="AB176" s="167" t="s">
        <v>1853</v>
      </c>
      <c r="AQ176" s="166" t="str">
        <f t="shared" si="37"/>
        <v>UAT-WF-User77@mailinator.com</v>
      </c>
      <c r="AR176" s="166" t="str">
        <f t="shared" si="38"/>
        <v/>
      </c>
    </row>
    <row r="177" spans="1:44" ht="42.75" x14ac:dyDescent="0.25">
      <c r="A177" s="167" t="s">
        <v>2137</v>
      </c>
      <c r="B177" s="167" t="s">
        <v>1355</v>
      </c>
      <c r="C177" s="167" t="s">
        <v>2138</v>
      </c>
      <c r="D177" s="167" t="s">
        <v>1923</v>
      </c>
      <c r="E177" s="167" t="s">
        <v>1850</v>
      </c>
      <c r="F177" s="167" t="s">
        <v>79</v>
      </c>
      <c r="G177" s="167" t="s">
        <v>1897</v>
      </c>
      <c r="H177" s="167" t="s">
        <v>1872</v>
      </c>
      <c r="I177" s="176" t="s">
        <v>2135</v>
      </c>
      <c r="J177" s="167" t="s">
        <v>2136</v>
      </c>
      <c r="K177" s="168" t="str">
        <f t="shared" si="39"/>
        <v>HIDDERLEY</v>
      </c>
      <c r="L177" s="168" t="str">
        <f t="shared" si="28"/>
        <v/>
      </c>
      <c r="M177" s="168">
        <f t="shared" si="29"/>
        <v>35736</v>
      </c>
      <c r="N177" s="168" t="str">
        <f t="shared" si="30"/>
        <v/>
      </c>
      <c r="O177" s="168" t="str">
        <f t="shared" si="31"/>
        <v>242597904</v>
      </c>
      <c r="P177" s="168" t="str">
        <f t="shared" si="32"/>
        <v/>
      </c>
      <c r="Q177" s="167" t="s">
        <v>1888</v>
      </c>
      <c r="R177" s="167" t="s">
        <v>1889</v>
      </c>
      <c r="S177" s="167" t="s">
        <v>1890</v>
      </c>
      <c r="T177" s="167"/>
      <c r="U177" s="167"/>
      <c r="V177" s="167" t="s">
        <v>1355</v>
      </c>
      <c r="W177" s="169" t="str">
        <f t="shared" si="33"/>
        <v>UAT-WF-User77@mailinator.com</v>
      </c>
      <c r="X177" s="167" t="str">
        <f t="shared" si="34"/>
        <v/>
      </c>
      <c r="Y177" s="168" t="str">
        <f t="shared" si="35"/>
        <v>Dummy!2024</v>
      </c>
      <c r="Z177" s="168" t="str">
        <f t="shared" si="36"/>
        <v>020-8030031</v>
      </c>
      <c r="AA177" s="167"/>
      <c r="AB177" s="167" t="s">
        <v>1853</v>
      </c>
      <c r="AQ177" s="166" t="str">
        <f t="shared" si="37"/>
        <v>UAT-WF-User77@mailinator.com</v>
      </c>
      <c r="AR177" s="166" t="str">
        <f t="shared" si="38"/>
        <v/>
      </c>
    </row>
    <row r="178" spans="1:44" ht="42.75" x14ac:dyDescent="0.25">
      <c r="A178" s="167" t="s">
        <v>2139</v>
      </c>
      <c r="B178" s="167" t="s">
        <v>1355</v>
      </c>
      <c r="C178" s="167" t="s">
        <v>2140</v>
      </c>
      <c r="D178" s="167" t="s">
        <v>1923</v>
      </c>
      <c r="E178" s="167" t="s">
        <v>1850</v>
      </c>
      <c r="F178" s="167" t="s">
        <v>79</v>
      </c>
      <c r="G178" s="167" t="s">
        <v>1851</v>
      </c>
      <c r="H178" s="167"/>
      <c r="I178" s="176" t="s">
        <v>2141</v>
      </c>
      <c r="J178" s="167" t="s">
        <v>2136</v>
      </c>
      <c r="K178" s="168" t="str">
        <f t="shared" si="39"/>
        <v>HIDDERLEY</v>
      </c>
      <c r="L178" s="168" t="str">
        <f t="shared" si="28"/>
        <v/>
      </c>
      <c r="M178" s="168">
        <f t="shared" si="29"/>
        <v>35736</v>
      </c>
      <c r="N178" s="168" t="str">
        <f t="shared" si="30"/>
        <v/>
      </c>
      <c r="O178" s="168" t="str">
        <f t="shared" si="31"/>
        <v>242597904</v>
      </c>
      <c r="P178" s="168" t="str">
        <f t="shared" si="32"/>
        <v/>
      </c>
      <c r="Q178" s="167" t="s">
        <v>1880</v>
      </c>
      <c r="R178" s="167" t="s">
        <v>1881</v>
      </c>
      <c r="S178" s="167" t="s">
        <v>1882</v>
      </c>
      <c r="T178" s="167"/>
      <c r="U178" s="167"/>
      <c r="V178" s="167"/>
      <c r="W178" s="169" t="str">
        <f t="shared" si="33"/>
        <v>UAT-WF-User77@mailinator.com</v>
      </c>
      <c r="X178" s="167" t="str">
        <f t="shared" si="34"/>
        <v/>
      </c>
      <c r="Y178" s="168" t="str">
        <f t="shared" si="35"/>
        <v>Dummy!2024</v>
      </c>
      <c r="Z178" s="168" t="str">
        <f t="shared" si="36"/>
        <v>020-8030031</v>
      </c>
      <c r="AA178" s="175"/>
      <c r="AB178" s="167" t="s">
        <v>1853</v>
      </c>
      <c r="AQ178" s="166" t="str">
        <f t="shared" si="37"/>
        <v>UAT-WF-User77@mailinator.com</v>
      </c>
      <c r="AR178" s="166" t="str">
        <f t="shared" si="38"/>
        <v/>
      </c>
    </row>
    <row r="179" spans="1:44" ht="42.75" x14ac:dyDescent="0.25">
      <c r="A179" s="167" t="s">
        <v>2142</v>
      </c>
      <c r="B179" s="167" t="s">
        <v>1355</v>
      </c>
      <c r="C179" s="167" t="s">
        <v>2134</v>
      </c>
      <c r="D179" s="167" t="s">
        <v>1923</v>
      </c>
      <c r="E179" s="167" t="s">
        <v>1900</v>
      </c>
      <c r="F179" s="167" t="s">
        <v>36</v>
      </c>
      <c r="G179" s="167" t="s">
        <v>1877</v>
      </c>
      <c r="H179" s="167" t="s">
        <v>1872</v>
      </c>
      <c r="I179" s="176" t="s">
        <v>2143</v>
      </c>
      <c r="J179" s="167" t="s">
        <v>2144</v>
      </c>
      <c r="K179" s="168" t="str">
        <f t="shared" si="39"/>
        <v>KASTING</v>
      </c>
      <c r="L179" s="168" t="str">
        <f t="shared" si="28"/>
        <v/>
      </c>
      <c r="M179" s="168">
        <f t="shared" si="29"/>
        <v>21248</v>
      </c>
      <c r="N179" s="168" t="str">
        <f t="shared" si="30"/>
        <v/>
      </c>
      <c r="O179" s="168" t="str">
        <f t="shared" si="31"/>
        <v>242597653</v>
      </c>
      <c r="P179" s="168" t="str">
        <f t="shared" si="32"/>
        <v/>
      </c>
      <c r="Q179" s="167" t="s">
        <v>1880</v>
      </c>
      <c r="R179" s="167" t="s">
        <v>1881</v>
      </c>
      <c r="S179" s="167" t="s">
        <v>1915</v>
      </c>
      <c r="T179" s="167" t="s">
        <v>1883</v>
      </c>
      <c r="U179" s="167" t="s">
        <v>1884</v>
      </c>
      <c r="V179" s="167"/>
      <c r="W179" s="169" t="str">
        <f t="shared" si="33"/>
        <v>Perf-Test-User-112801@mailinator.com</v>
      </c>
      <c r="X179" s="167" t="str">
        <f t="shared" si="34"/>
        <v/>
      </c>
      <c r="Y179" s="168" t="str">
        <f t="shared" si="35"/>
        <v>Dummy!2022</v>
      </c>
      <c r="Z179" s="168" t="str">
        <f t="shared" si="36"/>
        <v>020-8010888</v>
      </c>
      <c r="AA179" s="167" t="s">
        <v>1933</v>
      </c>
      <c r="AB179" s="167" t="s">
        <v>1853</v>
      </c>
      <c r="AQ179" s="166" t="str">
        <f t="shared" si="37"/>
        <v>Perf-Test-User-112801@mailinator.com</v>
      </c>
      <c r="AR179" s="166" t="str">
        <f t="shared" si="38"/>
        <v/>
      </c>
    </row>
    <row r="180" spans="1:44" ht="42.75" x14ac:dyDescent="0.25">
      <c r="A180" s="167" t="s">
        <v>2145</v>
      </c>
      <c r="B180" s="167" t="s">
        <v>1355</v>
      </c>
      <c r="C180" s="167" t="s">
        <v>2138</v>
      </c>
      <c r="D180" s="167" t="s">
        <v>1923</v>
      </c>
      <c r="E180" s="167" t="s">
        <v>1900</v>
      </c>
      <c r="F180" s="167" t="s">
        <v>79</v>
      </c>
      <c r="G180" s="167" t="s">
        <v>1897</v>
      </c>
      <c r="H180" s="167" t="s">
        <v>1872</v>
      </c>
      <c r="I180" s="176" t="s">
        <v>2135</v>
      </c>
      <c r="J180" s="167" t="s">
        <v>2136</v>
      </c>
      <c r="K180" s="168" t="str">
        <f t="shared" si="39"/>
        <v>KASTING</v>
      </c>
      <c r="L180" s="168" t="str">
        <f t="shared" si="28"/>
        <v/>
      </c>
      <c r="M180" s="168">
        <f t="shared" si="29"/>
        <v>21248</v>
      </c>
      <c r="N180" s="168" t="str">
        <f t="shared" si="30"/>
        <v/>
      </c>
      <c r="O180" s="168" t="str">
        <f t="shared" si="31"/>
        <v>242597653</v>
      </c>
      <c r="P180" s="168" t="str">
        <f t="shared" si="32"/>
        <v/>
      </c>
      <c r="Q180" s="167" t="s">
        <v>1888</v>
      </c>
      <c r="R180" s="167" t="s">
        <v>1889</v>
      </c>
      <c r="S180" s="167" t="s">
        <v>1890</v>
      </c>
      <c r="T180" s="167"/>
      <c r="U180" s="167"/>
      <c r="V180" s="167" t="s">
        <v>1355</v>
      </c>
      <c r="W180" s="169" t="str">
        <f t="shared" si="33"/>
        <v>Perf-Test-User-112801@mailinator.com</v>
      </c>
      <c r="X180" s="167" t="str">
        <f t="shared" si="34"/>
        <v/>
      </c>
      <c r="Y180" s="168" t="str">
        <f t="shared" si="35"/>
        <v>Dummy!2022</v>
      </c>
      <c r="Z180" s="168" t="str">
        <f t="shared" si="36"/>
        <v>020-8010888</v>
      </c>
      <c r="AA180" s="167" t="s">
        <v>2146</v>
      </c>
      <c r="AB180" s="167" t="s">
        <v>1853</v>
      </c>
      <c r="AQ180" s="166" t="str">
        <f t="shared" si="37"/>
        <v>Perf-Test-User-112801@mailinator.com</v>
      </c>
      <c r="AR180" s="166" t="str">
        <f t="shared" si="38"/>
        <v/>
      </c>
    </row>
    <row r="181" spans="1:44" ht="42.75" x14ac:dyDescent="0.25">
      <c r="A181" s="167" t="s">
        <v>2147</v>
      </c>
      <c r="B181" s="167" t="s">
        <v>1355</v>
      </c>
      <c r="C181" s="167" t="s">
        <v>2140</v>
      </c>
      <c r="D181" s="167" t="s">
        <v>1923</v>
      </c>
      <c r="E181" s="167" t="s">
        <v>1900</v>
      </c>
      <c r="F181" s="167" t="s">
        <v>79</v>
      </c>
      <c r="G181" s="167" t="s">
        <v>1851</v>
      </c>
      <c r="H181" s="167"/>
      <c r="I181" s="176" t="s">
        <v>2141</v>
      </c>
      <c r="J181" s="167" t="s">
        <v>2136</v>
      </c>
      <c r="K181" s="168" t="str">
        <f t="shared" si="39"/>
        <v>KASTING</v>
      </c>
      <c r="L181" s="168" t="str">
        <f t="shared" si="28"/>
        <v/>
      </c>
      <c r="M181" s="168">
        <f t="shared" si="29"/>
        <v>21248</v>
      </c>
      <c r="N181" s="168" t="str">
        <f t="shared" si="30"/>
        <v/>
      </c>
      <c r="O181" s="168" t="str">
        <f t="shared" si="31"/>
        <v>242597653</v>
      </c>
      <c r="P181" s="168" t="str">
        <f t="shared" si="32"/>
        <v/>
      </c>
      <c r="Q181" s="167" t="s">
        <v>1880</v>
      </c>
      <c r="R181" s="167" t="s">
        <v>1881</v>
      </c>
      <c r="S181" s="167" t="s">
        <v>1882</v>
      </c>
      <c r="T181" s="167"/>
      <c r="U181" s="167"/>
      <c r="V181" s="167"/>
      <c r="W181" s="169" t="str">
        <f t="shared" si="33"/>
        <v>Perf-Test-User-112801@mailinator.com</v>
      </c>
      <c r="X181" s="167" t="str">
        <f t="shared" si="34"/>
        <v/>
      </c>
      <c r="Y181" s="168" t="str">
        <f t="shared" si="35"/>
        <v>Dummy!2022</v>
      </c>
      <c r="Z181" s="168" t="str">
        <f t="shared" si="36"/>
        <v>020-8010888</v>
      </c>
      <c r="AA181" s="175"/>
      <c r="AB181" s="167" t="s">
        <v>1853</v>
      </c>
      <c r="AQ181" s="166" t="str">
        <f t="shared" si="37"/>
        <v>Perf-Test-User-112801@mailinator.com</v>
      </c>
      <c r="AR181" s="166" t="str">
        <f t="shared" si="38"/>
        <v/>
      </c>
    </row>
    <row r="182" spans="1:44" ht="42.75" x14ac:dyDescent="0.25">
      <c r="A182" s="167" t="s">
        <v>2148</v>
      </c>
      <c r="B182" s="167" t="s">
        <v>1355</v>
      </c>
      <c r="C182" s="167" t="s">
        <v>2138</v>
      </c>
      <c r="D182" s="167" t="s">
        <v>1937</v>
      </c>
      <c r="E182" s="167" t="s">
        <v>1938</v>
      </c>
      <c r="F182" s="167" t="s">
        <v>36</v>
      </c>
      <c r="G182" s="167" t="s">
        <v>1897</v>
      </c>
      <c r="H182" s="167" t="s">
        <v>1872</v>
      </c>
      <c r="I182" s="176" t="s">
        <v>2135</v>
      </c>
      <c r="J182" s="167" t="s">
        <v>2136</v>
      </c>
      <c r="K182" s="168" t="str">
        <f t="shared" si="39"/>
        <v>HIDDERLEY</v>
      </c>
      <c r="L182" s="168" t="str">
        <f t="shared" si="28"/>
        <v>SATTERTHWAITE</v>
      </c>
      <c r="M182" s="168">
        <f t="shared" si="29"/>
        <v>35736</v>
      </c>
      <c r="N182" s="168">
        <f t="shared" si="30"/>
        <v>31390</v>
      </c>
      <c r="O182" s="168" t="str">
        <f t="shared" si="31"/>
        <v>242597904</v>
      </c>
      <c r="P182" s="168" t="str">
        <f t="shared" si="32"/>
        <v>242597408</v>
      </c>
      <c r="Q182" s="167" t="s">
        <v>1888</v>
      </c>
      <c r="R182" s="167" t="s">
        <v>1889</v>
      </c>
      <c r="S182" s="167" t="s">
        <v>1890</v>
      </c>
      <c r="T182" s="167" t="s">
        <v>1883</v>
      </c>
      <c r="U182" s="167" t="s">
        <v>1884</v>
      </c>
      <c r="V182" s="167" t="s">
        <v>1355</v>
      </c>
      <c r="W182" s="169" t="str">
        <f t="shared" si="33"/>
        <v>UAT-WF-User77@mailinator.com</v>
      </c>
      <c r="X182" s="167" t="str">
        <f t="shared" si="34"/>
        <v>Perf-Test-User-10183@mailinator.com</v>
      </c>
      <c r="Y182" s="168" t="str">
        <f t="shared" si="35"/>
        <v>Dummy!2024</v>
      </c>
      <c r="Z182" s="168" t="str">
        <f t="shared" si="36"/>
        <v>020-8030031</v>
      </c>
      <c r="AA182" s="167"/>
      <c r="AB182" s="167" t="s">
        <v>1853</v>
      </c>
      <c r="AQ182" s="166" t="str">
        <f t="shared" si="37"/>
        <v>UAT-WF-User77@mailinator.com</v>
      </c>
      <c r="AR182" s="166" t="str">
        <f t="shared" si="38"/>
        <v>Perf-Test-User-10183@mailinator.com</v>
      </c>
    </row>
    <row r="183" spans="1:44" ht="42.75" x14ac:dyDescent="0.25">
      <c r="A183" s="167" t="s">
        <v>2149</v>
      </c>
      <c r="B183" s="167" t="s">
        <v>1355</v>
      </c>
      <c r="C183" s="167" t="s">
        <v>2138</v>
      </c>
      <c r="D183" s="167" t="s">
        <v>1937</v>
      </c>
      <c r="E183" s="167" t="s">
        <v>1938</v>
      </c>
      <c r="F183" s="167" t="s">
        <v>79</v>
      </c>
      <c r="G183" s="167" t="s">
        <v>1897</v>
      </c>
      <c r="H183" s="167" t="s">
        <v>1872</v>
      </c>
      <c r="I183" s="176" t="s">
        <v>2150</v>
      </c>
      <c r="J183" s="167" t="s">
        <v>2136</v>
      </c>
      <c r="K183" s="168" t="str">
        <f t="shared" si="39"/>
        <v>HIDDERLEY</v>
      </c>
      <c r="L183" s="168" t="str">
        <f t="shared" si="28"/>
        <v>SATTERTHWAITE</v>
      </c>
      <c r="M183" s="168">
        <f t="shared" si="29"/>
        <v>35736</v>
      </c>
      <c r="N183" s="168">
        <f t="shared" si="30"/>
        <v>31390</v>
      </c>
      <c r="O183" s="168" t="str">
        <f t="shared" si="31"/>
        <v>242597904</v>
      </c>
      <c r="P183" s="168" t="str">
        <f t="shared" si="32"/>
        <v>242597408</v>
      </c>
      <c r="Q183" s="167" t="s">
        <v>1888</v>
      </c>
      <c r="R183" s="167" t="s">
        <v>1889</v>
      </c>
      <c r="S183" s="167" t="s">
        <v>1890</v>
      </c>
      <c r="T183" s="167"/>
      <c r="U183" s="167"/>
      <c r="V183" s="167" t="s">
        <v>1355</v>
      </c>
      <c r="W183" s="169" t="str">
        <f t="shared" si="33"/>
        <v>UAT-WF-User77@mailinator.com</v>
      </c>
      <c r="X183" s="167" t="str">
        <f t="shared" si="34"/>
        <v>Perf-Test-User-10183@mailinator.com</v>
      </c>
      <c r="Y183" s="168" t="str">
        <f t="shared" si="35"/>
        <v>Dummy!2024</v>
      </c>
      <c r="Z183" s="168" t="str">
        <f t="shared" si="36"/>
        <v>020-8030031</v>
      </c>
      <c r="AA183" s="167"/>
      <c r="AB183" s="167" t="s">
        <v>1853</v>
      </c>
      <c r="AQ183" s="166" t="str">
        <f t="shared" si="37"/>
        <v>UAT-WF-User77@mailinator.com</v>
      </c>
      <c r="AR183" s="166" t="str">
        <f t="shared" si="38"/>
        <v>Perf-Test-User-10183@mailinator.com</v>
      </c>
    </row>
    <row r="184" spans="1:44" ht="42.75" x14ac:dyDescent="0.25">
      <c r="A184" s="167" t="s">
        <v>2151</v>
      </c>
      <c r="B184" s="167" t="s">
        <v>1355</v>
      </c>
      <c r="C184" s="167" t="s">
        <v>2140</v>
      </c>
      <c r="D184" s="167" t="s">
        <v>1937</v>
      </c>
      <c r="E184" s="167" t="s">
        <v>1938</v>
      </c>
      <c r="F184" s="167" t="s">
        <v>79</v>
      </c>
      <c r="G184" s="167" t="s">
        <v>1851</v>
      </c>
      <c r="H184" s="167"/>
      <c r="I184" s="176" t="s">
        <v>2135</v>
      </c>
      <c r="J184" s="167" t="s">
        <v>2136</v>
      </c>
      <c r="K184" s="168" t="str">
        <f t="shared" si="39"/>
        <v>HIDDERLEY</v>
      </c>
      <c r="L184" s="168" t="str">
        <f t="shared" si="28"/>
        <v>SATTERTHWAITE</v>
      </c>
      <c r="M184" s="168">
        <f t="shared" si="29"/>
        <v>35736</v>
      </c>
      <c r="N184" s="168">
        <f t="shared" si="30"/>
        <v>31390</v>
      </c>
      <c r="O184" s="168" t="str">
        <f t="shared" si="31"/>
        <v>242597904</v>
      </c>
      <c r="P184" s="168" t="str">
        <f t="shared" si="32"/>
        <v>242597408</v>
      </c>
      <c r="Q184" s="167" t="s">
        <v>1880</v>
      </c>
      <c r="R184" s="167" t="s">
        <v>1881</v>
      </c>
      <c r="S184" s="167" t="s">
        <v>1882</v>
      </c>
      <c r="T184" s="167"/>
      <c r="U184" s="167"/>
      <c r="V184" s="167"/>
      <c r="W184" s="169" t="str">
        <f t="shared" si="33"/>
        <v>UAT-WF-User77@mailinator.com</v>
      </c>
      <c r="X184" s="167" t="str">
        <f t="shared" si="34"/>
        <v>Perf-Test-User-10183@mailinator.com</v>
      </c>
      <c r="Y184" s="168" t="str">
        <f t="shared" si="35"/>
        <v>Dummy!2024</v>
      </c>
      <c r="Z184" s="168" t="str">
        <f t="shared" si="36"/>
        <v>020-8030031</v>
      </c>
      <c r="AA184" s="175"/>
      <c r="AB184" s="167" t="s">
        <v>1853</v>
      </c>
      <c r="AQ184" s="166" t="str">
        <f t="shared" si="37"/>
        <v>UAT-WF-User77@mailinator.com</v>
      </c>
      <c r="AR184" s="166" t="str">
        <f t="shared" si="38"/>
        <v>Perf-Test-User-10183@mailinator.com</v>
      </c>
    </row>
    <row r="185" spans="1:44" ht="42.75" x14ac:dyDescent="0.25">
      <c r="A185" s="167" t="s">
        <v>2152</v>
      </c>
      <c r="B185" s="167" t="s">
        <v>1355</v>
      </c>
      <c r="C185" s="167" t="s">
        <v>2138</v>
      </c>
      <c r="D185" s="167" t="s">
        <v>1937</v>
      </c>
      <c r="E185" s="167" t="s">
        <v>1941</v>
      </c>
      <c r="F185" s="167" t="s">
        <v>36</v>
      </c>
      <c r="G185" s="167" t="s">
        <v>1897</v>
      </c>
      <c r="H185" s="167" t="s">
        <v>1872</v>
      </c>
      <c r="I185" s="176" t="s">
        <v>2135</v>
      </c>
      <c r="J185" s="167" t="s">
        <v>2136</v>
      </c>
      <c r="K185" s="168" t="str">
        <f t="shared" si="39"/>
        <v>KASTING</v>
      </c>
      <c r="L185" s="168" t="str">
        <f t="shared" si="28"/>
        <v>TERRELLY</v>
      </c>
      <c r="M185" s="168">
        <f t="shared" si="29"/>
        <v>21248</v>
      </c>
      <c r="N185" s="168">
        <f t="shared" si="30"/>
        <v>23480</v>
      </c>
      <c r="O185" s="168" t="str">
        <f t="shared" si="31"/>
        <v>242597653</v>
      </c>
      <c r="P185" s="168" t="str">
        <f t="shared" si="32"/>
        <v>242597947</v>
      </c>
      <c r="Q185" s="167" t="s">
        <v>1888</v>
      </c>
      <c r="R185" s="167" t="s">
        <v>1889</v>
      </c>
      <c r="S185" s="167" t="s">
        <v>1890</v>
      </c>
      <c r="T185" s="167" t="s">
        <v>1883</v>
      </c>
      <c r="U185" s="167" t="s">
        <v>1884</v>
      </c>
      <c r="V185" s="167" t="s">
        <v>1355</v>
      </c>
      <c r="W185" s="169" t="str">
        <f t="shared" si="33"/>
        <v>Perf-Test-User-112801@mailinator.com</v>
      </c>
      <c r="X185" s="167" t="str">
        <f t="shared" si="34"/>
        <v>Perf-Test-User-10208@mailinator.com</v>
      </c>
      <c r="Y185" s="168" t="str">
        <f t="shared" si="35"/>
        <v>Dummy!2022</v>
      </c>
      <c r="Z185" s="168" t="str">
        <f t="shared" si="36"/>
        <v>020-8010888</v>
      </c>
      <c r="AA185" s="167" t="s">
        <v>2088</v>
      </c>
      <c r="AB185" s="167" t="s">
        <v>1853</v>
      </c>
      <c r="AQ185" s="166" t="str">
        <f t="shared" si="37"/>
        <v>Perf-Test-User-112801@mailinator.com</v>
      </c>
      <c r="AR185" s="166" t="str">
        <f t="shared" si="38"/>
        <v>Perf-Test-User-10208@mailinator.com</v>
      </c>
    </row>
    <row r="186" spans="1:44" ht="42.75" x14ac:dyDescent="0.25">
      <c r="A186" s="167" t="s">
        <v>2153</v>
      </c>
      <c r="B186" s="167" t="s">
        <v>1355</v>
      </c>
      <c r="C186" s="167" t="s">
        <v>2138</v>
      </c>
      <c r="D186" s="167" t="s">
        <v>1937</v>
      </c>
      <c r="E186" s="167" t="s">
        <v>1941</v>
      </c>
      <c r="F186" s="167" t="s">
        <v>79</v>
      </c>
      <c r="G186" s="167" t="s">
        <v>1897</v>
      </c>
      <c r="H186" s="167" t="s">
        <v>1872</v>
      </c>
      <c r="I186" s="176" t="s">
        <v>2150</v>
      </c>
      <c r="J186" s="167" t="s">
        <v>2136</v>
      </c>
      <c r="K186" s="168" t="str">
        <f t="shared" si="39"/>
        <v>KASTING</v>
      </c>
      <c r="L186" s="168" t="str">
        <f t="shared" si="28"/>
        <v>TERRELLY</v>
      </c>
      <c r="M186" s="168">
        <f t="shared" si="29"/>
        <v>21248</v>
      </c>
      <c r="N186" s="168">
        <f t="shared" si="30"/>
        <v>23480</v>
      </c>
      <c r="O186" s="168" t="str">
        <f t="shared" si="31"/>
        <v>242597653</v>
      </c>
      <c r="P186" s="168" t="str">
        <f t="shared" si="32"/>
        <v>242597947</v>
      </c>
      <c r="Q186" s="167" t="s">
        <v>1888</v>
      </c>
      <c r="R186" s="167" t="s">
        <v>1889</v>
      </c>
      <c r="S186" s="167" t="s">
        <v>1890</v>
      </c>
      <c r="T186" s="167"/>
      <c r="U186" s="167"/>
      <c r="V186" s="167" t="s">
        <v>1355</v>
      </c>
      <c r="W186" s="169" t="str">
        <f t="shared" si="33"/>
        <v>Perf-Test-User-112801@mailinator.com</v>
      </c>
      <c r="X186" s="167" t="str">
        <f t="shared" si="34"/>
        <v>Perf-Test-User-10208@mailinator.com</v>
      </c>
      <c r="Y186" s="168" t="str">
        <f t="shared" si="35"/>
        <v>Dummy!2022</v>
      </c>
      <c r="Z186" s="168" t="str">
        <f t="shared" si="36"/>
        <v>020-8010888</v>
      </c>
      <c r="AA186" s="167" t="s">
        <v>2090</v>
      </c>
      <c r="AB186" s="167" t="s">
        <v>1853</v>
      </c>
      <c r="AQ186" s="166" t="str">
        <f t="shared" si="37"/>
        <v>Perf-Test-User-112801@mailinator.com</v>
      </c>
      <c r="AR186" s="166" t="str">
        <f t="shared" si="38"/>
        <v>Perf-Test-User-10208@mailinator.com</v>
      </c>
    </row>
    <row r="187" spans="1:44" ht="42.75" x14ac:dyDescent="0.25">
      <c r="A187" s="167" t="s">
        <v>2154</v>
      </c>
      <c r="B187" s="167" t="s">
        <v>1355</v>
      </c>
      <c r="C187" s="167" t="s">
        <v>2140</v>
      </c>
      <c r="D187" s="167" t="s">
        <v>1937</v>
      </c>
      <c r="E187" s="167" t="s">
        <v>1941</v>
      </c>
      <c r="F187" s="167" t="s">
        <v>79</v>
      </c>
      <c r="G187" s="167" t="s">
        <v>1851</v>
      </c>
      <c r="H187" s="167"/>
      <c r="I187" s="176" t="s">
        <v>2141</v>
      </c>
      <c r="J187" s="167" t="s">
        <v>2136</v>
      </c>
      <c r="K187" s="168" t="str">
        <f t="shared" si="39"/>
        <v>KASTING</v>
      </c>
      <c r="L187" s="168" t="str">
        <f t="shared" si="28"/>
        <v>TERRELLY</v>
      </c>
      <c r="M187" s="168">
        <f t="shared" si="29"/>
        <v>21248</v>
      </c>
      <c r="N187" s="168">
        <f t="shared" si="30"/>
        <v>23480</v>
      </c>
      <c r="O187" s="168" t="str">
        <f t="shared" si="31"/>
        <v>242597653</v>
      </c>
      <c r="P187" s="168" t="str">
        <f t="shared" si="32"/>
        <v>242597947</v>
      </c>
      <c r="Q187" s="167" t="s">
        <v>1880</v>
      </c>
      <c r="R187" s="167" t="s">
        <v>1881</v>
      </c>
      <c r="S187" s="167" t="s">
        <v>1882</v>
      </c>
      <c r="T187" s="167"/>
      <c r="U187" s="167"/>
      <c r="V187" s="167"/>
      <c r="W187" s="169" t="str">
        <f t="shared" si="33"/>
        <v>Perf-Test-User-112801@mailinator.com</v>
      </c>
      <c r="X187" s="167" t="str">
        <f t="shared" si="34"/>
        <v>Perf-Test-User-10208@mailinator.com</v>
      </c>
      <c r="Y187" s="168" t="str">
        <f t="shared" si="35"/>
        <v>Dummy!2022</v>
      </c>
      <c r="Z187" s="168" t="str">
        <f t="shared" si="36"/>
        <v>020-8010888</v>
      </c>
      <c r="AA187" s="167" t="s">
        <v>2092</v>
      </c>
      <c r="AB187" s="167" t="s">
        <v>1853</v>
      </c>
      <c r="AQ187" s="166" t="str">
        <f t="shared" si="37"/>
        <v>Perf-Test-User-112801@mailinator.com</v>
      </c>
      <c r="AR187" s="166" t="str">
        <f t="shared" si="38"/>
        <v>Perf-Test-User-10208@mailinator.com</v>
      </c>
    </row>
    <row r="188" spans="1:44" ht="42.75" x14ac:dyDescent="0.25">
      <c r="A188" s="167" t="s">
        <v>2155</v>
      </c>
      <c r="B188" s="167" t="s">
        <v>1355</v>
      </c>
      <c r="C188" s="167" t="s">
        <v>2138</v>
      </c>
      <c r="D188" s="167" t="s">
        <v>1937</v>
      </c>
      <c r="E188" s="167" t="s">
        <v>1958</v>
      </c>
      <c r="F188" s="167" t="s">
        <v>36</v>
      </c>
      <c r="G188" s="167" t="s">
        <v>1897</v>
      </c>
      <c r="H188" s="167" t="s">
        <v>1872</v>
      </c>
      <c r="I188" s="176" t="s">
        <v>2135</v>
      </c>
      <c r="J188" s="167" t="s">
        <v>2136</v>
      </c>
      <c r="K188" s="168" t="str">
        <f t="shared" si="39"/>
        <v>HIDDERLEY</v>
      </c>
      <c r="L188" s="168" t="str">
        <f t="shared" si="28"/>
        <v>TERRELLY</v>
      </c>
      <c r="M188" s="168">
        <f t="shared" si="29"/>
        <v>35736</v>
      </c>
      <c r="N188" s="168">
        <f t="shared" si="30"/>
        <v>23480</v>
      </c>
      <c r="O188" s="168" t="str">
        <f t="shared" si="31"/>
        <v>242597904</v>
      </c>
      <c r="P188" s="168" t="str">
        <f t="shared" si="32"/>
        <v>242597947</v>
      </c>
      <c r="Q188" s="167" t="s">
        <v>1888</v>
      </c>
      <c r="R188" s="167" t="s">
        <v>1889</v>
      </c>
      <c r="S188" s="167" t="s">
        <v>1890</v>
      </c>
      <c r="T188" s="167" t="s">
        <v>1883</v>
      </c>
      <c r="U188" s="167" t="s">
        <v>1884</v>
      </c>
      <c r="V188" s="167" t="s">
        <v>1355</v>
      </c>
      <c r="W188" s="169" t="str">
        <f t="shared" si="33"/>
        <v>UAT-WF-User77@mailinator.com</v>
      </c>
      <c r="X188" s="167" t="str">
        <f t="shared" si="34"/>
        <v>Perf-Test-User-10208@mailinator.com</v>
      </c>
      <c r="Y188" s="168" t="str">
        <f t="shared" si="35"/>
        <v>Dummy!2024</v>
      </c>
      <c r="Z188" s="168" t="str">
        <f t="shared" si="36"/>
        <v>020-8030031</v>
      </c>
      <c r="AA188" s="167" t="s">
        <v>2108</v>
      </c>
      <c r="AB188" s="167" t="s">
        <v>1853</v>
      </c>
      <c r="AQ188" s="166" t="str">
        <f t="shared" si="37"/>
        <v>UAT-WF-User77@mailinator.com</v>
      </c>
      <c r="AR188" s="166" t="str">
        <f t="shared" si="38"/>
        <v>Perf-Test-User-10208@mailinator.com</v>
      </c>
    </row>
    <row r="189" spans="1:44" ht="42.75" x14ac:dyDescent="0.25">
      <c r="A189" s="167" t="s">
        <v>2156</v>
      </c>
      <c r="B189" s="167" t="s">
        <v>1355</v>
      </c>
      <c r="C189" s="167" t="s">
        <v>2138</v>
      </c>
      <c r="D189" s="167" t="s">
        <v>1937</v>
      </c>
      <c r="E189" s="167" t="s">
        <v>1958</v>
      </c>
      <c r="F189" s="167" t="s">
        <v>79</v>
      </c>
      <c r="G189" s="167" t="s">
        <v>1897</v>
      </c>
      <c r="H189" s="167" t="s">
        <v>1872</v>
      </c>
      <c r="I189" s="176" t="s">
        <v>2150</v>
      </c>
      <c r="J189" s="167" t="s">
        <v>2136</v>
      </c>
      <c r="K189" s="168" t="str">
        <f t="shared" si="39"/>
        <v>HIDDERLEY</v>
      </c>
      <c r="L189" s="168" t="str">
        <f t="shared" si="28"/>
        <v>TERRELLY</v>
      </c>
      <c r="M189" s="168">
        <f t="shared" si="29"/>
        <v>35736</v>
      </c>
      <c r="N189" s="168">
        <f t="shared" si="30"/>
        <v>23480</v>
      </c>
      <c r="O189" s="168" t="str">
        <f t="shared" si="31"/>
        <v>242597904</v>
      </c>
      <c r="P189" s="168" t="str">
        <f t="shared" si="32"/>
        <v>242597947</v>
      </c>
      <c r="Q189" s="167" t="s">
        <v>1888</v>
      </c>
      <c r="R189" s="167" t="s">
        <v>1889</v>
      </c>
      <c r="S189" s="167" t="s">
        <v>1890</v>
      </c>
      <c r="T189" s="167"/>
      <c r="U189" s="167"/>
      <c r="V189" s="167" t="s">
        <v>1355</v>
      </c>
      <c r="W189" s="169" t="str">
        <f t="shared" si="33"/>
        <v>UAT-WF-User77@mailinator.com</v>
      </c>
      <c r="X189" s="167" t="str">
        <f t="shared" si="34"/>
        <v>Perf-Test-User-10208@mailinator.com</v>
      </c>
      <c r="Y189" s="168" t="str">
        <f t="shared" si="35"/>
        <v>Dummy!2024</v>
      </c>
      <c r="Z189" s="168" t="str">
        <f t="shared" si="36"/>
        <v>020-8030031</v>
      </c>
      <c r="AA189" s="167" t="s">
        <v>2110</v>
      </c>
      <c r="AB189" s="167" t="s">
        <v>1853</v>
      </c>
      <c r="AQ189" s="166" t="str">
        <f t="shared" si="37"/>
        <v>UAT-WF-User77@mailinator.com</v>
      </c>
      <c r="AR189" s="166" t="str">
        <f t="shared" si="38"/>
        <v>Perf-Test-User-10208@mailinator.com</v>
      </c>
    </row>
    <row r="190" spans="1:44" ht="42.75" x14ac:dyDescent="0.25">
      <c r="A190" s="167" t="s">
        <v>2157</v>
      </c>
      <c r="B190" s="167" t="s">
        <v>1355</v>
      </c>
      <c r="C190" s="167" t="s">
        <v>2140</v>
      </c>
      <c r="D190" s="167" t="s">
        <v>1937</v>
      </c>
      <c r="E190" s="167" t="s">
        <v>1958</v>
      </c>
      <c r="F190" s="167" t="s">
        <v>79</v>
      </c>
      <c r="G190" s="167" t="s">
        <v>1851</v>
      </c>
      <c r="H190" s="167"/>
      <c r="I190" s="176" t="s">
        <v>2141</v>
      </c>
      <c r="J190" s="167" t="s">
        <v>2136</v>
      </c>
      <c r="K190" s="168" t="str">
        <f t="shared" si="39"/>
        <v>HIDDERLEY</v>
      </c>
      <c r="L190" s="168" t="str">
        <f t="shared" si="28"/>
        <v>TERRELLY</v>
      </c>
      <c r="M190" s="168">
        <f t="shared" si="29"/>
        <v>35736</v>
      </c>
      <c r="N190" s="168">
        <f t="shared" si="30"/>
        <v>23480</v>
      </c>
      <c r="O190" s="168" t="str">
        <f t="shared" si="31"/>
        <v>242597904</v>
      </c>
      <c r="P190" s="168" t="str">
        <f t="shared" si="32"/>
        <v>242597947</v>
      </c>
      <c r="Q190" s="167" t="s">
        <v>1880</v>
      </c>
      <c r="R190" s="167" t="s">
        <v>1881</v>
      </c>
      <c r="S190" s="167" t="s">
        <v>1882</v>
      </c>
      <c r="T190" s="167"/>
      <c r="U190" s="167"/>
      <c r="V190" s="167"/>
      <c r="W190" s="169" t="str">
        <f t="shared" si="33"/>
        <v>UAT-WF-User77@mailinator.com</v>
      </c>
      <c r="X190" s="167" t="str">
        <f t="shared" si="34"/>
        <v>Perf-Test-User-10208@mailinator.com</v>
      </c>
      <c r="Y190" s="168" t="str">
        <f t="shared" si="35"/>
        <v>Dummy!2024</v>
      </c>
      <c r="Z190" s="168" t="str">
        <f t="shared" si="36"/>
        <v>020-8030031</v>
      </c>
      <c r="AA190" s="175" t="s">
        <v>2112</v>
      </c>
      <c r="AB190" s="167" t="s">
        <v>1853</v>
      </c>
      <c r="AQ190" s="166" t="str">
        <f t="shared" si="37"/>
        <v>UAT-WF-User77@mailinator.com</v>
      </c>
      <c r="AR190" s="166" t="str">
        <f t="shared" si="38"/>
        <v>Perf-Test-User-10208@mailinator.com</v>
      </c>
    </row>
    <row r="191" spans="1:44" ht="42.75" x14ac:dyDescent="0.25">
      <c r="A191" s="167" t="s">
        <v>2158</v>
      </c>
      <c r="B191" s="167" t="s">
        <v>1355</v>
      </c>
      <c r="C191" s="167" t="s">
        <v>2138</v>
      </c>
      <c r="D191" s="167" t="s">
        <v>1937</v>
      </c>
      <c r="E191" s="167" t="s">
        <v>1970</v>
      </c>
      <c r="F191" s="167" t="s">
        <v>36</v>
      </c>
      <c r="G191" s="167" t="s">
        <v>1897</v>
      </c>
      <c r="H191" s="167" t="s">
        <v>1872</v>
      </c>
      <c r="I191" s="176" t="s">
        <v>2135</v>
      </c>
      <c r="J191" s="167" t="s">
        <v>2136</v>
      </c>
      <c r="K191" s="168" t="str">
        <f t="shared" si="39"/>
        <v>KASTING</v>
      </c>
      <c r="L191" s="168" t="str">
        <f t="shared" si="28"/>
        <v>SATTERTHWAITE</v>
      </c>
      <c r="M191" s="168">
        <f t="shared" si="29"/>
        <v>21248</v>
      </c>
      <c r="N191" s="168">
        <f t="shared" si="30"/>
        <v>31390</v>
      </c>
      <c r="O191" s="168" t="str">
        <f t="shared" si="31"/>
        <v>242597653</v>
      </c>
      <c r="P191" s="168" t="str">
        <f t="shared" si="32"/>
        <v>242597408</v>
      </c>
      <c r="Q191" s="167" t="s">
        <v>1888</v>
      </c>
      <c r="R191" s="167" t="s">
        <v>1889</v>
      </c>
      <c r="S191" s="167" t="s">
        <v>1890</v>
      </c>
      <c r="T191" s="167" t="s">
        <v>1883</v>
      </c>
      <c r="U191" s="167" t="s">
        <v>1884</v>
      </c>
      <c r="V191" s="167" t="s">
        <v>1355</v>
      </c>
      <c r="W191" s="169" t="str">
        <f t="shared" si="33"/>
        <v>Perf-Test-User-112801@mailinator.com</v>
      </c>
      <c r="X191" s="167" t="str">
        <f t="shared" si="34"/>
        <v>Perf-Test-User-10183@mailinator.com</v>
      </c>
      <c r="Y191" s="168" t="str">
        <f t="shared" si="35"/>
        <v>Dummy!2022</v>
      </c>
      <c r="Z191" s="168" t="str">
        <f t="shared" si="36"/>
        <v>020-8010888</v>
      </c>
      <c r="AA191" s="175" t="s">
        <v>2126</v>
      </c>
      <c r="AB191" s="167" t="s">
        <v>1853</v>
      </c>
      <c r="AQ191" s="166" t="str">
        <f t="shared" si="37"/>
        <v>Perf-Test-User-112801@mailinator.com</v>
      </c>
      <c r="AR191" s="166" t="str">
        <f t="shared" si="38"/>
        <v>Perf-Test-User-10183@mailinator.com</v>
      </c>
    </row>
    <row r="192" spans="1:44" ht="42.75" x14ac:dyDescent="0.25">
      <c r="A192" s="167" t="s">
        <v>2159</v>
      </c>
      <c r="B192" s="167" t="s">
        <v>1355</v>
      </c>
      <c r="C192" s="167" t="s">
        <v>2138</v>
      </c>
      <c r="D192" s="167" t="s">
        <v>1937</v>
      </c>
      <c r="E192" s="167" t="s">
        <v>1970</v>
      </c>
      <c r="F192" s="167" t="s">
        <v>79</v>
      </c>
      <c r="G192" s="167" t="s">
        <v>1897</v>
      </c>
      <c r="H192" s="167" t="s">
        <v>1872</v>
      </c>
      <c r="I192" s="176" t="s">
        <v>2150</v>
      </c>
      <c r="J192" s="167" t="s">
        <v>2136</v>
      </c>
      <c r="K192" s="168" t="str">
        <f t="shared" si="39"/>
        <v>KASTING</v>
      </c>
      <c r="L192" s="168" t="str">
        <f t="shared" si="28"/>
        <v>SATTERTHWAITE</v>
      </c>
      <c r="M192" s="168">
        <f t="shared" si="29"/>
        <v>21248</v>
      </c>
      <c r="N192" s="168">
        <f t="shared" si="30"/>
        <v>31390</v>
      </c>
      <c r="O192" s="168" t="str">
        <f t="shared" si="31"/>
        <v>242597653</v>
      </c>
      <c r="P192" s="168" t="str">
        <f t="shared" si="32"/>
        <v>242597408</v>
      </c>
      <c r="Q192" s="167" t="s">
        <v>1888</v>
      </c>
      <c r="R192" s="167" t="s">
        <v>1889</v>
      </c>
      <c r="S192" s="167" t="s">
        <v>1890</v>
      </c>
      <c r="T192" s="167"/>
      <c r="U192" s="167"/>
      <c r="V192" s="167" t="s">
        <v>1355</v>
      </c>
      <c r="W192" s="169" t="str">
        <f t="shared" si="33"/>
        <v>Perf-Test-User-112801@mailinator.com</v>
      </c>
      <c r="X192" s="167" t="str">
        <f t="shared" si="34"/>
        <v>Perf-Test-User-10183@mailinator.com</v>
      </c>
      <c r="Y192" s="168" t="str">
        <f t="shared" si="35"/>
        <v>Dummy!2022</v>
      </c>
      <c r="Z192" s="168" t="str">
        <f t="shared" si="36"/>
        <v>020-8010888</v>
      </c>
      <c r="AA192" s="175" t="s">
        <v>2128</v>
      </c>
      <c r="AB192" s="167" t="s">
        <v>1853</v>
      </c>
      <c r="AQ192" s="166" t="str">
        <f t="shared" si="37"/>
        <v>Perf-Test-User-112801@mailinator.com</v>
      </c>
      <c r="AR192" s="166" t="str">
        <f t="shared" si="38"/>
        <v>Perf-Test-User-10183@mailinator.com</v>
      </c>
    </row>
    <row r="193" spans="1:44" ht="42.75" x14ac:dyDescent="0.25">
      <c r="A193" s="167" t="s">
        <v>2160</v>
      </c>
      <c r="B193" s="167" t="s">
        <v>1355</v>
      </c>
      <c r="C193" s="167" t="s">
        <v>2140</v>
      </c>
      <c r="D193" s="167" t="s">
        <v>1937</v>
      </c>
      <c r="E193" s="167" t="s">
        <v>1970</v>
      </c>
      <c r="F193" s="167" t="s">
        <v>79</v>
      </c>
      <c r="G193" s="167" t="s">
        <v>1851</v>
      </c>
      <c r="H193" s="167"/>
      <c r="I193" s="176" t="s">
        <v>2141</v>
      </c>
      <c r="J193" s="167" t="s">
        <v>2136</v>
      </c>
      <c r="K193" s="168" t="str">
        <f t="shared" si="39"/>
        <v>KASTING</v>
      </c>
      <c r="L193" s="168" t="str">
        <f t="shared" si="28"/>
        <v>SATTERTHWAITE</v>
      </c>
      <c r="M193" s="168">
        <f t="shared" si="29"/>
        <v>21248</v>
      </c>
      <c r="N193" s="168">
        <f t="shared" si="30"/>
        <v>31390</v>
      </c>
      <c r="O193" s="168" t="str">
        <f t="shared" si="31"/>
        <v>242597653</v>
      </c>
      <c r="P193" s="168" t="str">
        <f t="shared" si="32"/>
        <v>242597408</v>
      </c>
      <c r="Q193" s="167" t="s">
        <v>1880</v>
      </c>
      <c r="R193" s="167" t="s">
        <v>1881</v>
      </c>
      <c r="S193" s="167" t="s">
        <v>1882</v>
      </c>
      <c r="T193" s="167"/>
      <c r="U193" s="167"/>
      <c r="V193" s="167"/>
      <c r="W193" s="169" t="str">
        <f t="shared" si="33"/>
        <v>Perf-Test-User-112801@mailinator.com</v>
      </c>
      <c r="X193" s="167" t="str">
        <f t="shared" si="34"/>
        <v>Perf-Test-User-10183@mailinator.com</v>
      </c>
      <c r="Y193" s="168" t="str">
        <f t="shared" si="35"/>
        <v>Dummy!2022</v>
      </c>
      <c r="Z193" s="168" t="str">
        <f t="shared" si="36"/>
        <v>020-8010888</v>
      </c>
      <c r="AA193" s="175" t="s">
        <v>2130</v>
      </c>
      <c r="AB193" s="167" t="s">
        <v>1853</v>
      </c>
      <c r="AQ193" s="166" t="str">
        <f t="shared" si="37"/>
        <v>Perf-Test-User-112801@mailinator.com</v>
      </c>
      <c r="AR193" s="166" t="str">
        <f t="shared" si="38"/>
        <v>Perf-Test-User-10183@mailinator.com</v>
      </c>
    </row>
    <row r="194" spans="1:44" ht="42.75" x14ac:dyDescent="0.25">
      <c r="A194" s="167" t="s">
        <v>2161</v>
      </c>
      <c r="B194" s="167" t="s">
        <v>1355</v>
      </c>
      <c r="C194" s="167" t="s">
        <v>2138</v>
      </c>
      <c r="D194" s="167" t="s">
        <v>1849</v>
      </c>
      <c r="E194" s="167" t="s">
        <v>1850</v>
      </c>
      <c r="F194" s="167" t="s">
        <v>36</v>
      </c>
      <c r="G194" s="167" t="s">
        <v>1897</v>
      </c>
      <c r="H194" s="167" t="s">
        <v>1872</v>
      </c>
      <c r="I194" s="176" t="s">
        <v>2135</v>
      </c>
      <c r="J194" s="167" t="s">
        <v>2136</v>
      </c>
      <c r="K194" s="168" t="str">
        <f t="shared" si="39"/>
        <v>HIDDERLEY</v>
      </c>
      <c r="L194" s="168" t="str">
        <f t="shared" ref="L194:L217" si="40">IF(X194=$AU$5, $AX$5,
IF(X194=$AU$3,$AX$3, ""))</f>
        <v/>
      </c>
      <c r="M194" s="168">
        <f t="shared" ref="M194:M217" si="41">IF(W194=$AU$4, $AW$4,
IF(W194=$AU$2,$AW$2, ""))</f>
        <v>35736</v>
      </c>
      <c r="N194" s="168" t="str">
        <f t="shared" ref="N194:N217" si="42">IF(X194=$AU$5, $AW$5,
IF(X194=$AU$3,$AW$3, ""))</f>
        <v/>
      </c>
      <c r="O194" s="168" t="str">
        <f t="shared" ref="O194:O217" si="43">IF(W194=$AU$4, $AV$4,
IF(W194=$AU$2,$AV$2, ""))</f>
        <v>242597904</v>
      </c>
      <c r="P194" s="168" t="str">
        <f t="shared" ref="P194:P217" si="44">IF(X194=$AU$5, $AV$5,
IF(X194=$AU$3,$AV$3, ""))</f>
        <v/>
      </c>
      <c r="Q194" s="167" t="s">
        <v>1888</v>
      </c>
      <c r="R194" s="167" t="s">
        <v>1889</v>
      </c>
      <c r="S194" s="167" t="s">
        <v>1890</v>
      </c>
      <c r="T194" s="167" t="s">
        <v>1883</v>
      </c>
      <c r="U194" s="167" t="s">
        <v>1884</v>
      </c>
      <c r="V194" s="167" t="s">
        <v>1885</v>
      </c>
      <c r="W194" s="169" t="str">
        <f t="shared" ref="W194:W217" si="45">IF(E194="Y", $AU$4,
IF(E194="N",$AU$2,
IF(E194="Y,Y",  $AU$4,
IF(E194="N,N",$AU$2,
IF(E194="Y,N", $AU$4,
IF(E194="N,Y", $AU$2, ""))))))</f>
        <v>UAT-WF-User77@mailinator.com</v>
      </c>
      <c r="X194" s="167" t="str">
        <f t="shared" ref="X194:X217" si="46">IF(E194="Y,Y", $AU$5,
IF(E194="N,N", $AU$3,
IF(E194="Y,N", $AU$3,
IF(E194="N,Y",$AU$5, ""))))</f>
        <v/>
      </c>
      <c r="Y194" s="168" t="str">
        <f t="shared" ref="Y194:Y217" si="47">IF(W194=$AU$2, $AZ$2,
IF(W194=$AU$4,$AZ$4, ""))</f>
        <v>Dummy!2024</v>
      </c>
      <c r="Z194" s="168" t="str">
        <f t="shared" ref="Z194:Z217" si="48">IF(W194=$AU$4, $AY$4,
IF(W194=$AU$2,$AY$2, ""))</f>
        <v>020-8030031</v>
      </c>
      <c r="AA194" s="167"/>
      <c r="AB194" s="167" t="s">
        <v>1853</v>
      </c>
      <c r="AQ194" s="166" t="str">
        <f t="shared" ref="AQ194:AQ217" si="49">IF(E194="Y", $AU$4,
IF(E194="N",$AU$2,
IF(E194="Y,Y",  $AU$4,
IF(E194="N,N",$AU$2,
IF(E194="Y,N", $AU$4,
IF(E194="N,Y", $AU$2, ""))))))</f>
        <v>UAT-WF-User77@mailinator.com</v>
      </c>
      <c r="AR194" s="166" t="str">
        <f t="shared" ref="AR194:AR217" si="50">IF(E194="Y,Y", $AU$5,
IF(E194="N,N", $AU$3,
IF(E194="Y,N", $AU$3,
IF(E194="N,Y",$AU$5, ""))))</f>
        <v/>
      </c>
    </row>
    <row r="195" spans="1:44" ht="42.75" x14ac:dyDescent="0.25">
      <c r="A195" s="167" t="s">
        <v>2162</v>
      </c>
      <c r="B195" s="167" t="s">
        <v>1355</v>
      </c>
      <c r="C195" s="167" t="s">
        <v>2138</v>
      </c>
      <c r="D195" s="167" t="s">
        <v>1849</v>
      </c>
      <c r="E195" s="167" t="s">
        <v>1850</v>
      </c>
      <c r="F195" s="167" t="s">
        <v>79</v>
      </c>
      <c r="G195" s="167" t="s">
        <v>1897</v>
      </c>
      <c r="H195" s="167" t="s">
        <v>1872</v>
      </c>
      <c r="I195" s="176" t="s">
        <v>2135</v>
      </c>
      <c r="J195" s="167" t="s">
        <v>2136</v>
      </c>
      <c r="K195" s="168" t="str">
        <f t="shared" si="39"/>
        <v>HIDDERLEY</v>
      </c>
      <c r="L195" s="168" t="str">
        <f t="shared" si="40"/>
        <v/>
      </c>
      <c r="M195" s="168">
        <f t="shared" si="41"/>
        <v>35736</v>
      </c>
      <c r="N195" s="168" t="str">
        <f t="shared" si="42"/>
        <v/>
      </c>
      <c r="O195" s="168" t="str">
        <f t="shared" si="43"/>
        <v>242597904</v>
      </c>
      <c r="P195" s="168" t="str">
        <f t="shared" si="44"/>
        <v/>
      </c>
      <c r="Q195" s="167" t="s">
        <v>1888</v>
      </c>
      <c r="R195" s="167" t="s">
        <v>1889</v>
      </c>
      <c r="S195" s="167" t="s">
        <v>1890</v>
      </c>
      <c r="T195" s="167"/>
      <c r="U195" s="167"/>
      <c r="V195" s="167" t="s">
        <v>2163</v>
      </c>
      <c r="W195" s="169" t="str">
        <f t="shared" si="45"/>
        <v>UAT-WF-User77@mailinator.com</v>
      </c>
      <c r="X195" s="167" t="str">
        <f t="shared" si="46"/>
        <v/>
      </c>
      <c r="Y195" s="168" t="str">
        <f t="shared" si="47"/>
        <v>Dummy!2024</v>
      </c>
      <c r="Z195" s="168" t="str">
        <f t="shared" si="48"/>
        <v>020-8030031</v>
      </c>
      <c r="AA195" s="167"/>
      <c r="AB195" s="167" t="s">
        <v>1853</v>
      </c>
      <c r="AQ195" s="166" t="str">
        <f t="shared" si="49"/>
        <v>UAT-WF-User77@mailinator.com</v>
      </c>
      <c r="AR195" s="166" t="str">
        <f t="shared" si="50"/>
        <v/>
      </c>
    </row>
    <row r="196" spans="1:44" ht="42.75" x14ac:dyDescent="0.25">
      <c r="A196" s="167" t="s">
        <v>2164</v>
      </c>
      <c r="B196" s="167" t="s">
        <v>1355</v>
      </c>
      <c r="C196" s="167" t="s">
        <v>2140</v>
      </c>
      <c r="D196" s="167" t="s">
        <v>1849</v>
      </c>
      <c r="E196" s="167" t="s">
        <v>1850</v>
      </c>
      <c r="F196" s="167" t="s">
        <v>79</v>
      </c>
      <c r="G196" s="167" t="s">
        <v>1851</v>
      </c>
      <c r="H196" s="167"/>
      <c r="I196" s="176" t="s">
        <v>2135</v>
      </c>
      <c r="J196" s="167" t="s">
        <v>2136</v>
      </c>
      <c r="K196" s="168" t="str">
        <f t="shared" si="39"/>
        <v>HIDDERLEY</v>
      </c>
      <c r="L196" s="168" t="str">
        <f t="shared" si="40"/>
        <v/>
      </c>
      <c r="M196" s="168">
        <f t="shared" si="41"/>
        <v>35736</v>
      </c>
      <c r="N196" s="168" t="str">
        <f t="shared" si="42"/>
        <v/>
      </c>
      <c r="O196" s="168" t="str">
        <f t="shared" si="43"/>
        <v>242597904</v>
      </c>
      <c r="P196" s="168" t="str">
        <f t="shared" si="44"/>
        <v/>
      </c>
      <c r="Q196" s="167" t="s">
        <v>1880</v>
      </c>
      <c r="R196" s="167" t="s">
        <v>1881</v>
      </c>
      <c r="S196" s="167" t="s">
        <v>1882</v>
      </c>
      <c r="T196" s="167"/>
      <c r="U196" s="167"/>
      <c r="V196" s="167" t="s">
        <v>2165</v>
      </c>
      <c r="W196" s="169" t="str">
        <f t="shared" si="45"/>
        <v>UAT-WF-User77@mailinator.com</v>
      </c>
      <c r="X196" s="167" t="str">
        <f t="shared" si="46"/>
        <v/>
      </c>
      <c r="Y196" s="168" t="str">
        <f t="shared" si="47"/>
        <v>Dummy!2024</v>
      </c>
      <c r="Z196" s="168" t="str">
        <f t="shared" si="48"/>
        <v>020-8030031</v>
      </c>
      <c r="AA196" s="175"/>
      <c r="AB196" s="167" t="s">
        <v>1853</v>
      </c>
      <c r="AQ196" s="166" t="str">
        <f t="shared" si="49"/>
        <v>UAT-WF-User77@mailinator.com</v>
      </c>
      <c r="AR196" s="166" t="str">
        <f t="shared" si="50"/>
        <v/>
      </c>
    </row>
    <row r="197" spans="1:44" ht="42.75" x14ac:dyDescent="0.25">
      <c r="A197" s="167" t="s">
        <v>2166</v>
      </c>
      <c r="B197" s="167" t="s">
        <v>1355</v>
      </c>
      <c r="C197" s="167" t="s">
        <v>2134</v>
      </c>
      <c r="D197" s="167" t="s">
        <v>1849</v>
      </c>
      <c r="E197" s="167" t="s">
        <v>1900</v>
      </c>
      <c r="F197" s="167" t="s">
        <v>36</v>
      </c>
      <c r="G197" s="167" t="s">
        <v>1877</v>
      </c>
      <c r="H197" s="167" t="s">
        <v>1872</v>
      </c>
      <c r="I197" s="176" t="s">
        <v>2143</v>
      </c>
      <c r="J197" s="167" t="s">
        <v>2144</v>
      </c>
      <c r="K197" s="168" t="str">
        <f t="shared" si="39"/>
        <v>KASTING</v>
      </c>
      <c r="L197" s="168" t="str">
        <f t="shared" si="40"/>
        <v/>
      </c>
      <c r="M197" s="168">
        <f t="shared" si="41"/>
        <v>21248</v>
      </c>
      <c r="N197" s="168" t="str">
        <f t="shared" si="42"/>
        <v/>
      </c>
      <c r="O197" s="168" t="str">
        <f t="shared" si="43"/>
        <v>242597653</v>
      </c>
      <c r="P197" s="168" t="str">
        <f t="shared" si="44"/>
        <v/>
      </c>
      <c r="Q197" s="167" t="s">
        <v>1880</v>
      </c>
      <c r="R197" s="167" t="s">
        <v>1881</v>
      </c>
      <c r="S197" s="167" t="s">
        <v>1915</v>
      </c>
      <c r="T197" s="167" t="s">
        <v>1883</v>
      </c>
      <c r="U197" s="167" t="s">
        <v>1884</v>
      </c>
      <c r="V197" s="167" t="s">
        <v>2167</v>
      </c>
      <c r="W197" s="169" t="str">
        <f t="shared" si="45"/>
        <v>Perf-Test-User-112801@mailinator.com</v>
      </c>
      <c r="X197" s="167" t="str">
        <f t="shared" si="46"/>
        <v/>
      </c>
      <c r="Y197" s="168" t="str">
        <f t="shared" si="47"/>
        <v>Dummy!2022</v>
      </c>
      <c r="Z197" s="168" t="str">
        <f t="shared" si="48"/>
        <v>020-8010888</v>
      </c>
      <c r="AA197" s="167" t="s">
        <v>1933</v>
      </c>
      <c r="AB197" s="167" t="s">
        <v>1853</v>
      </c>
      <c r="AQ197" s="166" t="str">
        <f t="shared" si="49"/>
        <v>Perf-Test-User-112801@mailinator.com</v>
      </c>
      <c r="AR197" s="166" t="str">
        <f t="shared" si="50"/>
        <v/>
      </c>
    </row>
    <row r="198" spans="1:44" ht="42.75" x14ac:dyDescent="0.25">
      <c r="A198" s="167" t="s">
        <v>2168</v>
      </c>
      <c r="B198" s="167" t="s">
        <v>1355</v>
      </c>
      <c r="C198" s="167" t="s">
        <v>2138</v>
      </c>
      <c r="D198" s="167" t="s">
        <v>1849</v>
      </c>
      <c r="E198" s="167" t="s">
        <v>1900</v>
      </c>
      <c r="F198" s="167" t="s">
        <v>79</v>
      </c>
      <c r="G198" s="167" t="s">
        <v>1897</v>
      </c>
      <c r="H198" s="167" t="s">
        <v>1872</v>
      </c>
      <c r="I198" s="176" t="s">
        <v>2135</v>
      </c>
      <c r="J198" s="167" t="s">
        <v>2136</v>
      </c>
      <c r="K198" s="168" t="str">
        <f t="shared" si="39"/>
        <v>KASTING</v>
      </c>
      <c r="L198" s="168" t="str">
        <f t="shared" si="40"/>
        <v/>
      </c>
      <c r="M198" s="168">
        <f t="shared" si="41"/>
        <v>21248</v>
      </c>
      <c r="N198" s="168" t="str">
        <f t="shared" si="42"/>
        <v/>
      </c>
      <c r="O198" s="168" t="str">
        <f t="shared" si="43"/>
        <v>242597653</v>
      </c>
      <c r="P198" s="168" t="str">
        <f t="shared" si="44"/>
        <v/>
      </c>
      <c r="Q198" s="167" t="s">
        <v>1888</v>
      </c>
      <c r="R198" s="167" t="s">
        <v>1889</v>
      </c>
      <c r="S198" s="167" t="s">
        <v>1890</v>
      </c>
      <c r="T198" s="167"/>
      <c r="U198" s="167"/>
      <c r="V198" s="167" t="s">
        <v>2169</v>
      </c>
      <c r="W198" s="169" t="str">
        <f t="shared" si="45"/>
        <v>Perf-Test-User-112801@mailinator.com</v>
      </c>
      <c r="X198" s="167" t="str">
        <f t="shared" si="46"/>
        <v/>
      </c>
      <c r="Y198" s="168" t="str">
        <f t="shared" si="47"/>
        <v>Dummy!2022</v>
      </c>
      <c r="Z198" s="168" t="str">
        <f t="shared" si="48"/>
        <v>020-8010888</v>
      </c>
      <c r="AA198" s="167" t="s">
        <v>2170</v>
      </c>
      <c r="AB198" s="167" t="s">
        <v>1853</v>
      </c>
      <c r="AQ198" s="166" t="str">
        <f t="shared" si="49"/>
        <v>Perf-Test-User-112801@mailinator.com</v>
      </c>
      <c r="AR198" s="166" t="str">
        <f t="shared" si="50"/>
        <v/>
      </c>
    </row>
    <row r="199" spans="1:44" ht="42.75" x14ac:dyDescent="0.25">
      <c r="A199" s="167" t="s">
        <v>2171</v>
      </c>
      <c r="B199" s="167" t="s">
        <v>1355</v>
      </c>
      <c r="C199" s="167" t="s">
        <v>2140</v>
      </c>
      <c r="D199" s="167" t="s">
        <v>1849</v>
      </c>
      <c r="E199" s="167" t="s">
        <v>1900</v>
      </c>
      <c r="F199" s="167" t="s">
        <v>79</v>
      </c>
      <c r="G199" s="167" t="s">
        <v>1851</v>
      </c>
      <c r="H199" s="167"/>
      <c r="I199" s="176" t="s">
        <v>2135</v>
      </c>
      <c r="J199" s="167" t="s">
        <v>2136</v>
      </c>
      <c r="K199" s="168" t="str">
        <f t="shared" si="39"/>
        <v>KASTING</v>
      </c>
      <c r="L199" s="168" t="str">
        <f t="shared" si="40"/>
        <v/>
      </c>
      <c r="M199" s="168">
        <f t="shared" si="41"/>
        <v>21248</v>
      </c>
      <c r="N199" s="168" t="str">
        <f t="shared" si="42"/>
        <v/>
      </c>
      <c r="O199" s="168" t="str">
        <f t="shared" si="43"/>
        <v>242597653</v>
      </c>
      <c r="P199" s="168" t="str">
        <f t="shared" si="44"/>
        <v/>
      </c>
      <c r="Q199" s="167" t="s">
        <v>1880</v>
      </c>
      <c r="R199" s="167" t="s">
        <v>1881</v>
      </c>
      <c r="S199" s="167" t="s">
        <v>1882</v>
      </c>
      <c r="T199" s="167"/>
      <c r="U199" s="167"/>
      <c r="V199" s="167" t="s">
        <v>2172</v>
      </c>
      <c r="W199" s="169" t="str">
        <f t="shared" si="45"/>
        <v>Perf-Test-User-112801@mailinator.com</v>
      </c>
      <c r="X199" s="167" t="str">
        <f t="shared" si="46"/>
        <v/>
      </c>
      <c r="Y199" s="168" t="str">
        <f t="shared" si="47"/>
        <v>Dummy!2022</v>
      </c>
      <c r="Z199" s="168" t="str">
        <f t="shared" si="48"/>
        <v>020-8010888</v>
      </c>
      <c r="AA199" s="175"/>
      <c r="AB199" s="167" t="s">
        <v>1853</v>
      </c>
      <c r="AQ199" s="166" t="str">
        <f t="shared" si="49"/>
        <v>Perf-Test-User-112801@mailinator.com</v>
      </c>
      <c r="AR199" s="166" t="str">
        <f t="shared" si="50"/>
        <v/>
      </c>
    </row>
    <row r="200" spans="1:44" ht="42.75" x14ac:dyDescent="0.25">
      <c r="A200" s="167" t="s">
        <v>2173</v>
      </c>
      <c r="B200" s="167" t="s">
        <v>1355</v>
      </c>
      <c r="C200" s="167" t="s">
        <v>2138</v>
      </c>
      <c r="D200" s="167" t="s">
        <v>1988</v>
      </c>
      <c r="E200" s="167" t="s">
        <v>1938</v>
      </c>
      <c r="F200" s="167" t="s">
        <v>36</v>
      </c>
      <c r="G200" s="167" t="s">
        <v>1897</v>
      </c>
      <c r="H200" s="167" t="s">
        <v>1872</v>
      </c>
      <c r="I200" s="176" t="s">
        <v>2135</v>
      </c>
      <c r="J200" s="167" t="s">
        <v>2136</v>
      </c>
      <c r="K200" s="168" t="str">
        <f t="shared" si="39"/>
        <v>HIDDERLEY</v>
      </c>
      <c r="L200" s="168" t="str">
        <f t="shared" si="40"/>
        <v>SATTERTHWAITE</v>
      </c>
      <c r="M200" s="168">
        <f t="shared" si="41"/>
        <v>35736</v>
      </c>
      <c r="N200" s="168">
        <f t="shared" si="42"/>
        <v>31390</v>
      </c>
      <c r="O200" s="168" t="str">
        <f t="shared" si="43"/>
        <v>242597904</v>
      </c>
      <c r="P200" s="168" t="str">
        <f t="shared" si="44"/>
        <v>242597408</v>
      </c>
      <c r="Q200" s="167" t="s">
        <v>1888</v>
      </c>
      <c r="R200" s="167" t="s">
        <v>1889</v>
      </c>
      <c r="S200" s="167" t="s">
        <v>1890</v>
      </c>
      <c r="T200" s="167" t="s">
        <v>1883</v>
      </c>
      <c r="U200" s="167" t="s">
        <v>1884</v>
      </c>
      <c r="V200" s="167" t="s">
        <v>2174</v>
      </c>
      <c r="W200" s="169" t="str">
        <f t="shared" si="45"/>
        <v>UAT-WF-User77@mailinator.com</v>
      </c>
      <c r="X200" s="167" t="str">
        <f t="shared" si="46"/>
        <v>Perf-Test-User-10183@mailinator.com</v>
      </c>
      <c r="Y200" s="168" t="str">
        <f t="shared" si="47"/>
        <v>Dummy!2024</v>
      </c>
      <c r="Z200" s="168" t="str">
        <f t="shared" si="48"/>
        <v>020-8030031</v>
      </c>
      <c r="AA200" s="167"/>
      <c r="AB200" s="167" t="s">
        <v>1853</v>
      </c>
      <c r="AQ200" s="166" t="str">
        <f t="shared" si="49"/>
        <v>UAT-WF-User77@mailinator.com</v>
      </c>
      <c r="AR200" s="166" t="str">
        <f t="shared" si="50"/>
        <v>Perf-Test-User-10183@mailinator.com</v>
      </c>
    </row>
    <row r="201" spans="1:44" ht="42.75" x14ac:dyDescent="0.25">
      <c r="A201" s="167" t="s">
        <v>2175</v>
      </c>
      <c r="B201" s="167" t="s">
        <v>1355</v>
      </c>
      <c r="C201" s="167" t="s">
        <v>2138</v>
      </c>
      <c r="D201" s="167" t="s">
        <v>1988</v>
      </c>
      <c r="E201" s="167" t="s">
        <v>1938</v>
      </c>
      <c r="F201" s="167" t="s">
        <v>79</v>
      </c>
      <c r="G201" s="167" t="s">
        <v>1897</v>
      </c>
      <c r="H201" s="167" t="s">
        <v>1872</v>
      </c>
      <c r="I201" s="176" t="s">
        <v>2150</v>
      </c>
      <c r="J201" s="167" t="s">
        <v>2136</v>
      </c>
      <c r="K201" s="168" t="str">
        <f t="shared" si="39"/>
        <v>HIDDERLEY</v>
      </c>
      <c r="L201" s="168" t="str">
        <f t="shared" si="40"/>
        <v>SATTERTHWAITE</v>
      </c>
      <c r="M201" s="168">
        <f t="shared" si="41"/>
        <v>35736</v>
      </c>
      <c r="N201" s="168">
        <f t="shared" si="42"/>
        <v>31390</v>
      </c>
      <c r="O201" s="168" t="str">
        <f t="shared" si="43"/>
        <v>242597904</v>
      </c>
      <c r="P201" s="168" t="str">
        <f t="shared" si="44"/>
        <v>242597408</v>
      </c>
      <c r="Q201" s="167" t="s">
        <v>1888</v>
      </c>
      <c r="R201" s="167" t="s">
        <v>1889</v>
      </c>
      <c r="S201" s="167" t="s">
        <v>1890</v>
      </c>
      <c r="T201" s="167"/>
      <c r="U201" s="167"/>
      <c r="V201" s="167" t="s">
        <v>2176</v>
      </c>
      <c r="W201" s="169" t="str">
        <f t="shared" si="45"/>
        <v>UAT-WF-User77@mailinator.com</v>
      </c>
      <c r="X201" s="167" t="str">
        <f t="shared" si="46"/>
        <v>Perf-Test-User-10183@mailinator.com</v>
      </c>
      <c r="Y201" s="168" t="str">
        <f t="shared" si="47"/>
        <v>Dummy!2024</v>
      </c>
      <c r="Z201" s="168" t="str">
        <f t="shared" si="48"/>
        <v>020-8030031</v>
      </c>
      <c r="AA201" s="167"/>
      <c r="AB201" s="167" t="s">
        <v>1853</v>
      </c>
      <c r="AQ201" s="166" t="str">
        <f t="shared" si="49"/>
        <v>UAT-WF-User77@mailinator.com</v>
      </c>
      <c r="AR201" s="166" t="str">
        <f t="shared" si="50"/>
        <v>Perf-Test-User-10183@mailinator.com</v>
      </c>
    </row>
    <row r="202" spans="1:44" ht="42.75" x14ac:dyDescent="0.25">
      <c r="A202" s="167" t="s">
        <v>2177</v>
      </c>
      <c r="B202" s="167" t="s">
        <v>1355</v>
      </c>
      <c r="C202" s="167" t="s">
        <v>2140</v>
      </c>
      <c r="D202" s="167" t="s">
        <v>1988</v>
      </c>
      <c r="E202" s="167" t="s">
        <v>1938</v>
      </c>
      <c r="F202" s="167" t="s">
        <v>79</v>
      </c>
      <c r="G202" s="167" t="s">
        <v>1851</v>
      </c>
      <c r="H202" s="167"/>
      <c r="I202" s="176" t="s">
        <v>2135</v>
      </c>
      <c r="J202" s="167" t="s">
        <v>2136</v>
      </c>
      <c r="K202" s="168" t="str">
        <f>IF(W202=$AU$4, $AX$4,
IF(W202=$AU$2,$AX$2, ""))</f>
        <v>HIDDERLEY</v>
      </c>
      <c r="L202" s="168" t="str">
        <f t="shared" si="40"/>
        <v>SATTERTHWAITE</v>
      </c>
      <c r="M202" s="168">
        <f t="shared" si="41"/>
        <v>35736</v>
      </c>
      <c r="N202" s="168">
        <f t="shared" si="42"/>
        <v>31390</v>
      </c>
      <c r="O202" s="168" t="str">
        <f t="shared" si="43"/>
        <v>242597904</v>
      </c>
      <c r="P202" s="168" t="str">
        <f t="shared" si="44"/>
        <v>242597408</v>
      </c>
      <c r="Q202" s="167" t="s">
        <v>1880</v>
      </c>
      <c r="R202" s="167" t="s">
        <v>1881</v>
      </c>
      <c r="S202" s="167" t="s">
        <v>1882</v>
      </c>
      <c r="T202" s="167"/>
      <c r="U202" s="167"/>
      <c r="V202" s="167" t="s">
        <v>2178</v>
      </c>
      <c r="W202" s="169" t="str">
        <f t="shared" si="45"/>
        <v>UAT-WF-User77@mailinator.com</v>
      </c>
      <c r="X202" s="167" t="str">
        <f t="shared" si="46"/>
        <v>Perf-Test-User-10183@mailinator.com</v>
      </c>
      <c r="Y202" s="168" t="str">
        <f t="shared" si="47"/>
        <v>Dummy!2024</v>
      </c>
      <c r="Z202" s="168" t="str">
        <f t="shared" si="48"/>
        <v>020-8030031</v>
      </c>
      <c r="AA202" s="175"/>
      <c r="AB202" s="167" t="s">
        <v>1853</v>
      </c>
      <c r="AQ202" s="166" t="str">
        <f t="shared" si="49"/>
        <v>UAT-WF-User77@mailinator.com</v>
      </c>
      <c r="AR202" s="166" t="str">
        <f t="shared" si="50"/>
        <v>Perf-Test-User-10183@mailinator.com</v>
      </c>
    </row>
    <row r="203" spans="1:44" ht="42.75" x14ac:dyDescent="0.25">
      <c r="A203" s="167" t="s">
        <v>2179</v>
      </c>
      <c r="B203" s="167" t="s">
        <v>1355</v>
      </c>
      <c r="C203" s="167" t="s">
        <v>2138</v>
      </c>
      <c r="D203" s="167" t="s">
        <v>1988</v>
      </c>
      <c r="E203" s="167" t="s">
        <v>1941</v>
      </c>
      <c r="F203" s="167" t="s">
        <v>36</v>
      </c>
      <c r="G203" s="167" t="s">
        <v>1897</v>
      </c>
      <c r="H203" s="167" t="s">
        <v>1872</v>
      </c>
      <c r="I203" s="176" t="s">
        <v>2135</v>
      </c>
      <c r="J203" s="167" t="s">
        <v>2136</v>
      </c>
      <c r="K203" s="168" t="str">
        <f t="shared" ref="K203:K211" si="51">IF(W203=$AU$4, $AX$4,
IF(W203=$AU$2,$AX$2, ""))</f>
        <v>KASTING</v>
      </c>
      <c r="L203" s="168" t="str">
        <f t="shared" si="40"/>
        <v>TERRELLY</v>
      </c>
      <c r="M203" s="168">
        <f t="shared" si="41"/>
        <v>21248</v>
      </c>
      <c r="N203" s="168">
        <f t="shared" si="42"/>
        <v>23480</v>
      </c>
      <c r="O203" s="168" t="str">
        <f t="shared" si="43"/>
        <v>242597653</v>
      </c>
      <c r="P203" s="168" t="str">
        <f t="shared" si="44"/>
        <v>242597947</v>
      </c>
      <c r="Q203" s="167" t="s">
        <v>1888</v>
      </c>
      <c r="R203" s="167" t="s">
        <v>1889</v>
      </c>
      <c r="S203" s="167" t="s">
        <v>1890</v>
      </c>
      <c r="T203" s="167" t="s">
        <v>1883</v>
      </c>
      <c r="U203" s="167" t="s">
        <v>1884</v>
      </c>
      <c r="V203" s="167" t="s">
        <v>2180</v>
      </c>
      <c r="W203" s="169" t="str">
        <f t="shared" si="45"/>
        <v>Perf-Test-User-112801@mailinator.com</v>
      </c>
      <c r="X203" s="167" t="str">
        <f t="shared" si="46"/>
        <v>Perf-Test-User-10208@mailinator.com</v>
      </c>
      <c r="Y203" s="168" t="str">
        <f t="shared" si="47"/>
        <v>Dummy!2022</v>
      </c>
      <c r="Z203" s="168" t="str">
        <f t="shared" si="48"/>
        <v>020-8010888</v>
      </c>
      <c r="AA203" s="167" t="s">
        <v>2088</v>
      </c>
      <c r="AB203" s="167" t="s">
        <v>1853</v>
      </c>
      <c r="AQ203" s="166" t="str">
        <f t="shared" si="49"/>
        <v>Perf-Test-User-112801@mailinator.com</v>
      </c>
      <c r="AR203" s="166" t="str">
        <f t="shared" si="50"/>
        <v>Perf-Test-User-10208@mailinator.com</v>
      </c>
    </row>
    <row r="204" spans="1:44" ht="42.75" x14ac:dyDescent="0.25">
      <c r="A204" s="167" t="s">
        <v>2181</v>
      </c>
      <c r="B204" s="167" t="s">
        <v>1355</v>
      </c>
      <c r="C204" s="167" t="s">
        <v>2138</v>
      </c>
      <c r="D204" s="167" t="s">
        <v>1988</v>
      </c>
      <c r="E204" s="167" t="s">
        <v>1941</v>
      </c>
      <c r="F204" s="167" t="s">
        <v>79</v>
      </c>
      <c r="G204" s="167" t="s">
        <v>1897</v>
      </c>
      <c r="H204" s="167" t="s">
        <v>1872</v>
      </c>
      <c r="I204" s="176" t="s">
        <v>2150</v>
      </c>
      <c r="J204" s="167" t="s">
        <v>2136</v>
      </c>
      <c r="K204" s="168" t="str">
        <f t="shared" si="51"/>
        <v>KASTING</v>
      </c>
      <c r="L204" s="168" t="str">
        <f t="shared" si="40"/>
        <v>TERRELLY</v>
      </c>
      <c r="M204" s="168">
        <f t="shared" si="41"/>
        <v>21248</v>
      </c>
      <c r="N204" s="168">
        <f t="shared" si="42"/>
        <v>23480</v>
      </c>
      <c r="O204" s="168" t="str">
        <f t="shared" si="43"/>
        <v>242597653</v>
      </c>
      <c r="P204" s="168" t="str">
        <f t="shared" si="44"/>
        <v>242597947</v>
      </c>
      <c r="Q204" s="167" t="s">
        <v>1888</v>
      </c>
      <c r="R204" s="167" t="s">
        <v>1889</v>
      </c>
      <c r="S204" s="167" t="s">
        <v>1890</v>
      </c>
      <c r="T204" s="167"/>
      <c r="U204" s="167"/>
      <c r="V204" s="167" t="s">
        <v>2182</v>
      </c>
      <c r="W204" s="169" t="str">
        <f t="shared" si="45"/>
        <v>Perf-Test-User-112801@mailinator.com</v>
      </c>
      <c r="X204" s="167" t="str">
        <f t="shared" si="46"/>
        <v>Perf-Test-User-10208@mailinator.com</v>
      </c>
      <c r="Y204" s="168" t="str">
        <f t="shared" si="47"/>
        <v>Dummy!2022</v>
      </c>
      <c r="Z204" s="168" t="str">
        <f t="shared" si="48"/>
        <v>020-8010888</v>
      </c>
      <c r="AA204" s="167" t="s">
        <v>2090</v>
      </c>
      <c r="AB204" s="167" t="s">
        <v>1853</v>
      </c>
      <c r="AQ204" s="166" t="str">
        <f t="shared" si="49"/>
        <v>Perf-Test-User-112801@mailinator.com</v>
      </c>
      <c r="AR204" s="166" t="str">
        <f t="shared" si="50"/>
        <v>Perf-Test-User-10208@mailinator.com</v>
      </c>
    </row>
    <row r="205" spans="1:44" ht="42.75" x14ac:dyDescent="0.25">
      <c r="A205" s="167" t="s">
        <v>2183</v>
      </c>
      <c r="B205" s="167" t="s">
        <v>1355</v>
      </c>
      <c r="C205" s="167" t="s">
        <v>2140</v>
      </c>
      <c r="D205" s="167" t="s">
        <v>1988</v>
      </c>
      <c r="E205" s="167" t="s">
        <v>1941</v>
      </c>
      <c r="F205" s="167" t="s">
        <v>79</v>
      </c>
      <c r="G205" s="167" t="s">
        <v>1851</v>
      </c>
      <c r="H205" s="167"/>
      <c r="I205" s="176" t="s">
        <v>2135</v>
      </c>
      <c r="J205" s="167" t="s">
        <v>2136</v>
      </c>
      <c r="K205" s="168" t="str">
        <f>IF(W205=$AU$4, $AX$4,
IF(W205=$AU$2,$AX$2, ""))</f>
        <v>KASTING</v>
      </c>
      <c r="L205" s="168" t="str">
        <f>IF(X205=$AU$5, $AX$5,
IF(X205=$AU$3,$AX$3, ""))</f>
        <v>TERRELLY</v>
      </c>
      <c r="M205" s="168">
        <f t="shared" si="41"/>
        <v>21248</v>
      </c>
      <c r="N205" s="168">
        <f t="shared" si="42"/>
        <v>23480</v>
      </c>
      <c r="O205" s="168" t="str">
        <f t="shared" si="43"/>
        <v>242597653</v>
      </c>
      <c r="P205" s="168" t="str">
        <f t="shared" si="44"/>
        <v>242597947</v>
      </c>
      <c r="Q205" s="167" t="s">
        <v>1880</v>
      </c>
      <c r="R205" s="167" t="s">
        <v>1881</v>
      </c>
      <c r="S205" s="167" t="s">
        <v>1882</v>
      </c>
      <c r="T205" s="167"/>
      <c r="U205" s="167"/>
      <c r="V205" s="167" t="s">
        <v>2184</v>
      </c>
      <c r="W205" s="169" t="str">
        <f t="shared" si="45"/>
        <v>Perf-Test-User-112801@mailinator.com</v>
      </c>
      <c r="X205" s="167" t="str">
        <f t="shared" si="46"/>
        <v>Perf-Test-User-10208@mailinator.com</v>
      </c>
      <c r="Y205" s="168" t="str">
        <f t="shared" si="47"/>
        <v>Dummy!2022</v>
      </c>
      <c r="Z205" s="168" t="str">
        <f t="shared" si="48"/>
        <v>020-8010888</v>
      </c>
      <c r="AA205" s="167" t="s">
        <v>2092</v>
      </c>
      <c r="AB205" s="167" t="s">
        <v>1853</v>
      </c>
      <c r="AQ205" s="166" t="str">
        <f t="shared" si="49"/>
        <v>Perf-Test-User-112801@mailinator.com</v>
      </c>
      <c r="AR205" s="166" t="str">
        <f t="shared" si="50"/>
        <v>Perf-Test-User-10208@mailinator.com</v>
      </c>
    </row>
    <row r="206" spans="1:44" ht="42.75" x14ac:dyDescent="0.25">
      <c r="A206" s="167" t="s">
        <v>2185</v>
      </c>
      <c r="B206" s="167" t="s">
        <v>1355</v>
      </c>
      <c r="C206" s="167" t="s">
        <v>2138</v>
      </c>
      <c r="D206" s="167" t="s">
        <v>1988</v>
      </c>
      <c r="E206" s="167" t="s">
        <v>1958</v>
      </c>
      <c r="F206" s="167" t="s">
        <v>36</v>
      </c>
      <c r="G206" s="167" t="s">
        <v>1897</v>
      </c>
      <c r="H206" s="167" t="s">
        <v>1872</v>
      </c>
      <c r="I206" s="176" t="s">
        <v>2135</v>
      </c>
      <c r="J206" s="167" t="s">
        <v>2136</v>
      </c>
      <c r="K206" s="168" t="str">
        <f t="shared" si="51"/>
        <v>HIDDERLEY</v>
      </c>
      <c r="L206" s="168" t="str">
        <f t="shared" si="40"/>
        <v>TERRELLY</v>
      </c>
      <c r="M206" s="168">
        <f t="shared" si="41"/>
        <v>35736</v>
      </c>
      <c r="N206" s="168">
        <f t="shared" si="42"/>
        <v>23480</v>
      </c>
      <c r="O206" s="168" t="str">
        <f t="shared" si="43"/>
        <v>242597904</v>
      </c>
      <c r="P206" s="168" t="str">
        <f t="shared" si="44"/>
        <v>242597947</v>
      </c>
      <c r="Q206" s="167" t="s">
        <v>1888</v>
      </c>
      <c r="R206" s="167" t="s">
        <v>1889</v>
      </c>
      <c r="S206" s="167" t="s">
        <v>1890</v>
      </c>
      <c r="T206" s="167" t="s">
        <v>1883</v>
      </c>
      <c r="U206" s="167" t="s">
        <v>1884</v>
      </c>
      <c r="V206" s="167" t="s">
        <v>2186</v>
      </c>
      <c r="W206" s="169" t="str">
        <f t="shared" si="45"/>
        <v>UAT-WF-User77@mailinator.com</v>
      </c>
      <c r="X206" s="167" t="str">
        <f t="shared" si="46"/>
        <v>Perf-Test-User-10208@mailinator.com</v>
      </c>
      <c r="Y206" s="168" t="str">
        <f t="shared" si="47"/>
        <v>Dummy!2024</v>
      </c>
      <c r="Z206" s="168" t="str">
        <f t="shared" si="48"/>
        <v>020-8030031</v>
      </c>
      <c r="AA206" s="167" t="s">
        <v>2108</v>
      </c>
      <c r="AB206" s="167" t="s">
        <v>1853</v>
      </c>
      <c r="AQ206" s="166" t="str">
        <f t="shared" si="49"/>
        <v>UAT-WF-User77@mailinator.com</v>
      </c>
      <c r="AR206" s="166" t="str">
        <f t="shared" si="50"/>
        <v>Perf-Test-User-10208@mailinator.com</v>
      </c>
    </row>
    <row r="207" spans="1:44" ht="42.75" x14ac:dyDescent="0.25">
      <c r="A207" s="167" t="s">
        <v>2187</v>
      </c>
      <c r="B207" s="167" t="s">
        <v>1355</v>
      </c>
      <c r="C207" s="167" t="s">
        <v>2138</v>
      </c>
      <c r="D207" s="167" t="s">
        <v>1988</v>
      </c>
      <c r="E207" s="167" t="s">
        <v>1958</v>
      </c>
      <c r="F207" s="167" t="s">
        <v>79</v>
      </c>
      <c r="G207" s="167" t="s">
        <v>1897</v>
      </c>
      <c r="H207" s="167" t="s">
        <v>1872</v>
      </c>
      <c r="I207" s="176" t="s">
        <v>2150</v>
      </c>
      <c r="J207" s="167" t="s">
        <v>2136</v>
      </c>
      <c r="K207" s="168" t="str">
        <f t="shared" si="51"/>
        <v>HIDDERLEY</v>
      </c>
      <c r="L207" s="168" t="str">
        <f t="shared" si="40"/>
        <v>TERRELLY</v>
      </c>
      <c r="M207" s="168">
        <f t="shared" si="41"/>
        <v>35736</v>
      </c>
      <c r="N207" s="168">
        <f t="shared" si="42"/>
        <v>23480</v>
      </c>
      <c r="O207" s="168" t="str">
        <f t="shared" si="43"/>
        <v>242597904</v>
      </c>
      <c r="P207" s="168" t="str">
        <f t="shared" si="44"/>
        <v>242597947</v>
      </c>
      <c r="Q207" s="167" t="s">
        <v>1888</v>
      </c>
      <c r="R207" s="167" t="s">
        <v>1889</v>
      </c>
      <c r="S207" s="167" t="s">
        <v>1890</v>
      </c>
      <c r="T207" s="167"/>
      <c r="U207" s="167"/>
      <c r="V207" s="167" t="s">
        <v>2188</v>
      </c>
      <c r="W207" s="169" t="str">
        <f t="shared" si="45"/>
        <v>UAT-WF-User77@mailinator.com</v>
      </c>
      <c r="X207" s="167" t="str">
        <f t="shared" si="46"/>
        <v>Perf-Test-User-10208@mailinator.com</v>
      </c>
      <c r="Y207" s="168" t="str">
        <f t="shared" si="47"/>
        <v>Dummy!2024</v>
      </c>
      <c r="Z207" s="168" t="str">
        <f t="shared" si="48"/>
        <v>020-8030031</v>
      </c>
      <c r="AA207" s="167" t="s">
        <v>2110</v>
      </c>
      <c r="AB207" s="167" t="s">
        <v>1853</v>
      </c>
      <c r="AQ207" s="166" t="str">
        <f t="shared" si="49"/>
        <v>UAT-WF-User77@mailinator.com</v>
      </c>
      <c r="AR207" s="166" t="str">
        <f t="shared" si="50"/>
        <v>Perf-Test-User-10208@mailinator.com</v>
      </c>
    </row>
    <row r="208" spans="1:44" ht="42.75" x14ac:dyDescent="0.25">
      <c r="A208" s="167" t="s">
        <v>2189</v>
      </c>
      <c r="B208" s="167" t="s">
        <v>1355</v>
      </c>
      <c r="C208" s="167" t="s">
        <v>2140</v>
      </c>
      <c r="D208" s="167" t="s">
        <v>1988</v>
      </c>
      <c r="E208" s="167" t="s">
        <v>1958</v>
      </c>
      <c r="F208" s="167" t="s">
        <v>79</v>
      </c>
      <c r="G208" s="167" t="s">
        <v>1851</v>
      </c>
      <c r="H208" s="167"/>
      <c r="I208" s="176" t="s">
        <v>2135</v>
      </c>
      <c r="J208" s="167" t="s">
        <v>2136</v>
      </c>
      <c r="K208" s="168" t="str">
        <f t="shared" si="51"/>
        <v>HIDDERLEY</v>
      </c>
      <c r="L208" s="168" t="str">
        <f t="shared" si="40"/>
        <v>TERRELLY</v>
      </c>
      <c r="M208" s="168">
        <f t="shared" si="41"/>
        <v>35736</v>
      </c>
      <c r="N208" s="168">
        <f t="shared" si="42"/>
        <v>23480</v>
      </c>
      <c r="O208" s="168" t="str">
        <f t="shared" si="43"/>
        <v>242597904</v>
      </c>
      <c r="P208" s="168" t="str">
        <f t="shared" si="44"/>
        <v>242597947</v>
      </c>
      <c r="Q208" s="167" t="s">
        <v>1880</v>
      </c>
      <c r="R208" s="167" t="s">
        <v>1881</v>
      </c>
      <c r="S208" s="167" t="s">
        <v>1882</v>
      </c>
      <c r="T208" s="167"/>
      <c r="U208" s="167"/>
      <c r="V208" s="167" t="s">
        <v>2190</v>
      </c>
      <c r="W208" s="169" t="str">
        <f t="shared" si="45"/>
        <v>UAT-WF-User77@mailinator.com</v>
      </c>
      <c r="X208" s="167" t="str">
        <f t="shared" si="46"/>
        <v>Perf-Test-User-10208@mailinator.com</v>
      </c>
      <c r="Y208" s="168" t="str">
        <f t="shared" si="47"/>
        <v>Dummy!2024</v>
      </c>
      <c r="Z208" s="168" t="str">
        <f t="shared" si="48"/>
        <v>020-8030031</v>
      </c>
      <c r="AA208" s="175" t="s">
        <v>2112</v>
      </c>
      <c r="AB208" s="167" t="s">
        <v>1853</v>
      </c>
      <c r="AQ208" s="166" t="str">
        <f t="shared" si="49"/>
        <v>UAT-WF-User77@mailinator.com</v>
      </c>
      <c r="AR208" s="166" t="str">
        <f t="shared" si="50"/>
        <v>Perf-Test-User-10208@mailinator.com</v>
      </c>
    </row>
    <row r="209" spans="1:52" ht="42.75" x14ac:dyDescent="0.25">
      <c r="A209" s="167" t="s">
        <v>2191</v>
      </c>
      <c r="B209" s="167" t="s">
        <v>1355</v>
      </c>
      <c r="C209" s="167" t="s">
        <v>2138</v>
      </c>
      <c r="D209" s="167" t="s">
        <v>1988</v>
      </c>
      <c r="E209" s="167" t="s">
        <v>1970</v>
      </c>
      <c r="F209" s="167" t="s">
        <v>36</v>
      </c>
      <c r="G209" s="167" t="s">
        <v>1897</v>
      </c>
      <c r="H209" s="167" t="s">
        <v>1872</v>
      </c>
      <c r="I209" s="176" t="s">
        <v>2135</v>
      </c>
      <c r="J209" s="167" t="s">
        <v>2136</v>
      </c>
      <c r="K209" s="168" t="str">
        <f t="shared" si="51"/>
        <v>KASTING</v>
      </c>
      <c r="L209" s="168" t="str">
        <f t="shared" si="40"/>
        <v>SATTERTHWAITE</v>
      </c>
      <c r="M209" s="168">
        <f t="shared" si="41"/>
        <v>21248</v>
      </c>
      <c r="N209" s="168">
        <f t="shared" si="42"/>
        <v>31390</v>
      </c>
      <c r="O209" s="168" t="str">
        <f t="shared" si="43"/>
        <v>242597653</v>
      </c>
      <c r="P209" s="168" t="str">
        <f t="shared" si="44"/>
        <v>242597408</v>
      </c>
      <c r="Q209" s="167" t="s">
        <v>1888</v>
      </c>
      <c r="R209" s="167" t="s">
        <v>1889</v>
      </c>
      <c r="S209" s="167" t="s">
        <v>1890</v>
      </c>
      <c r="T209" s="167" t="s">
        <v>1883</v>
      </c>
      <c r="U209" s="167" t="s">
        <v>1884</v>
      </c>
      <c r="V209" s="167" t="s">
        <v>2192</v>
      </c>
      <c r="W209" s="169" t="str">
        <f t="shared" si="45"/>
        <v>Perf-Test-User-112801@mailinator.com</v>
      </c>
      <c r="X209" s="167" t="str">
        <f t="shared" si="46"/>
        <v>Perf-Test-User-10183@mailinator.com</v>
      </c>
      <c r="Y209" s="168" t="str">
        <f t="shared" si="47"/>
        <v>Dummy!2022</v>
      </c>
      <c r="Z209" s="168" t="str">
        <f t="shared" si="48"/>
        <v>020-8010888</v>
      </c>
      <c r="AA209" s="175" t="s">
        <v>2126</v>
      </c>
      <c r="AB209" s="167" t="s">
        <v>1853</v>
      </c>
      <c r="AQ209" s="166" t="str">
        <f t="shared" si="49"/>
        <v>Perf-Test-User-112801@mailinator.com</v>
      </c>
      <c r="AR209" s="166" t="str">
        <f t="shared" si="50"/>
        <v>Perf-Test-User-10183@mailinator.com</v>
      </c>
    </row>
    <row r="210" spans="1:52" ht="42.75" x14ac:dyDescent="0.25">
      <c r="A210" s="167" t="s">
        <v>2193</v>
      </c>
      <c r="B210" s="167" t="s">
        <v>1355</v>
      </c>
      <c r="C210" s="167" t="s">
        <v>2138</v>
      </c>
      <c r="D210" s="167" t="s">
        <v>1988</v>
      </c>
      <c r="E210" s="167" t="s">
        <v>1970</v>
      </c>
      <c r="F210" s="167" t="s">
        <v>79</v>
      </c>
      <c r="G210" s="167" t="s">
        <v>1897</v>
      </c>
      <c r="H210" s="167" t="s">
        <v>1872</v>
      </c>
      <c r="I210" s="176" t="s">
        <v>2150</v>
      </c>
      <c r="J210" s="167" t="s">
        <v>2136</v>
      </c>
      <c r="K210" s="168" t="str">
        <f t="shared" si="51"/>
        <v>KASTING</v>
      </c>
      <c r="L210" s="168" t="str">
        <f t="shared" si="40"/>
        <v>SATTERTHWAITE</v>
      </c>
      <c r="M210" s="168">
        <f t="shared" si="41"/>
        <v>21248</v>
      </c>
      <c r="N210" s="168">
        <f t="shared" si="42"/>
        <v>31390</v>
      </c>
      <c r="O210" s="168" t="str">
        <f t="shared" si="43"/>
        <v>242597653</v>
      </c>
      <c r="P210" s="168" t="str">
        <f t="shared" si="44"/>
        <v>242597408</v>
      </c>
      <c r="Q210" s="167" t="s">
        <v>1888</v>
      </c>
      <c r="R210" s="167" t="s">
        <v>1889</v>
      </c>
      <c r="S210" s="167" t="s">
        <v>1890</v>
      </c>
      <c r="T210" s="167"/>
      <c r="U210" s="167"/>
      <c r="V210" s="167" t="s">
        <v>2194</v>
      </c>
      <c r="W210" s="169" t="str">
        <f t="shared" si="45"/>
        <v>Perf-Test-User-112801@mailinator.com</v>
      </c>
      <c r="X210" s="167" t="str">
        <f t="shared" si="46"/>
        <v>Perf-Test-User-10183@mailinator.com</v>
      </c>
      <c r="Y210" s="168" t="str">
        <f t="shared" si="47"/>
        <v>Dummy!2022</v>
      </c>
      <c r="Z210" s="168" t="str">
        <f t="shared" si="48"/>
        <v>020-8010888</v>
      </c>
      <c r="AA210" s="175" t="s">
        <v>2128</v>
      </c>
      <c r="AB210" s="167" t="s">
        <v>1853</v>
      </c>
      <c r="AQ210" s="166" t="str">
        <f t="shared" si="49"/>
        <v>Perf-Test-User-112801@mailinator.com</v>
      </c>
      <c r="AR210" s="166" t="str">
        <f t="shared" si="50"/>
        <v>Perf-Test-User-10183@mailinator.com</v>
      </c>
    </row>
    <row r="211" spans="1:52" ht="42.75" x14ac:dyDescent="0.25">
      <c r="A211" s="167" t="s">
        <v>2195</v>
      </c>
      <c r="B211" s="167" t="s">
        <v>1355</v>
      </c>
      <c r="C211" s="167" t="s">
        <v>2140</v>
      </c>
      <c r="D211" s="167" t="s">
        <v>1988</v>
      </c>
      <c r="E211" s="167" t="s">
        <v>1970</v>
      </c>
      <c r="F211" s="167" t="s">
        <v>79</v>
      </c>
      <c r="G211" s="167" t="s">
        <v>1851</v>
      </c>
      <c r="H211" s="167"/>
      <c r="I211" s="176" t="s">
        <v>2135</v>
      </c>
      <c r="J211" s="167" t="s">
        <v>2136</v>
      </c>
      <c r="K211" s="168" t="str">
        <f t="shared" si="51"/>
        <v>KASTING</v>
      </c>
      <c r="L211" s="168" t="str">
        <f t="shared" si="40"/>
        <v>SATTERTHWAITE</v>
      </c>
      <c r="M211" s="168">
        <f t="shared" si="41"/>
        <v>21248</v>
      </c>
      <c r="N211" s="168">
        <f t="shared" si="42"/>
        <v>31390</v>
      </c>
      <c r="O211" s="168" t="str">
        <f t="shared" si="43"/>
        <v>242597653</v>
      </c>
      <c r="P211" s="168" t="str">
        <f t="shared" si="44"/>
        <v>242597408</v>
      </c>
      <c r="Q211" s="167" t="s">
        <v>1880</v>
      </c>
      <c r="R211" s="167" t="s">
        <v>1881</v>
      </c>
      <c r="S211" s="167" t="s">
        <v>1882</v>
      </c>
      <c r="T211" s="167"/>
      <c r="U211" s="167"/>
      <c r="V211" s="167" t="s">
        <v>2196</v>
      </c>
      <c r="W211" s="169" t="str">
        <f t="shared" si="45"/>
        <v>Perf-Test-User-112801@mailinator.com</v>
      </c>
      <c r="X211" s="167" t="str">
        <f t="shared" si="46"/>
        <v>Perf-Test-User-10183@mailinator.com</v>
      </c>
      <c r="Y211" s="168" t="str">
        <f t="shared" si="47"/>
        <v>Dummy!2022</v>
      </c>
      <c r="Z211" s="168" t="str">
        <f t="shared" si="48"/>
        <v>020-8010888</v>
      </c>
      <c r="AA211" s="175" t="s">
        <v>2130</v>
      </c>
      <c r="AB211" s="167" t="s">
        <v>1853</v>
      </c>
      <c r="AQ211" s="166" t="str">
        <f t="shared" si="49"/>
        <v>Perf-Test-User-112801@mailinator.com</v>
      </c>
      <c r="AR211" s="166" t="str">
        <f t="shared" si="50"/>
        <v>Perf-Test-User-10183@mailinator.com</v>
      </c>
    </row>
    <row r="212" spans="1:52" ht="34.15" customHeight="1" x14ac:dyDescent="0.25">
      <c r="A212" s="167" t="s">
        <v>2197</v>
      </c>
      <c r="B212" s="167" t="s">
        <v>1847</v>
      </c>
      <c r="C212" s="167" t="s">
        <v>1848</v>
      </c>
      <c r="D212" s="167" t="s">
        <v>2198</v>
      </c>
      <c r="E212" s="167" t="s">
        <v>1850</v>
      </c>
      <c r="F212" s="167" t="s">
        <v>1355</v>
      </c>
      <c r="G212" s="167" t="s">
        <v>1851</v>
      </c>
      <c r="H212" s="167" t="s">
        <v>1852</v>
      </c>
      <c r="I212" s="167">
        <v>100</v>
      </c>
      <c r="J212" s="167" t="s">
        <v>1355</v>
      </c>
      <c r="K212" s="168" t="str">
        <f>IF(W212=$AU$4, $AX$4,
IF(W212=$AU$2,$AX$2, ""))</f>
        <v>HIDDERLEY</v>
      </c>
      <c r="L212" s="168" t="str">
        <f t="shared" si="40"/>
        <v/>
      </c>
      <c r="M212" s="168">
        <f t="shared" si="41"/>
        <v>35736</v>
      </c>
      <c r="N212" s="168" t="str">
        <f t="shared" si="42"/>
        <v/>
      </c>
      <c r="O212" s="168" t="str">
        <f t="shared" si="43"/>
        <v>242597904</v>
      </c>
      <c r="P212" s="168" t="str">
        <f t="shared" si="44"/>
        <v/>
      </c>
      <c r="Q212" s="167" t="s">
        <v>1355</v>
      </c>
      <c r="R212" s="167" t="s">
        <v>1355</v>
      </c>
      <c r="S212" s="167" t="s">
        <v>1355</v>
      </c>
      <c r="T212" s="167" t="s">
        <v>1355</v>
      </c>
      <c r="U212" s="167" t="s">
        <v>1355</v>
      </c>
      <c r="V212" s="167" t="s">
        <v>1355</v>
      </c>
      <c r="W212" s="169" t="str">
        <f t="shared" si="45"/>
        <v>UAT-WF-User77@mailinator.com</v>
      </c>
      <c r="X212" s="167" t="str">
        <f t="shared" si="46"/>
        <v/>
      </c>
      <c r="Y212" s="168" t="str">
        <f t="shared" si="47"/>
        <v>Dummy!2024</v>
      </c>
      <c r="Z212" s="168" t="str">
        <f t="shared" si="48"/>
        <v>020-8030031</v>
      </c>
      <c r="AA212" s="167"/>
      <c r="AB212" s="167" t="s">
        <v>1853</v>
      </c>
      <c r="AL212" s="166" t="str">
        <f>IF(W212=$AU$4, $AV$4,
IF(W212=$AU$2,$AV$2, ""))</f>
        <v>242597904</v>
      </c>
      <c r="AQ212" s="166" t="str">
        <f t="shared" si="49"/>
        <v>UAT-WF-User77@mailinator.com</v>
      </c>
      <c r="AR212" s="166" t="str">
        <f t="shared" si="50"/>
        <v/>
      </c>
      <c r="AU212" s="170" t="s">
        <v>81</v>
      </c>
      <c r="AV212" s="173" t="s">
        <v>2199</v>
      </c>
      <c r="AW212" s="172">
        <v>36305</v>
      </c>
      <c r="AX212" s="166" t="s">
        <v>2200</v>
      </c>
      <c r="AY212" s="166" t="s">
        <v>82</v>
      </c>
      <c r="AZ212" s="166" t="s">
        <v>64</v>
      </c>
    </row>
    <row r="213" spans="1:52" ht="42.75" x14ac:dyDescent="0.25">
      <c r="A213" s="167" t="s">
        <v>2201</v>
      </c>
      <c r="B213" s="167" t="s">
        <v>1858</v>
      </c>
      <c r="C213" s="167" t="s">
        <v>1848</v>
      </c>
      <c r="D213" s="167" t="s">
        <v>2202</v>
      </c>
      <c r="E213" s="167" t="s">
        <v>1941</v>
      </c>
      <c r="F213" s="167"/>
      <c r="G213" s="167" t="s">
        <v>1852</v>
      </c>
      <c r="H213" s="167" t="s">
        <v>1852</v>
      </c>
      <c r="I213" s="167"/>
      <c r="J213" s="167"/>
      <c r="K213" s="168" t="str">
        <f t="shared" ref="K213:K217" si="52">IF(W213=$AU$4, $AX$4,
IF(W213=$AU$2,$AX$2, ""))</f>
        <v>KASTING</v>
      </c>
      <c r="L213" s="168" t="str">
        <f t="shared" si="40"/>
        <v>TERRELLY</v>
      </c>
      <c r="M213" s="168">
        <f t="shared" si="41"/>
        <v>21248</v>
      </c>
      <c r="N213" s="168">
        <f t="shared" si="42"/>
        <v>23480</v>
      </c>
      <c r="O213" s="168" t="str">
        <f t="shared" si="43"/>
        <v>242597653</v>
      </c>
      <c r="P213" s="168" t="str">
        <f t="shared" si="44"/>
        <v>242597947</v>
      </c>
      <c r="Q213" s="167"/>
      <c r="R213" s="167"/>
      <c r="S213" s="167"/>
      <c r="T213" s="167"/>
      <c r="U213" s="167"/>
      <c r="V213" s="167"/>
      <c r="W213" s="169" t="str">
        <f t="shared" si="45"/>
        <v>Perf-Test-User-112801@mailinator.com</v>
      </c>
      <c r="X213" s="167" t="str">
        <f t="shared" si="46"/>
        <v>Perf-Test-User-10208@mailinator.com</v>
      </c>
      <c r="Y213" s="168" t="str">
        <f t="shared" si="47"/>
        <v>Dummy!2022</v>
      </c>
      <c r="Z213" s="168" t="str">
        <f t="shared" si="48"/>
        <v>020-8010888</v>
      </c>
      <c r="AA213" s="167" t="s">
        <v>1998</v>
      </c>
      <c r="AB213" s="167" t="s">
        <v>1853</v>
      </c>
      <c r="AQ213" s="166" t="str">
        <f t="shared" si="49"/>
        <v>Perf-Test-User-112801@mailinator.com</v>
      </c>
      <c r="AR213" s="166" t="str">
        <f t="shared" si="50"/>
        <v>Perf-Test-User-10208@mailinator.com</v>
      </c>
    </row>
    <row r="214" spans="1:52" ht="42.75" x14ac:dyDescent="0.25">
      <c r="A214" s="167" t="s">
        <v>2203</v>
      </c>
      <c r="B214" s="167" t="s">
        <v>1355</v>
      </c>
      <c r="C214" s="167" t="s">
        <v>1863</v>
      </c>
      <c r="D214" s="167" t="s">
        <v>2202</v>
      </c>
      <c r="E214" s="167" t="s">
        <v>1958</v>
      </c>
      <c r="F214" s="167"/>
      <c r="G214" s="167" t="s">
        <v>1859</v>
      </c>
      <c r="H214" s="167" t="s">
        <v>1865</v>
      </c>
      <c r="I214" s="167"/>
      <c r="J214" s="167"/>
      <c r="K214" s="168" t="str">
        <f t="shared" si="52"/>
        <v>HIDDERLEY</v>
      </c>
      <c r="L214" s="168" t="str">
        <f t="shared" si="40"/>
        <v>TERRELLY</v>
      </c>
      <c r="M214" s="168">
        <f t="shared" si="41"/>
        <v>35736</v>
      </c>
      <c r="N214" s="168">
        <f t="shared" si="42"/>
        <v>23480</v>
      </c>
      <c r="O214" s="168" t="str">
        <f t="shared" si="43"/>
        <v>242597904</v>
      </c>
      <c r="P214" s="168" t="str">
        <f t="shared" si="44"/>
        <v>242597947</v>
      </c>
      <c r="Q214" s="167"/>
      <c r="R214" s="167"/>
      <c r="S214" s="167"/>
      <c r="T214" s="167"/>
      <c r="U214" s="167"/>
      <c r="V214" s="167"/>
      <c r="W214" s="169" t="str">
        <f t="shared" si="45"/>
        <v>UAT-WF-User77@mailinator.com</v>
      </c>
      <c r="X214" s="167" t="str">
        <f t="shared" si="46"/>
        <v>Perf-Test-User-10208@mailinator.com</v>
      </c>
      <c r="Y214" s="168" t="str">
        <f t="shared" si="47"/>
        <v>Dummy!2024</v>
      </c>
      <c r="Z214" s="168" t="str">
        <f t="shared" si="48"/>
        <v>020-8030031</v>
      </c>
      <c r="AA214" s="167" t="s">
        <v>2020</v>
      </c>
      <c r="AB214" s="167" t="s">
        <v>1853</v>
      </c>
      <c r="AQ214" s="166" t="str">
        <f t="shared" si="49"/>
        <v>UAT-WF-User77@mailinator.com</v>
      </c>
      <c r="AR214" s="166" t="str">
        <f t="shared" si="50"/>
        <v>Perf-Test-User-10208@mailinator.com</v>
      </c>
    </row>
    <row r="215" spans="1:52" ht="42.75" x14ac:dyDescent="0.25">
      <c r="A215" s="167" t="s">
        <v>2204</v>
      </c>
      <c r="B215" s="167" t="s">
        <v>1355</v>
      </c>
      <c r="C215" s="167" t="s">
        <v>1863</v>
      </c>
      <c r="D215" s="167" t="s">
        <v>2205</v>
      </c>
      <c r="E215" s="167" t="s">
        <v>1900</v>
      </c>
      <c r="F215" s="167"/>
      <c r="G215" s="167" t="s">
        <v>1852</v>
      </c>
      <c r="H215" s="167" t="s">
        <v>1865</v>
      </c>
      <c r="I215" s="167"/>
      <c r="J215" s="167"/>
      <c r="K215" s="168" t="str">
        <f t="shared" si="52"/>
        <v>KASTING</v>
      </c>
      <c r="L215" s="168" t="str">
        <f t="shared" si="40"/>
        <v/>
      </c>
      <c r="M215" s="168">
        <f t="shared" si="41"/>
        <v>21248</v>
      </c>
      <c r="N215" s="168" t="str">
        <f t="shared" si="42"/>
        <v/>
      </c>
      <c r="O215" s="168" t="str">
        <f t="shared" si="43"/>
        <v>242597653</v>
      </c>
      <c r="P215" s="168" t="str">
        <f t="shared" si="44"/>
        <v/>
      </c>
      <c r="Q215" s="167"/>
      <c r="R215" s="167"/>
      <c r="S215" s="167"/>
      <c r="T215" s="167"/>
      <c r="U215" s="167"/>
      <c r="V215" s="167"/>
      <c r="W215" s="169" t="str">
        <f t="shared" si="45"/>
        <v>Perf-Test-User-112801@mailinator.com</v>
      </c>
      <c r="X215" s="167" t="str">
        <f t="shared" si="46"/>
        <v/>
      </c>
      <c r="Y215" s="168" t="str">
        <f t="shared" si="47"/>
        <v>Dummy!2022</v>
      </c>
      <c r="Z215" s="168" t="str">
        <f t="shared" si="48"/>
        <v>020-8010888</v>
      </c>
      <c r="AA215" s="167" t="s">
        <v>1928</v>
      </c>
      <c r="AB215" s="167" t="s">
        <v>1853</v>
      </c>
      <c r="AQ215" s="166" t="str">
        <f t="shared" si="49"/>
        <v>Perf-Test-User-112801@mailinator.com</v>
      </c>
      <c r="AR215" s="166" t="str">
        <f t="shared" si="50"/>
        <v/>
      </c>
    </row>
    <row r="216" spans="1:52" ht="42.75" x14ac:dyDescent="0.25">
      <c r="A216" s="167" t="s">
        <v>2206</v>
      </c>
      <c r="B216" s="167" t="s">
        <v>1355</v>
      </c>
      <c r="C216" s="167" t="s">
        <v>1863</v>
      </c>
      <c r="D216" s="167" t="s">
        <v>2207</v>
      </c>
      <c r="E216" s="167" t="s">
        <v>1938</v>
      </c>
      <c r="F216" s="167"/>
      <c r="G216" s="167" t="s">
        <v>1859</v>
      </c>
      <c r="H216" s="167" t="s">
        <v>1865</v>
      </c>
      <c r="I216" s="167"/>
      <c r="J216" s="167"/>
      <c r="K216" s="168" t="str">
        <f t="shared" si="52"/>
        <v>HIDDERLEY</v>
      </c>
      <c r="L216" s="168" t="str">
        <f t="shared" si="40"/>
        <v>SATTERTHWAITE</v>
      </c>
      <c r="M216" s="168">
        <f t="shared" si="41"/>
        <v>35736</v>
      </c>
      <c r="N216" s="168">
        <f t="shared" si="42"/>
        <v>31390</v>
      </c>
      <c r="O216" s="168" t="str">
        <f t="shared" si="43"/>
        <v>242597904</v>
      </c>
      <c r="P216" s="168" t="str">
        <f t="shared" si="44"/>
        <v>242597408</v>
      </c>
      <c r="Q216" s="167"/>
      <c r="R216" s="167"/>
      <c r="S216" s="167"/>
      <c r="T216" s="167"/>
      <c r="U216" s="167"/>
      <c r="V216" s="167"/>
      <c r="W216" s="169" t="str">
        <f t="shared" si="45"/>
        <v>UAT-WF-User77@mailinator.com</v>
      </c>
      <c r="X216" s="167" t="str">
        <f t="shared" si="46"/>
        <v>Perf-Test-User-10183@mailinator.com</v>
      </c>
      <c r="Y216" s="168" t="str">
        <f t="shared" si="47"/>
        <v>Dummy!2024</v>
      </c>
      <c r="Z216" s="168" t="str">
        <f t="shared" si="48"/>
        <v>020-8030031</v>
      </c>
      <c r="AA216" s="167"/>
      <c r="AB216" s="167" t="s">
        <v>1853</v>
      </c>
      <c r="AQ216" s="166" t="str">
        <f t="shared" si="49"/>
        <v>UAT-WF-User77@mailinator.com</v>
      </c>
      <c r="AR216" s="166" t="str">
        <f t="shared" si="50"/>
        <v>Perf-Test-User-10183@mailinator.com</v>
      </c>
    </row>
    <row r="217" spans="1:52" ht="42.75" x14ac:dyDescent="0.25">
      <c r="A217" s="167" t="s">
        <v>2208</v>
      </c>
      <c r="B217" s="167" t="s">
        <v>1355</v>
      </c>
      <c r="C217" s="167" t="s">
        <v>1886</v>
      </c>
      <c r="D217" s="167" t="s">
        <v>2207</v>
      </c>
      <c r="E217" s="167" t="s">
        <v>1970</v>
      </c>
      <c r="F217" s="167" t="s">
        <v>79</v>
      </c>
      <c r="G217" s="167" t="s">
        <v>1871</v>
      </c>
      <c r="H217" s="167" t="s">
        <v>1852</v>
      </c>
      <c r="I217" s="167"/>
      <c r="J217" s="167"/>
      <c r="K217" s="168" t="str">
        <f t="shared" si="52"/>
        <v>KASTING</v>
      </c>
      <c r="L217" s="168" t="str">
        <f t="shared" si="40"/>
        <v>SATTERTHWAITE</v>
      </c>
      <c r="M217" s="168">
        <f t="shared" si="41"/>
        <v>21248</v>
      </c>
      <c r="N217" s="168">
        <f t="shared" si="42"/>
        <v>31390</v>
      </c>
      <c r="O217" s="168" t="str">
        <f t="shared" si="43"/>
        <v>242597653</v>
      </c>
      <c r="P217" s="168" t="str">
        <f t="shared" si="44"/>
        <v>242597408</v>
      </c>
      <c r="Q217" s="167" t="s">
        <v>1880</v>
      </c>
      <c r="R217" s="167" t="s">
        <v>1881</v>
      </c>
      <c r="S217" s="167" t="s">
        <v>1882</v>
      </c>
      <c r="T217" s="167" t="s">
        <v>1883</v>
      </c>
      <c r="U217" s="167" t="s">
        <v>1884</v>
      </c>
      <c r="V217" s="167"/>
      <c r="W217" s="169" t="str">
        <f t="shared" si="45"/>
        <v>Perf-Test-User-112801@mailinator.com</v>
      </c>
      <c r="X217" s="167" t="str">
        <f t="shared" si="46"/>
        <v>Perf-Test-User-10183@mailinator.com</v>
      </c>
      <c r="Y217" s="168" t="str">
        <f t="shared" si="47"/>
        <v>Dummy!2022</v>
      </c>
      <c r="Z217" s="168" t="str">
        <f t="shared" si="48"/>
        <v>020-8010888</v>
      </c>
      <c r="AA217" s="167" t="s">
        <v>1978</v>
      </c>
      <c r="AB217" s="167" t="s">
        <v>1853</v>
      </c>
      <c r="AQ217" s="166" t="str">
        <f t="shared" si="49"/>
        <v>Perf-Test-User-112801@mailinator.com</v>
      </c>
      <c r="AR217" s="166" t="str">
        <f t="shared" si="50"/>
        <v>Perf-Test-User-10183@mailinator.com</v>
      </c>
    </row>
    <row r="219" spans="1:52" ht="42.75" x14ac:dyDescent="0.25">
      <c r="A219" s="167" t="s">
        <v>2209</v>
      </c>
      <c r="B219" s="167" t="s">
        <v>2210</v>
      </c>
      <c r="C219" s="167" t="s">
        <v>24</v>
      </c>
      <c r="D219" s="167" t="s">
        <v>1923</v>
      </c>
      <c r="E219" s="167" t="s">
        <v>1850</v>
      </c>
      <c r="F219" s="167" t="s">
        <v>1355</v>
      </c>
      <c r="G219" s="167" t="s">
        <v>1887</v>
      </c>
      <c r="H219" s="167"/>
      <c r="I219" s="167"/>
      <c r="J219" s="167" t="s">
        <v>1355</v>
      </c>
      <c r="K219" s="168" t="str">
        <f t="shared" ref="K219" si="53">IF(W219=$AU$4, $AX$4,
IF(W219=$AU$2,$AX$2, ""))</f>
        <v>HIDDERLEY</v>
      </c>
      <c r="L219" s="168" t="str">
        <f t="shared" ref="L219" si="54">IF(X219=$AU$5, $AX$5,
IF(X219=$AU$3,$AX$3, ""))</f>
        <v/>
      </c>
      <c r="M219" s="168">
        <f t="shared" ref="M219" si="55">IF(W219=$AU$4, $AW$4,
IF(W219=$AU$2,$AW$2, ""))</f>
        <v>35736</v>
      </c>
      <c r="N219" s="168" t="str">
        <f t="shared" ref="N219" si="56">IF(X219=$AU$5, $AW$5,
IF(X219=$AU$3,$AW$3, ""))</f>
        <v/>
      </c>
      <c r="O219" s="168" t="str">
        <f t="shared" ref="O219" si="57">IF(W219=$AU$4, $AV$4,
IF(W219=$AU$2,$AV$2, ""))</f>
        <v>242597904</v>
      </c>
      <c r="P219" s="168" t="str">
        <f t="shared" ref="P219" si="58">IF(X219=$AU$5, $AV$5,
IF(X219=$AU$3,$AV$3, ""))</f>
        <v/>
      </c>
      <c r="Q219" s="167" t="s">
        <v>1355</v>
      </c>
      <c r="R219" s="167" t="s">
        <v>1355</v>
      </c>
      <c r="S219" s="167" t="s">
        <v>1355</v>
      </c>
      <c r="T219" s="167" t="s">
        <v>1355</v>
      </c>
      <c r="U219" s="167" t="s">
        <v>1355</v>
      </c>
      <c r="V219" s="167" t="s">
        <v>1355</v>
      </c>
      <c r="W219" s="169" t="str">
        <f>IF(E219="Y", $AU$4,#REF!
                                                                                                                                                                                                                                                                IF(E219="N",$AU$2,
IF(E219="Y,Y",  $AU$4,
IF(E219="N,N",$AU$2,
IF(E219="Y,N", $AU$4,
IF(E219="N,Y", $AU$2, ""))))))</f>
        <v>UAT-WF-User77@mailinator.com</v>
      </c>
      <c r="X219" s="167" t="str">
        <f t="shared" ref="X219" si="59">IF(E219="Y,Y", $AU$5,
IF(E219="N,N", $AU$3,
IF(E219="Y,N", $AU$3,
IF(E219="N,Y",$AU$5, ""))))</f>
        <v/>
      </c>
      <c r="Y219" s="168" t="str">
        <f t="shared" ref="Y219" si="60">IF(W219=$AU$2, $AZ$2,
IF(W219=$AU$4,$AZ$4, ""))</f>
        <v>Dummy!2024</v>
      </c>
      <c r="Z219" s="168" t="str">
        <f t="shared" ref="Z219" si="61">IF(W219=$AU$4, $AY$4,
IF(W219=$AU$2,$AY$2, ""))</f>
        <v>020-8030031</v>
      </c>
      <c r="AA219" s="167"/>
      <c r="AB219" s="167" t="s">
        <v>1853</v>
      </c>
      <c r="AQ219" s="166" t="str">
        <f t="shared" ref="AQ219" si="62">IF(E219="Y", $AU$4,
IF(E219="N",$AU$2,
IF(E219="Y,Y",  $AU$4,
IF(E219="N,N",$AU$2,
IF(E219="Y,N", $AU$4,
IF(E219="N,Y", $AU$2, ""))))))</f>
        <v>UAT-WF-User77@mailinator.com</v>
      </c>
      <c r="AR219" s="166" t="str">
        <f t="shared" ref="AR219" si="63">IF(E219="Y,Y", $AU$5,
IF(E219="N,N", $AU$3,
IF(E219="Y,N", $AU$3,
IF(E219="N,Y",$AU$5, ""))))</f>
        <v/>
      </c>
    </row>
    <row r="220" spans="1:52" ht="28.5" x14ac:dyDescent="0.25">
      <c r="A220" s="167" t="s">
        <v>2211</v>
      </c>
      <c r="B220" s="167" t="s">
        <v>1847</v>
      </c>
      <c r="C220" s="167" t="s">
        <v>1848</v>
      </c>
      <c r="D220" s="167" t="s">
        <v>1849</v>
      </c>
      <c r="E220" s="167" t="s">
        <v>1900</v>
      </c>
      <c r="F220" s="167" t="s">
        <v>1355</v>
      </c>
      <c r="G220" s="167" t="s">
        <v>1864</v>
      </c>
      <c r="H220" s="167" t="s">
        <v>1852</v>
      </c>
      <c r="I220" s="167"/>
      <c r="J220" s="167" t="s">
        <v>1355</v>
      </c>
      <c r="K220" s="166" t="s">
        <v>2212</v>
      </c>
      <c r="M220" s="177" t="s">
        <v>2213</v>
      </c>
      <c r="O220" s="173" t="s">
        <v>2214</v>
      </c>
      <c r="W220" s="170" t="s">
        <v>171</v>
      </c>
      <c r="Y220" s="166" t="s">
        <v>64</v>
      </c>
      <c r="Z220" s="166" t="s">
        <v>172</v>
      </c>
    </row>
    <row r="221" spans="1:52" x14ac:dyDescent="0.25">
      <c r="A221" s="167" t="s">
        <v>2215</v>
      </c>
      <c r="B221" s="167" t="s">
        <v>1847</v>
      </c>
      <c r="C221" s="167" t="s">
        <v>1848</v>
      </c>
      <c r="D221" s="167" t="s">
        <v>1849</v>
      </c>
      <c r="E221" s="167" t="s">
        <v>1900</v>
      </c>
      <c r="F221" s="167" t="s">
        <v>1355</v>
      </c>
      <c r="G221" s="167" t="s">
        <v>1864</v>
      </c>
      <c r="H221" s="167" t="s">
        <v>1852</v>
      </c>
      <c r="I221" s="167"/>
      <c r="J221" s="167" t="s">
        <v>1355</v>
      </c>
      <c r="K221" s="166" t="s">
        <v>2212</v>
      </c>
      <c r="M221" s="177" t="s">
        <v>2213</v>
      </c>
      <c r="O221" s="173" t="s">
        <v>2216</v>
      </c>
      <c r="W221" s="170" t="s">
        <v>171</v>
      </c>
      <c r="Y221" s="166" t="s">
        <v>64</v>
      </c>
      <c r="Z221" s="166" t="s">
        <v>172</v>
      </c>
    </row>
    <row r="222" spans="1:52" ht="28.5" x14ac:dyDescent="0.25">
      <c r="A222" s="167" t="s">
        <v>2217</v>
      </c>
      <c r="B222" s="167" t="s">
        <v>1847</v>
      </c>
      <c r="C222" s="167" t="s">
        <v>1848</v>
      </c>
      <c r="D222" s="167" t="s">
        <v>1849</v>
      </c>
      <c r="E222" s="167" t="s">
        <v>1900</v>
      </c>
      <c r="F222" s="167" t="s">
        <v>1355</v>
      </c>
      <c r="G222" s="167" t="s">
        <v>1864</v>
      </c>
      <c r="H222" s="167" t="s">
        <v>1852</v>
      </c>
      <c r="I222" s="167"/>
      <c r="J222" s="167" t="s">
        <v>1355</v>
      </c>
      <c r="K222" s="166" t="s">
        <v>2218</v>
      </c>
      <c r="M222" s="177" t="s">
        <v>2219</v>
      </c>
      <c r="O222" s="173" t="s">
        <v>2220</v>
      </c>
      <c r="W222" s="170" t="s">
        <v>1775</v>
      </c>
      <c r="Y222" s="166" t="s">
        <v>64</v>
      </c>
      <c r="Z222" s="166" t="s">
        <v>2221</v>
      </c>
    </row>
    <row r="223" spans="1:52" ht="31.15" customHeight="1" x14ac:dyDescent="0.25">
      <c r="A223" s="167" t="s">
        <v>2222</v>
      </c>
      <c r="B223" s="167" t="s">
        <v>1847</v>
      </c>
      <c r="C223" s="167" t="s">
        <v>1848</v>
      </c>
      <c r="D223" s="167" t="s">
        <v>1937</v>
      </c>
      <c r="E223" s="167" t="s">
        <v>1958</v>
      </c>
      <c r="F223" s="167"/>
      <c r="G223" s="167" t="s">
        <v>1852</v>
      </c>
      <c r="H223" s="167" t="s">
        <v>1852</v>
      </c>
      <c r="K223" s="166" t="s">
        <v>2223</v>
      </c>
      <c r="L223" s="166" t="s">
        <v>2224</v>
      </c>
      <c r="M223" s="168" t="s">
        <v>1045</v>
      </c>
      <c r="N223" s="168">
        <v>34395</v>
      </c>
      <c r="O223" s="173" t="s">
        <v>2225</v>
      </c>
      <c r="P223" s="173" t="s">
        <v>2226</v>
      </c>
      <c r="W223" s="170" t="s">
        <v>2227</v>
      </c>
      <c r="X223" s="170" t="s">
        <v>2228</v>
      </c>
      <c r="Y223" s="166" t="s">
        <v>1386</v>
      </c>
      <c r="Z223" s="166" t="s">
        <v>2229</v>
      </c>
    </row>
    <row r="224" spans="1:52" ht="31.15" customHeight="1" x14ac:dyDescent="0.25">
      <c r="A224" s="167" t="s">
        <v>2230</v>
      </c>
      <c r="B224" s="167" t="s">
        <v>1847</v>
      </c>
      <c r="C224" s="167" t="s">
        <v>1848</v>
      </c>
      <c r="D224" s="167" t="s">
        <v>1937</v>
      </c>
      <c r="E224" s="167" t="s">
        <v>1958</v>
      </c>
      <c r="F224" s="167"/>
      <c r="G224" s="167" t="s">
        <v>1852</v>
      </c>
      <c r="H224" s="167" t="s">
        <v>1852</v>
      </c>
      <c r="K224" s="166" t="s">
        <v>2223</v>
      </c>
      <c r="L224" s="166" t="s">
        <v>2224</v>
      </c>
      <c r="M224" s="168" t="s">
        <v>1045</v>
      </c>
      <c r="N224" s="168">
        <v>34395</v>
      </c>
      <c r="O224" s="173" t="s">
        <v>2225</v>
      </c>
      <c r="P224" s="173" t="s">
        <v>2231</v>
      </c>
      <c r="W224" s="170" t="s">
        <v>2227</v>
      </c>
      <c r="X224" s="170" t="s">
        <v>2228</v>
      </c>
      <c r="Y224" s="166" t="s">
        <v>1386</v>
      </c>
      <c r="Z224" s="166" t="s">
        <v>2229</v>
      </c>
    </row>
    <row r="225" spans="1:26" ht="31.15" customHeight="1" x14ac:dyDescent="0.25">
      <c r="A225" s="167" t="s">
        <v>2232</v>
      </c>
      <c r="B225" s="167" t="s">
        <v>1847</v>
      </c>
      <c r="C225" s="167" t="s">
        <v>1848</v>
      </c>
      <c r="D225" s="167" t="s">
        <v>1988</v>
      </c>
      <c r="E225" s="167" t="s">
        <v>1941</v>
      </c>
      <c r="F225" s="167"/>
      <c r="G225" s="167" t="s">
        <v>1852</v>
      </c>
      <c r="H225" s="167" t="s">
        <v>1852</v>
      </c>
      <c r="K225" s="166" t="s">
        <v>1778</v>
      </c>
      <c r="L225" s="166" t="s">
        <v>2233</v>
      </c>
      <c r="M225" s="168" t="s">
        <v>1774</v>
      </c>
      <c r="N225" s="168">
        <v>33634</v>
      </c>
      <c r="O225" s="173" t="s">
        <v>2220</v>
      </c>
      <c r="P225" s="173" t="s">
        <v>2234</v>
      </c>
      <c r="W225" s="170" t="s">
        <v>1775</v>
      </c>
      <c r="X225" s="170" t="s">
        <v>2228</v>
      </c>
      <c r="Y225" s="166" t="s">
        <v>64</v>
      </c>
      <c r="Z225" s="166" t="s">
        <v>2229</v>
      </c>
    </row>
    <row r="226" spans="1:26" ht="28.5" x14ac:dyDescent="0.25">
      <c r="A226" s="167" t="s">
        <v>2235</v>
      </c>
      <c r="B226" s="167" t="s">
        <v>1847</v>
      </c>
      <c r="C226" s="167" t="s">
        <v>1848</v>
      </c>
      <c r="D226" s="167" t="s">
        <v>1988</v>
      </c>
      <c r="E226" s="167" t="s">
        <v>1941</v>
      </c>
      <c r="F226" s="167"/>
      <c r="G226" s="167" t="s">
        <v>1852</v>
      </c>
      <c r="H226" s="167" t="s">
        <v>1852</v>
      </c>
      <c r="K226" s="166" t="s">
        <v>1778</v>
      </c>
      <c r="L226" s="166" t="s">
        <v>2233</v>
      </c>
      <c r="M226" s="168" t="s">
        <v>1774</v>
      </c>
      <c r="N226" s="168">
        <v>33634</v>
      </c>
      <c r="O226" s="173" t="s">
        <v>2236</v>
      </c>
      <c r="P226" s="173" t="s">
        <v>2234</v>
      </c>
      <c r="W226" s="170" t="s">
        <v>1775</v>
      </c>
      <c r="X226" s="170" t="s">
        <v>2228</v>
      </c>
      <c r="Y226" s="166" t="s">
        <v>64</v>
      </c>
      <c r="Z226" s="166" t="s">
        <v>2229</v>
      </c>
    </row>
    <row r="227" spans="1:26" ht="28.5" x14ac:dyDescent="0.25">
      <c r="A227" s="167" t="s">
        <v>2237</v>
      </c>
      <c r="B227" s="167" t="s">
        <v>1847</v>
      </c>
      <c r="C227" s="167" t="s">
        <v>1848</v>
      </c>
      <c r="D227" s="167" t="s">
        <v>1988</v>
      </c>
      <c r="E227" s="167" t="s">
        <v>1941</v>
      </c>
      <c r="F227" s="167"/>
      <c r="G227" s="167" t="s">
        <v>1852</v>
      </c>
      <c r="H227" s="167" t="s">
        <v>1852</v>
      </c>
      <c r="K227" s="166" t="s">
        <v>1778</v>
      </c>
      <c r="L227" s="166" t="s">
        <v>2233</v>
      </c>
      <c r="M227" s="168" t="s">
        <v>1774</v>
      </c>
      <c r="N227" s="168">
        <v>33634</v>
      </c>
      <c r="O227" s="173" t="s">
        <v>2220</v>
      </c>
      <c r="P227" s="173" t="s">
        <v>2234</v>
      </c>
      <c r="W227" s="170" t="s">
        <v>1775</v>
      </c>
      <c r="X227" s="170" t="s">
        <v>2228</v>
      </c>
      <c r="Y227" s="166" t="s">
        <v>64</v>
      </c>
      <c r="Z227" s="166" t="s">
        <v>2229</v>
      </c>
    </row>
    <row r="228" spans="1:26" ht="28.5" x14ac:dyDescent="0.25">
      <c r="A228" s="167" t="s">
        <v>2238</v>
      </c>
      <c r="B228" s="167" t="s">
        <v>1847</v>
      </c>
      <c r="C228" s="167" t="s">
        <v>1848</v>
      </c>
      <c r="D228" s="167" t="s">
        <v>1849</v>
      </c>
      <c r="E228" s="167" t="s">
        <v>1900</v>
      </c>
      <c r="F228" s="167" t="s">
        <v>1355</v>
      </c>
      <c r="G228" s="167" t="s">
        <v>1864</v>
      </c>
      <c r="H228" s="167" t="s">
        <v>1852</v>
      </c>
      <c r="I228" s="167"/>
      <c r="J228" s="167" t="s">
        <v>1355</v>
      </c>
      <c r="K228" s="166" t="s">
        <v>2218</v>
      </c>
      <c r="M228" s="177" t="s">
        <v>2219</v>
      </c>
      <c r="O228" s="173" t="s">
        <v>2220</v>
      </c>
      <c r="W228" s="170" t="s">
        <v>1775</v>
      </c>
      <c r="Y228" s="166" t="s">
        <v>64</v>
      </c>
      <c r="Z228" s="166" t="s">
        <v>2221</v>
      </c>
    </row>
    <row r="229" spans="1:26" ht="28.5" x14ac:dyDescent="0.25">
      <c r="A229" s="167" t="s">
        <v>2239</v>
      </c>
      <c r="B229" s="167" t="s">
        <v>1847</v>
      </c>
      <c r="C229" s="167" t="s">
        <v>1848</v>
      </c>
      <c r="D229" s="167" t="s">
        <v>1849</v>
      </c>
      <c r="E229" s="167" t="s">
        <v>1900</v>
      </c>
      <c r="F229" s="167" t="s">
        <v>1355</v>
      </c>
      <c r="G229" s="167" t="s">
        <v>1864</v>
      </c>
      <c r="H229" s="167" t="s">
        <v>1852</v>
      </c>
      <c r="I229" s="167"/>
      <c r="J229" s="167" t="s">
        <v>1355</v>
      </c>
      <c r="K229" s="166" t="s">
        <v>2212</v>
      </c>
      <c r="M229" s="177" t="s">
        <v>2240</v>
      </c>
      <c r="O229" s="173" t="s">
        <v>2241</v>
      </c>
      <c r="W229" s="170" t="s">
        <v>171</v>
      </c>
      <c r="Y229" s="166" t="s">
        <v>64</v>
      </c>
      <c r="Z229" s="166" t="s">
        <v>172</v>
      </c>
    </row>
    <row r="230" spans="1:26" ht="28.5" x14ac:dyDescent="0.25">
      <c r="A230" s="167" t="s">
        <v>2242</v>
      </c>
      <c r="B230" s="167" t="s">
        <v>1847</v>
      </c>
      <c r="C230" s="167" t="s">
        <v>1848</v>
      </c>
      <c r="D230" s="167" t="s">
        <v>1849</v>
      </c>
      <c r="E230" s="167" t="s">
        <v>1900</v>
      </c>
      <c r="F230" s="167" t="s">
        <v>1355</v>
      </c>
      <c r="G230" s="167" t="s">
        <v>1864</v>
      </c>
      <c r="H230" s="167" t="s">
        <v>1852</v>
      </c>
      <c r="I230" s="167"/>
      <c r="J230" s="167" t="s">
        <v>1355</v>
      </c>
      <c r="K230" s="166" t="s">
        <v>2218</v>
      </c>
      <c r="M230" s="177" t="s">
        <v>2219</v>
      </c>
      <c r="O230" s="173" t="s">
        <v>2243</v>
      </c>
      <c r="W230" s="170" t="s">
        <v>1775</v>
      </c>
      <c r="Y230" s="166" t="s">
        <v>64</v>
      </c>
      <c r="Z230" s="166" t="s">
        <v>2221</v>
      </c>
    </row>
    <row r="231" spans="1:26" ht="28.5" x14ac:dyDescent="0.25">
      <c r="A231" s="167" t="s">
        <v>2244</v>
      </c>
      <c r="B231" s="167" t="s">
        <v>1847</v>
      </c>
      <c r="C231" s="167" t="s">
        <v>1848</v>
      </c>
      <c r="D231" s="167" t="s">
        <v>1849</v>
      </c>
      <c r="E231" s="167" t="s">
        <v>1900</v>
      </c>
      <c r="F231" s="167" t="s">
        <v>1355</v>
      </c>
      <c r="G231" s="167" t="s">
        <v>1864</v>
      </c>
      <c r="H231" s="167" t="s">
        <v>1852</v>
      </c>
      <c r="I231" s="167"/>
      <c r="J231" s="167" t="s">
        <v>1355</v>
      </c>
      <c r="K231" s="166" t="s">
        <v>2212</v>
      </c>
      <c r="M231" s="177" t="s">
        <v>2213</v>
      </c>
      <c r="O231" s="173" t="s">
        <v>2241</v>
      </c>
      <c r="W231" s="170" t="s">
        <v>2245</v>
      </c>
      <c r="Y231" s="166" t="s">
        <v>64</v>
      </c>
      <c r="Z231" s="166" t="s">
        <v>2221</v>
      </c>
    </row>
    <row r="232" spans="1:26" ht="28.5" x14ac:dyDescent="0.25">
      <c r="A232" s="167" t="s">
        <v>2246</v>
      </c>
      <c r="B232" s="167" t="s">
        <v>1847</v>
      </c>
      <c r="C232" s="167" t="s">
        <v>1876</v>
      </c>
      <c r="D232" s="167" t="s">
        <v>1849</v>
      </c>
      <c r="E232" s="167" t="s">
        <v>1900</v>
      </c>
      <c r="F232" s="167" t="s">
        <v>1355</v>
      </c>
      <c r="G232" s="167" t="s">
        <v>1864</v>
      </c>
      <c r="H232" s="167" t="s">
        <v>1852</v>
      </c>
      <c r="I232" s="167"/>
      <c r="J232" s="167" t="s">
        <v>1878</v>
      </c>
      <c r="K232" s="166" t="s">
        <v>2212</v>
      </c>
      <c r="M232" s="177" t="s">
        <v>2213</v>
      </c>
      <c r="O232" s="173" t="s">
        <v>2241</v>
      </c>
      <c r="Q232" s="166" t="s">
        <v>2247</v>
      </c>
      <c r="R232" s="166" t="s">
        <v>2248</v>
      </c>
      <c r="S232" s="166" t="s">
        <v>2249</v>
      </c>
      <c r="T232" s="166" t="s">
        <v>1883</v>
      </c>
      <c r="U232" s="166" t="s">
        <v>1884</v>
      </c>
      <c r="V232" s="166" t="s">
        <v>2250</v>
      </c>
      <c r="W232" s="170" t="s">
        <v>2245</v>
      </c>
      <c r="Y232" s="166" t="s">
        <v>64</v>
      </c>
      <c r="Z232" s="166" t="s">
        <v>2221</v>
      </c>
    </row>
    <row r="233" spans="1:26" ht="28.5" x14ac:dyDescent="0.25">
      <c r="A233" s="167" t="s">
        <v>2251</v>
      </c>
      <c r="B233" s="167" t="s">
        <v>1847</v>
      </c>
      <c r="C233" s="167" t="s">
        <v>1876</v>
      </c>
      <c r="D233" s="167" t="s">
        <v>1849</v>
      </c>
      <c r="E233" s="167" t="s">
        <v>1900</v>
      </c>
      <c r="F233" s="167" t="s">
        <v>79</v>
      </c>
      <c r="G233" s="167" t="s">
        <v>1864</v>
      </c>
      <c r="H233" s="167" t="s">
        <v>1852</v>
      </c>
      <c r="I233" s="167"/>
      <c r="J233" s="167" t="s">
        <v>1878</v>
      </c>
      <c r="K233" s="166" t="s">
        <v>2212</v>
      </c>
      <c r="M233" s="177" t="s">
        <v>2213</v>
      </c>
      <c r="O233" s="173" t="s">
        <v>2241</v>
      </c>
      <c r="Q233" s="166" t="s">
        <v>2247</v>
      </c>
      <c r="R233" s="166" t="s">
        <v>2248</v>
      </c>
      <c r="S233" s="166" t="s">
        <v>2252</v>
      </c>
      <c r="T233" s="166" t="s">
        <v>1883</v>
      </c>
      <c r="U233" s="166" t="s">
        <v>1884</v>
      </c>
      <c r="V233" s="166" t="s">
        <v>2250</v>
      </c>
      <c r="W233" s="170" t="s">
        <v>1775</v>
      </c>
      <c r="Y233" s="166" t="s">
        <v>64</v>
      </c>
      <c r="Z233" s="166" t="s">
        <v>2221</v>
      </c>
    </row>
    <row r="234" spans="1:26" ht="28.5" x14ac:dyDescent="0.25">
      <c r="A234" s="167" t="s">
        <v>2253</v>
      </c>
      <c r="B234" s="167" t="s">
        <v>1847</v>
      </c>
      <c r="C234" s="167" t="s">
        <v>1848</v>
      </c>
      <c r="D234" s="167" t="s">
        <v>1988</v>
      </c>
      <c r="E234" s="167" t="s">
        <v>1941</v>
      </c>
      <c r="F234" s="167" t="s">
        <v>1355</v>
      </c>
      <c r="G234" s="167" t="s">
        <v>1864</v>
      </c>
      <c r="H234" s="167" t="s">
        <v>1852</v>
      </c>
      <c r="I234" s="167"/>
      <c r="J234" s="167" t="s">
        <v>1355</v>
      </c>
      <c r="K234" s="166" t="s">
        <v>2212</v>
      </c>
      <c r="L234" s="166" t="s">
        <v>2212</v>
      </c>
      <c r="M234" s="177" t="s">
        <v>2213</v>
      </c>
      <c r="N234" s="177" t="s">
        <v>2213</v>
      </c>
      <c r="O234" s="173" t="s">
        <v>2241</v>
      </c>
      <c r="P234" s="173" t="s">
        <v>2241</v>
      </c>
      <c r="W234" s="170" t="s">
        <v>171</v>
      </c>
      <c r="X234" s="170" t="s">
        <v>171</v>
      </c>
      <c r="Y234" s="166" t="s">
        <v>64</v>
      </c>
      <c r="Z234" s="166" t="s">
        <v>172</v>
      </c>
    </row>
    <row r="235" spans="1:26" ht="28.5" x14ac:dyDescent="0.25">
      <c r="A235" s="167" t="s">
        <v>2254</v>
      </c>
      <c r="B235" s="167" t="s">
        <v>1847</v>
      </c>
      <c r="C235" s="167" t="s">
        <v>1848</v>
      </c>
      <c r="D235" s="167" t="s">
        <v>1988</v>
      </c>
      <c r="E235" s="167" t="s">
        <v>1941</v>
      </c>
      <c r="F235" s="167" t="s">
        <v>1355</v>
      </c>
      <c r="G235" s="167" t="s">
        <v>1864</v>
      </c>
      <c r="H235" s="167" t="s">
        <v>1852</v>
      </c>
      <c r="I235" s="167"/>
      <c r="J235" s="167" t="s">
        <v>1355</v>
      </c>
      <c r="K235" s="166" t="s">
        <v>2212</v>
      </c>
      <c r="L235" s="166" t="s">
        <v>2223</v>
      </c>
      <c r="M235" s="177" t="s">
        <v>2255</v>
      </c>
      <c r="N235" s="177" t="s">
        <v>2256</v>
      </c>
      <c r="O235" s="173" t="s">
        <v>2241</v>
      </c>
      <c r="P235" s="173" t="s">
        <v>2225</v>
      </c>
      <c r="W235" s="170" t="s">
        <v>171</v>
      </c>
      <c r="X235" s="170" t="s">
        <v>2228</v>
      </c>
      <c r="Y235" s="166" t="s">
        <v>64</v>
      </c>
      <c r="Z235" s="166" t="s">
        <v>172</v>
      </c>
    </row>
    <row r="236" spans="1:26" ht="42.75" x14ac:dyDescent="0.25">
      <c r="A236" s="167" t="s">
        <v>2257</v>
      </c>
      <c r="B236" s="167" t="s">
        <v>1847</v>
      </c>
      <c r="C236" s="167" t="s">
        <v>1848</v>
      </c>
      <c r="D236" s="167" t="s">
        <v>1988</v>
      </c>
      <c r="E236" s="167" t="s">
        <v>1941</v>
      </c>
      <c r="F236" s="167" t="s">
        <v>1355</v>
      </c>
      <c r="G236" s="167" t="s">
        <v>1864</v>
      </c>
      <c r="H236" s="167" t="s">
        <v>1852</v>
      </c>
      <c r="I236" s="167"/>
      <c r="J236" s="167" t="s">
        <v>1355</v>
      </c>
      <c r="K236" s="166" t="s">
        <v>2212</v>
      </c>
      <c r="L236" s="166" t="s">
        <v>2223</v>
      </c>
      <c r="M236" s="177" t="s">
        <v>2213</v>
      </c>
      <c r="N236" s="177" t="s">
        <v>2213</v>
      </c>
      <c r="O236" s="173" t="s">
        <v>2258</v>
      </c>
      <c r="P236" s="173" t="s">
        <v>2259</v>
      </c>
      <c r="W236" s="170" t="s">
        <v>171</v>
      </c>
      <c r="X236" s="170" t="s">
        <v>2228</v>
      </c>
      <c r="Y236" s="166" t="s">
        <v>64</v>
      </c>
      <c r="Z236" s="166" t="s">
        <v>172</v>
      </c>
    </row>
    <row r="237" spans="1:26" ht="28.5" x14ac:dyDescent="0.25">
      <c r="A237" s="167" t="s">
        <v>2260</v>
      </c>
      <c r="B237" s="167" t="s">
        <v>1847</v>
      </c>
      <c r="C237" s="167" t="s">
        <v>1848</v>
      </c>
      <c r="D237" s="167" t="s">
        <v>1988</v>
      </c>
      <c r="E237" s="167" t="s">
        <v>1941</v>
      </c>
      <c r="F237" s="167" t="s">
        <v>1355</v>
      </c>
      <c r="G237" s="167" t="s">
        <v>1864</v>
      </c>
      <c r="H237" s="167" t="s">
        <v>1852</v>
      </c>
      <c r="I237" s="167"/>
      <c r="J237" s="167" t="s">
        <v>1355</v>
      </c>
      <c r="K237" s="166" t="s">
        <v>2212</v>
      </c>
      <c r="L237" s="166" t="s">
        <v>2223</v>
      </c>
      <c r="M237" s="177" t="s">
        <v>2213</v>
      </c>
      <c r="N237" s="177" t="s">
        <v>2213</v>
      </c>
      <c r="O237" s="173" t="s">
        <v>2241</v>
      </c>
      <c r="P237" s="173" t="s">
        <v>2225</v>
      </c>
      <c r="W237" s="170" t="s">
        <v>2261</v>
      </c>
      <c r="X237" s="170" t="s">
        <v>2262</v>
      </c>
      <c r="Y237" s="166" t="s">
        <v>64</v>
      </c>
      <c r="Z237" s="166" t="s">
        <v>172</v>
      </c>
    </row>
    <row r="238" spans="1:26" ht="28.5" x14ac:dyDescent="0.25">
      <c r="A238" s="167" t="s">
        <v>2263</v>
      </c>
      <c r="B238" s="167" t="s">
        <v>1847</v>
      </c>
      <c r="C238" s="167" t="s">
        <v>1848</v>
      </c>
      <c r="D238" s="167" t="s">
        <v>1923</v>
      </c>
      <c r="E238" s="167" t="s">
        <v>1900</v>
      </c>
      <c r="F238" s="167" t="s">
        <v>1355</v>
      </c>
      <c r="G238" s="167" t="s">
        <v>1864</v>
      </c>
      <c r="H238" s="167" t="s">
        <v>1852</v>
      </c>
      <c r="I238" s="178" t="s">
        <v>1641</v>
      </c>
      <c r="J238" s="167" t="s">
        <v>1355</v>
      </c>
      <c r="K238" s="166" t="s">
        <v>2212</v>
      </c>
      <c r="M238" s="177" t="s">
        <v>2213</v>
      </c>
      <c r="N238" s="177"/>
      <c r="O238" s="173" t="s">
        <v>2241</v>
      </c>
      <c r="P238" s="173"/>
      <c r="W238" s="170" t="s">
        <v>171</v>
      </c>
      <c r="X238" s="170"/>
      <c r="Y238" s="166" t="s">
        <v>64</v>
      </c>
      <c r="Z238" s="166" t="s">
        <v>172</v>
      </c>
    </row>
    <row r="239" spans="1:26" ht="28.5" x14ac:dyDescent="0.25">
      <c r="A239" s="167" t="s">
        <v>2264</v>
      </c>
      <c r="B239" s="167" t="s">
        <v>1847</v>
      </c>
      <c r="C239" s="167" t="s">
        <v>1848</v>
      </c>
      <c r="D239" s="179" t="s">
        <v>1937</v>
      </c>
      <c r="E239" s="167" t="s">
        <v>1938</v>
      </c>
      <c r="F239" s="167"/>
      <c r="G239" s="167" t="s">
        <v>1852</v>
      </c>
      <c r="H239" s="167" t="s">
        <v>1852</v>
      </c>
      <c r="K239" s="166" t="s">
        <v>2212</v>
      </c>
      <c r="L239" s="166" t="s">
        <v>2212</v>
      </c>
      <c r="M239" s="177" t="s">
        <v>2213</v>
      </c>
      <c r="N239" s="177" t="s">
        <v>2213</v>
      </c>
      <c r="O239" s="173" t="s">
        <v>2241</v>
      </c>
      <c r="P239" s="173" t="s">
        <v>2241</v>
      </c>
      <c r="W239" s="170" t="s">
        <v>171</v>
      </c>
      <c r="X239" s="170" t="s">
        <v>171</v>
      </c>
      <c r="Y239" s="166" t="s">
        <v>64</v>
      </c>
      <c r="Z239" s="166" t="s">
        <v>172</v>
      </c>
    </row>
    <row r="240" spans="1:26" ht="28.5" x14ac:dyDescent="0.25">
      <c r="A240" s="167" t="s">
        <v>2265</v>
      </c>
      <c r="B240" s="167" t="s">
        <v>1847</v>
      </c>
      <c r="C240" s="167" t="s">
        <v>1848</v>
      </c>
      <c r="D240" s="179" t="s">
        <v>1937</v>
      </c>
      <c r="E240" s="167" t="s">
        <v>1938</v>
      </c>
      <c r="F240" s="167"/>
      <c r="G240" s="167" t="s">
        <v>1852</v>
      </c>
      <c r="H240" s="167" t="s">
        <v>1852</v>
      </c>
      <c r="K240" s="166" t="s">
        <v>2212</v>
      </c>
      <c r="L240" s="166" t="s">
        <v>2223</v>
      </c>
      <c r="M240" s="177" t="s">
        <v>2213</v>
      </c>
      <c r="N240" s="177" t="s">
        <v>2266</v>
      </c>
      <c r="O240" s="173" t="s">
        <v>2241</v>
      </c>
      <c r="P240" s="173" t="s">
        <v>2225</v>
      </c>
      <c r="W240" s="170" t="s">
        <v>171</v>
      </c>
      <c r="X240" s="170" t="s">
        <v>2228</v>
      </c>
      <c r="Y240" s="166" t="s">
        <v>64</v>
      </c>
      <c r="Z240" s="166" t="s">
        <v>172</v>
      </c>
    </row>
    <row r="241" spans="1:50" ht="28.5" x14ac:dyDescent="0.25">
      <c r="A241" s="167" t="s">
        <v>2267</v>
      </c>
      <c r="B241" s="167" t="s">
        <v>1847</v>
      </c>
      <c r="C241" s="167" t="s">
        <v>1848</v>
      </c>
      <c r="D241" s="179" t="s">
        <v>1937</v>
      </c>
      <c r="E241" s="167" t="s">
        <v>1938</v>
      </c>
      <c r="F241" s="167"/>
      <c r="G241" s="167" t="s">
        <v>1852</v>
      </c>
      <c r="H241" s="167" t="s">
        <v>1852</v>
      </c>
      <c r="K241" s="166" t="s">
        <v>2212</v>
      </c>
      <c r="L241" s="166" t="s">
        <v>2223</v>
      </c>
      <c r="M241" s="177" t="s">
        <v>2213</v>
      </c>
      <c r="N241" s="177" t="s">
        <v>2268</v>
      </c>
      <c r="O241" s="173" t="s">
        <v>2241</v>
      </c>
      <c r="P241" s="173" t="s">
        <v>2225</v>
      </c>
      <c r="W241" s="170" t="s">
        <v>171</v>
      </c>
      <c r="X241" s="170" t="s">
        <v>2228</v>
      </c>
      <c r="Y241" s="166" t="s">
        <v>64</v>
      </c>
      <c r="Z241" s="166" t="s">
        <v>172</v>
      </c>
    </row>
    <row r="242" spans="1:50" ht="42.75" x14ac:dyDescent="0.25">
      <c r="A242" s="167" t="s">
        <v>2269</v>
      </c>
      <c r="B242" s="167" t="s">
        <v>1847</v>
      </c>
      <c r="C242" s="167" t="s">
        <v>1848</v>
      </c>
      <c r="D242" s="179" t="s">
        <v>1937</v>
      </c>
      <c r="E242" s="167" t="s">
        <v>1938</v>
      </c>
      <c r="F242" s="167"/>
      <c r="G242" s="167" t="s">
        <v>1852</v>
      </c>
      <c r="H242" s="167" t="s">
        <v>1852</v>
      </c>
      <c r="K242" s="166" t="s">
        <v>2212</v>
      </c>
      <c r="L242" s="166" t="s">
        <v>2223</v>
      </c>
      <c r="M242" s="177" t="s">
        <v>2213</v>
      </c>
      <c r="N242" s="177" t="s">
        <v>2213</v>
      </c>
      <c r="O242" s="173" t="s">
        <v>2241</v>
      </c>
      <c r="P242" s="173" t="s">
        <v>2270</v>
      </c>
      <c r="W242" s="170" t="s">
        <v>171</v>
      </c>
      <c r="X242" s="170" t="s">
        <v>2228</v>
      </c>
      <c r="Y242" s="166" t="s">
        <v>64</v>
      </c>
      <c r="Z242" s="166" t="s">
        <v>172</v>
      </c>
    </row>
    <row r="243" spans="1:50" ht="42.75" x14ac:dyDescent="0.25">
      <c r="A243" s="167" t="s">
        <v>2271</v>
      </c>
      <c r="B243" s="167" t="s">
        <v>1847</v>
      </c>
      <c r="C243" s="167" t="s">
        <v>1848</v>
      </c>
      <c r="D243" s="179" t="s">
        <v>1937</v>
      </c>
      <c r="E243" s="167" t="s">
        <v>1938</v>
      </c>
      <c r="F243" s="167"/>
      <c r="G243" s="167" t="s">
        <v>1852</v>
      </c>
      <c r="H243" s="167" t="s">
        <v>1852</v>
      </c>
      <c r="K243" s="166" t="s">
        <v>2212</v>
      </c>
      <c r="L243" s="166" t="s">
        <v>2223</v>
      </c>
      <c r="M243" s="177" t="s">
        <v>2213</v>
      </c>
      <c r="N243" s="177" t="s">
        <v>2213</v>
      </c>
      <c r="O243" s="173" t="s">
        <v>2241</v>
      </c>
      <c r="P243" s="173" t="s">
        <v>2225</v>
      </c>
      <c r="W243" s="170" t="s">
        <v>171</v>
      </c>
      <c r="X243" s="170" t="s">
        <v>2262</v>
      </c>
      <c r="Y243" s="166" t="s">
        <v>64</v>
      </c>
      <c r="Z243" s="166" t="s">
        <v>172</v>
      </c>
    </row>
    <row r="244" spans="1:50" ht="42" customHeight="1" x14ac:dyDescent="0.25">
      <c r="A244" s="167" t="s">
        <v>2251</v>
      </c>
      <c r="B244" s="167" t="s">
        <v>1847</v>
      </c>
      <c r="C244" s="167" t="s">
        <v>1876</v>
      </c>
      <c r="D244" s="167" t="s">
        <v>1849</v>
      </c>
      <c r="E244" s="167" t="s">
        <v>1900</v>
      </c>
      <c r="F244" s="167" t="s">
        <v>79</v>
      </c>
      <c r="G244" s="167" t="s">
        <v>1864</v>
      </c>
      <c r="H244" s="167" t="s">
        <v>1852</v>
      </c>
      <c r="J244" s="166" t="s">
        <v>2272</v>
      </c>
      <c r="K244" s="166" t="s">
        <v>2212</v>
      </c>
      <c r="M244" s="177" t="s">
        <v>2213</v>
      </c>
      <c r="N244" s="180" t="s">
        <v>2273</v>
      </c>
      <c r="O244" s="173" t="s">
        <v>2241</v>
      </c>
      <c r="Q244" s="167" t="s">
        <v>1880</v>
      </c>
      <c r="R244" s="167" t="s">
        <v>1881</v>
      </c>
      <c r="S244" s="167" t="s">
        <v>1882</v>
      </c>
      <c r="T244" s="167" t="s">
        <v>1883</v>
      </c>
      <c r="U244" s="167" t="s">
        <v>1884</v>
      </c>
      <c r="V244" s="167" t="s">
        <v>1885</v>
      </c>
      <c r="W244" s="170" t="s">
        <v>171</v>
      </c>
      <c r="Y244" s="166" t="s">
        <v>64</v>
      </c>
      <c r="Z244" s="166" t="s">
        <v>172</v>
      </c>
    </row>
    <row r="245" spans="1:50" ht="28.5" x14ac:dyDescent="0.25">
      <c r="A245" s="167" t="s">
        <v>2274</v>
      </c>
      <c r="B245" s="167" t="s">
        <v>1847</v>
      </c>
      <c r="C245" s="167" t="s">
        <v>1848</v>
      </c>
      <c r="D245" s="167" t="s">
        <v>1923</v>
      </c>
      <c r="E245" s="167" t="s">
        <v>1900</v>
      </c>
      <c r="F245" s="167"/>
      <c r="G245" s="167" t="s">
        <v>1893</v>
      </c>
      <c r="H245" s="167" t="s">
        <v>1852</v>
      </c>
      <c r="I245" s="176" t="s">
        <v>2275</v>
      </c>
      <c r="K245" s="166" t="s">
        <v>2212</v>
      </c>
      <c r="M245" s="177" t="s">
        <v>2213</v>
      </c>
      <c r="O245" s="173" t="s">
        <v>2241</v>
      </c>
      <c r="W245" s="170" t="s">
        <v>171</v>
      </c>
      <c r="Y245" s="166" t="s">
        <v>64</v>
      </c>
      <c r="Z245" s="166" t="s">
        <v>172</v>
      </c>
    </row>
    <row r="246" spans="1:50" ht="28.5" x14ac:dyDescent="0.25">
      <c r="A246" s="167" t="s">
        <v>2276</v>
      </c>
      <c r="B246" s="167" t="s">
        <v>1847</v>
      </c>
      <c r="C246" s="167" t="s">
        <v>1848</v>
      </c>
      <c r="D246" s="167" t="s">
        <v>1923</v>
      </c>
      <c r="E246" s="167" t="s">
        <v>1900</v>
      </c>
      <c r="F246" s="167"/>
      <c r="G246" s="167" t="s">
        <v>1893</v>
      </c>
      <c r="H246" s="167" t="s">
        <v>1852</v>
      </c>
      <c r="I246" s="176" t="s">
        <v>2277</v>
      </c>
      <c r="K246" s="166" t="s">
        <v>2212</v>
      </c>
      <c r="M246" s="177" t="s">
        <v>2213</v>
      </c>
      <c r="O246" s="173" t="s">
        <v>2241</v>
      </c>
      <c r="W246" s="170" t="s">
        <v>171</v>
      </c>
      <c r="Y246" s="166" t="s">
        <v>64</v>
      </c>
      <c r="Z246" s="166" t="s">
        <v>172</v>
      </c>
    </row>
    <row r="247" spans="1:50" ht="28.5" x14ac:dyDescent="0.25">
      <c r="A247" s="167" t="s">
        <v>2278</v>
      </c>
      <c r="B247" s="167" t="s">
        <v>1847</v>
      </c>
      <c r="C247" s="167" t="s">
        <v>24</v>
      </c>
      <c r="D247" s="167" t="s">
        <v>1923</v>
      </c>
      <c r="E247" s="167" t="s">
        <v>1900</v>
      </c>
      <c r="F247" s="167"/>
      <c r="G247" s="167" t="s">
        <v>1893</v>
      </c>
      <c r="H247" s="167" t="s">
        <v>1852</v>
      </c>
      <c r="I247" s="176" t="s">
        <v>1641</v>
      </c>
      <c r="K247" s="166" t="s">
        <v>2212</v>
      </c>
      <c r="M247" s="177" t="s">
        <v>2213</v>
      </c>
      <c r="O247" s="173" t="s">
        <v>2241</v>
      </c>
      <c r="W247" s="170" t="s">
        <v>171</v>
      </c>
      <c r="Y247" s="166" t="s">
        <v>64</v>
      </c>
      <c r="Z247" s="166" t="s">
        <v>172</v>
      </c>
    </row>
    <row r="248" spans="1:50" ht="28.5" x14ac:dyDescent="0.25">
      <c r="A248" s="167" t="s">
        <v>2279</v>
      </c>
      <c r="B248" s="167" t="s">
        <v>1847</v>
      </c>
      <c r="C248" s="167" t="s">
        <v>24</v>
      </c>
      <c r="D248" s="167" t="s">
        <v>1923</v>
      </c>
      <c r="E248" s="167" t="s">
        <v>1900</v>
      </c>
      <c r="F248" s="167"/>
      <c r="G248" s="167" t="s">
        <v>1893</v>
      </c>
      <c r="H248" s="167" t="s">
        <v>1852</v>
      </c>
      <c r="I248" s="176" t="s">
        <v>2280</v>
      </c>
      <c r="K248" s="166" t="s">
        <v>2212</v>
      </c>
      <c r="M248" s="177" t="s">
        <v>2213</v>
      </c>
      <c r="O248" s="173" t="s">
        <v>2241</v>
      </c>
      <c r="W248" s="170" t="s">
        <v>171</v>
      </c>
      <c r="Y248" s="166" t="s">
        <v>64</v>
      </c>
      <c r="Z248" s="166" t="s">
        <v>172</v>
      </c>
    </row>
    <row r="249" spans="1:50" ht="42.75" x14ac:dyDescent="0.25">
      <c r="A249" s="167" t="s">
        <v>2281</v>
      </c>
      <c r="B249" s="167" t="s">
        <v>1847</v>
      </c>
      <c r="C249" s="167" t="s">
        <v>24</v>
      </c>
      <c r="D249" s="167" t="s">
        <v>1937</v>
      </c>
      <c r="E249" s="167" t="s">
        <v>1958</v>
      </c>
      <c r="F249" s="167" t="s">
        <v>79</v>
      </c>
      <c r="G249" s="167" t="s">
        <v>1851</v>
      </c>
      <c r="H249" s="167"/>
      <c r="I249" s="176" t="s">
        <v>2282</v>
      </c>
      <c r="J249" s="167" t="s">
        <v>2136</v>
      </c>
      <c r="K249" s="168" t="str">
        <f t="shared" ref="K249" si="64">IF(W249=$AU$4, $AX$4,
IF(W249=$AU$2,$AX$2, ""))</f>
        <v>HIDDERLEY</v>
      </c>
      <c r="L249" s="168" t="str">
        <f t="shared" ref="L249" si="65">IF(X249=$AU$5, $AX$5,
IF(X249=$AU$3,$AX$3, ""))</f>
        <v>TERRELLY</v>
      </c>
      <c r="M249" s="168">
        <f t="shared" ref="M249" si="66">IF(W249=$AU$4, $AW$4,
IF(W249=$AU$2,$AW$2, ""))</f>
        <v>35736</v>
      </c>
      <c r="N249" s="168">
        <f t="shared" ref="N249" si="67">IF(X249=$AU$5, $AW$5,
IF(X249=$AU$3,$AW$3, ""))</f>
        <v>23480</v>
      </c>
      <c r="O249" s="168" t="str">
        <f t="shared" ref="O249" si="68">IF(W249=$AU$4, $AV$4,
IF(W249=$AU$2,$AV$2, ""))</f>
        <v>242597904</v>
      </c>
      <c r="P249" s="168" t="str">
        <f t="shared" ref="P249" si="69">IF(X249=$AU$5, $AV$5,
IF(X249=$AU$3,$AV$3, ""))</f>
        <v>242597947</v>
      </c>
      <c r="Q249" s="167" t="s">
        <v>1880</v>
      </c>
      <c r="R249" s="167" t="s">
        <v>1881</v>
      </c>
      <c r="S249" s="167" t="s">
        <v>1882</v>
      </c>
      <c r="T249" s="167"/>
      <c r="U249" s="167"/>
      <c r="V249" s="167"/>
      <c r="W249" s="169" t="str">
        <f t="shared" ref="W249" si="70">IF(E249="Y", $AU$4,
IF(E249="N",$AU$2,
IF(E249="Y,Y",  $AU$4,
IF(E249="N,N",$AU$2,
IF(E249="Y,N", $AU$4,
IF(E249="N,Y", $AU$2, ""))))))</f>
        <v>UAT-WF-User77@mailinator.com</v>
      </c>
      <c r="X249" s="167" t="str">
        <f t="shared" ref="X249" si="71">IF(E249="Y,Y", $AU$5,
IF(E249="N,N", $AU$3,
IF(E249="Y,N", $AU$3,
IF(E249="N,Y",$AU$5, ""))))</f>
        <v>Perf-Test-User-10208@mailinator.com</v>
      </c>
      <c r="Y249" s="168" t="str">
        <f t="shared" ref="Y249" si="72">IF(W249=$AU$2, $AZ$2,
IF(W249=$AU$4,$AZ$4, ""))</f>
        <v>Dummy!2024</v>
      </c>
      <c r="Z249" s="168" t="str">
        <f t="shared" ref="Z249" si="73">IF(W249=$AU$4, $AY$4,
IF(W249=$AU$2,$AY$2, ""))</f>
        <v>020-8030031</v>
      </c>
      <c r="AA249" s="175" t="s">
        <v>2112</v>
      </c>
      <c r="AB249" s="167" t="s">
        <v>1853</v>
      </c>
      <c r="AQ249" s="166" t="str">
        <f t="shared" ref="AQ249" si="74">IF(E249="Y", $AU$4,
IF(E249="N",$AU$2,
IF(E249="Y,Y",  $AU$4,
IF(E249="N,N",$AU$2,
IF(E249="Y,N", $AU$4,
IF(E249="N,Y", $AU$2, ""))))))</f>
        <v>UAT-WF-User77@mailinator.com</v>
      </c>
      <c r="AR249" s="166" t="str">
        <f t="shared" ref="AR249" si="75">IF(E249="Y,Y", $AU$5,
IF(E249="N,N", $AU$3,
IF(E249="Y,N", $AU$3,
IF(E249="N,Y",$AU$5, ""))))</f>
        <v>Perf-Test-User-10208@mailinator.com</v>
      </c>
    </row>
    <row r="250" spans="1:50" x14ac:dyDescent="0.25">
      <c r="A250" s="167" t="s">
        <v>2283</v>
      </c>
      <c r="B250" s="167" t="s">
        <v>1847</v>
      </c>
      <c r="C250" s="167" t="s">
        <v>1848</v>
      </c>
      <c r="D250" s="179" t="s">
        <v>1937</v>
      </c>
      <c r="E250" s="167" t="s">
        <v>1938</v>
      </c>
      <c r="F250" s="167"/>
      <c r="G250" s="167" t="s">
        <v>1852</v>
      </c>
      <c r="H250" s="167" t="s">
        <v>1852</v>
      </c>
      <c r="I250" s="176" t="s">
        <v>1641</v>
      </c>
      <c r="K250" s="166" t="s">
        <v>2212</v>
      </c>
      <c r="L250" s="174" t="s">
        <v>2284</v>
      </c>
      <c r="M250" s="177" t="s">
        <v>2213</v>
      </c>
      <c r="N250" s="181" t="s">
        <v>2285</v>
      </c>
      <c r="O250" s="171" t="s">
        <v>2241</v>
      </c>
      <c r="P250" s="171" t="s">
        <v>2286</v>
      </c>
      <c r="W250" s="170" t="s">
        <v>171</v>
      </c>
      <c r="X250" s="170" t="s">
        <v>2228</v>
      </c>
      <c r="Y250" s="166" t="s">
        <v>64</v>
      </c>
      <c r="Z250" s="166" t="s">
        <v>172</v>
      </c>
    </row>
    <row r="251" spans="1:50" ht="28.5" x14ac:dyDescent="0.25">
      <c r="A251" s="167" t="s">
        <v>2287</v>
      </c>
      <c r="B251" s="167" t="s">
        <v>1847</v>
      </c>
      <c r="C251" s="167" t="s">
        <v>1876</v>
      </c>
      <c r="D251" s="167" t="s">
        <v>1923</v>
      </c>
      <c r="E251" s="167" t="s">
        <v>1900</v>
      </c>
      <c r="F251" s="167" t="s">
        <v>79</v>
      </c>
      <c r="G251" s="167" t="s">
        <v>1864</v>
      </c>
      <c r="H251" s="167" t="s">
        <v>1852</v>
      </c>
      <c r="J251" s="166" t="s">
        <v>2272</v>
      </c>
      <c r="K251" s="166" t="s">
        <v>2212</v>
      </c>
      <c r="M251" s="177" t="s">
        <v>2213</v>
      </c>
      <c r="N251" s="168" t="s">
        <v>2288</v>
      </c>
      <c r="O251" s="173" t="s">
        <v>2241</v>
      </c>
      <c r="Q251" s="167" t="s">
        <v>1880</v>
      </c>
      <c r="R251" s="167" t="s">
        <v>1881</v>
      </c>
      <c r="S251" s="167" t="s">
        <v>1882</v>
      </c>
      <c r="T251" s="167" t="s">
        <v>1883</v>
      </c>
      <c r="U251" s="167" t="s">
        <v>1884</v>
      </c>
      <c r="V251" s="167" t="s">
        <v>1885</v>
      </c>
      <c r="W251" s="170" t="s">
        <v>171</v>
      </c>
      <c r="Y251" s="166" t="s">
        <v>64</v>
      </c>
      <c r="Z251" s="166" t="s">
        <v>172</v>
      </c>
    </row>
    <row r="252" spans="1:50" ht="28.5" x14ac:dyDescent="0.25">
      <c r="A252" s="167" t="s">
        <v>2289</v>
      </c>
      <c r="B252" s="167" t="s">
        <v>1847</v>
      </c>
      <c r="C252" s="167" t="s">
        <v>1876</v>
      </c>
      <c r="D252" s="167" t="s">
        <v>1923</v>
      </c>
      <c r="E252" s="167" t="s">
        <v>1850</v>
      </c>
      <c r="F252" s="167" t="s">
        <v>36</v>
      </c>
      <c r="G252" s="167" t="s">
        <v>1871</v>
      </c>
      <c r="H252" s="167"/>
      <c r="J252" s="166" t="s">
        <v>2272</v>
      </c>
      <c r="K252" s="166" t="s">
        <v>2212</v>
      </c>
      <c r="M252" s="177" t="s">
        <v>2255</v>
      </c>
      <c r="N252" s="182" t="s">
        <v>2290</v>
      </c>
      <c r="O252" s="173" t="s">
        <v>2241</v>
      </c>
      <c r="Q252" s="167" t="s">
        <v>1880</v>
      </c>
      <c r="R252" s="167" t="s">
        <v>1881</v>
      </c>
      <c r="S252" s="167" t="s">
        <v>1882</v>
      </c>
      <c r="T252" s="167" t="s">
        <v>1883</v>
      </c>
      <c r="U252" s="167" t="s">
        <v>1884</v>
      </c>
      <c r="V252" s="167" t="s">
        <v>1885</v>
      </c>
      <c r="W252" s="170" t="s">
        <v>171</v>
      </c>
      <c r="Y252" s="166" t="s">
        <v>64</v>
      </c>
      <c r="Z252" s="166" t="s">
        <v>172</v>
      </c>
    </row>
    <row r="253" spans="1:50" ht="42.75" x14ac:dyDescent="0.25">
      <c r="A253" s="167" t="s">
        <v>2291</v>
      </c>
      <c r="B253" s="167" t="s">
        <v>1847</v>
      </c>
      <c r="C253" s="167" t="s">
        <v>2292</v>
      </c>
      <c r="D253" s="167" t="s">
        <v>1849</v>
      </c>
      <c r="E253" s="167" t="s">
        <v>1900</v>
      </c>
      <c r="F253" s="167"/>
      <c r="G253" s="167" t="s">
        <v>1864</v>
      </c>
      <c r="H253" s="167" t="s">
        <v>1852</v>
      </c>
      <c r="I253" s="167"/>
      <c r="J253" s="167"/>
      <c r="K253" s="168" t="str">
        <f t="shared" ref="K253" si="76">IF(W253=$AU$4, $AX$4,
IF(W253=$AU$2,$AX$2, ""))</f>
        <v>KASTING</v>
      </c>
      <c r="L253" s="168" t="str">
        <f t="shared" ref="L253:L263" si="77">IF(X253=$AU$5, $AX$5,
IF(X253=$AU$3,$AX$3, ""))</f>
        <v/>
      </c>
      <c r="M253" s="168">
        <f t="shared" ref="M253:M263" si="78">IF(W253=$AU$4, $AW$4,
IF(W253=$AU$2,$AW$2, ""))</f>
        <v>21248</v>
      </c>
      <c r="N253" s="168" t="str">
        <f t="shared" ref="N253:N263" si="79">IF(X253=$AU$5, $AW$5,
IF(X253=$AU$3,$AW$3, ""))</f>
        <v/>
      </c>
      <c r="O253" s="168" t="str">
        <f t="shared" ref="O253:O263" si="80">IF(W253=$AU$4, $AV$4,
IF(W253=$AU$2,$AV$2, ""))</f>
        <v>242597653</v>
      </c>
      <c r="P253" s="168" t="str">
        <f t="shared" ref="P253:P263" si="81">IF(X253=$AU$5, $AV$5,
IF(X253=$AU$3,$AV$3, ""))</f>
        <v/>
      </c>
      <c r="Q253" s="167"/>
      <c r="R253" s="167"/>
      <c r="S253" s="167"/>
      <c r="T253" s="167"/>
      <c r="U253" s="167"/>
      <c r="V253" s="167"/>
      <c r="W253" s="169" t="str">
        <f t="shared" ref="W253:W263" si="82">IF(E253="Y", $AU$4,
IF(E253="N",$AU$2,
IF(E253="Y,Y",  $AU$4,
IF(E253="N,N",$AU$2,
IF(E253="Y,N", $AU$4,
IF(E253="N,Y", $AU$2, ""))))))</f>
        <v>Perf-Test-User-112801@mailinator.com</v>
      </c>
      <c r="X253" s="167" t="str">
        <f t="shared" ref="X253:X263" si="83">IF(E253="Y,Y", $AU$5,
IF(E253="N,N", $AU$3,
IF(E253="Y,N", $AU$3,
IF(E253="N,Y",$AU$5, ""))))</f>
        <v/>
      </c>
      <c r="Y253" s="168" t="str">
        <f t="shared" ref="Y253:Y263" si="84">IF(W253=$AU$2, $AZ$2,
IF(W253=$AU$4,$AZ$4, ""))</f>
        <v>Dummy!2022</v>
      </c>
      <c r="Z253" s="168" t="str">
        <f t="shared" ref="Z253:Z263" si="85">IF(W253=$AU$4, $AY$4,
IF(W253=$AU$2,$AY$2, ""))</f>
        <v>020-8010888</v>
      </c>
      <c r="AA253" s="167" t="s">
        <v>1901</v>
      </c>
      <c r="AB253" s="167" t="s">
        <v>1853</v>
      </c>
      <c r="AQ253" s="166" t="str">
        <f t="shared" ref="AQ253" si="86">IF(E253="Y", $AU$4,
IF(E253="N",$AU$2,
IF(E253="Y,Y",  $AU$4,
IF(E253="N,N",$AU$2,
IF(E253="Y,N", $AU$4,
IF(E253="N,Y", $AU$2, ""))))))</f>
        <v>Perf-Test-User-112801@mailinator.com</v>
      </c>
      <c r="AR253" s="166" t="str">
        <f t="shared" ref="AR253" si="87">IF(E253="Y,Y", $AU$5,
IF(E253="N,N", $AU$3,
IF(E253="Y,N", $AU$3,
IF(E253="N,Y",$AU$5, ""))))</f>
        <v/>
      </c>
    </row>
    <row r="254" spans="1:50" ht="42.75" x14ac:dyDescent="0.25">
      <c r="A254" s="167" t="s">
        <v>2293</v>
      </c>
      <c r="B254" s="167" t="s">
        <v>1858</v>
      </c>
      <c r="C254" s="167" t="s">
        <v>2294</v>
      </c>
      <c r="D254" s="167" t="s">
        <v>1849</v>
      </c>
      <c r="E254" s="167" t="s">
        <v>1850</v>
      </c>
      <c r="F254" s="167" t="s">
        <v>1355</v>
      </c>
      <c r="G254" s="167" t="s">
        <v>1859</v>
      </c>
      <c r="H254" s="167"/>
      <c r="I254" s="167" t="s">
        <v>60</v>
      </c>
      <c r="J254" s="167" t="s">
        <v>1355</v>
      </c>
      <c r="K254" s="168" t="str">
        <f>IF(W254=$AU$4, $AX$4,
IF(W254=$AU$2,$AX$2, ""))</f>
        <v>HIDDERLEY</v>
      </c>
      <c r="L254" s="168" t="str">
        <f t="shared" si="77"/>
        <v/>
      </c>
      <c r="M254" s="168">
        <f t="shared" si="78"/>
        <v>35736</v>
      </c>
      <c r="N254" s="168" t="str">
        <f t="shared" si="79"/>
        <v/>
      </c>
      <c r="O254" s="168" t="str">
        <f t="shared" si="80"/>
        <v>242597904</v>
      </c>
      <c r="P254" s="168" t="str">
        <f t="shared" si="81"/>
        <v/>
      </c>
      <c r="Q254" s="167" t="s">
        <v>1355</v>
      </c>
      <c r="R254" s="167" t="s">
        <v>1355</v>
      </c>
      <c r="S254" s="167" t="s">
        <v>1355</v>
      </c>
      <c r="T254" s="167" t="s">
        <v>1355</v>
      </c>
      <c r="U254" s="167" t="s">
        <v>1355</v>
      </c>
      <c r="V254" s="167" t="s">
        <v>1355</v>
      </c>
      <c r="W254" s="169" t="str">
        <f t="shared" si="82"/>
        <v>UAT-WF-User77@mailinator.com</v>
      </c>
      <c r="X254" s="167" t="str">
        <f t="shared" si="83"/>
        <v/>
      </c>
      <c r="Y254" s="168" t="str">
        <f t="shared" si="84"/>
        <v>Dummy!2024</v>
      </c>
      <c r="Z254" s="168" t="str">
        <f t="shared" si="85"/>
        <v>020-8030031</v>
      </c>
      <c r="AA254" s="167"/>
      <c r="AB254" s="167" t="s">
        <v>1853</v>
      </c>
    </row>
    <row r="255" spans="1:50" ht="42.75" x14ac:dyDescent="0.25">
      <c r="A255" s="167" t="s">
        <v>2295</v>
      </c>
      <c r="B255" s="167" t="s">
        <v>1355</v>
      </c>
      <c r="C255" s="167" t="s">
        <v>2296</v>
      </c>
      <c r="D255" s="167" t="s">
        <v>1849</v>
      </c>
      <c r="E255" s="167" t="s">
        <v>1900</v>
      </c>
      <c r="F255" s="167"/>
      <c r="G255" s="167" t="s">
        <v>1877</v>
      </c>
      <c r="H255" s="167" t="s">
        <v>1865</v>
      </c>
      <c r="I255" s="167"/>
      <c r="J255" s="167"/>
      <c r="K255" s="168" t="str">
        <f t="shared" ref="K255" si="88">IF(W255=$AU$4, $AX$4,
IF(W255=$AU$2,$AX$2, ""))</f>
        <v>KASTING</v>
      </c>
      <c r="L255" s="168" t="str">
        <f t="shared" si="77"/>
        <v/>
      </c>
      <c r="M255" s="168">
        <f t="shared" si="78"/>
        <v>21248</v>
      </c>
      <c r="N255" s="168" t="str">
        <f t="shared" si="79"/>
        <v/>
      </c>
      <c r="O255" s="168" t="str">
        <f t="shared" si="80"/>
        <v>242597653</v>
      </c>
      <c r="P255" s="168" t="str">
        <f t="shared" si="81"/>
        <v/>
      </c>
      <c r="Q255" s="167"/>
      <c r="R255" s="167"/>
      <c r="S255" s="167"/>
      <c r="T255" s="167"/>
      <c r="U255" s="167"/>
      <c r="V255" s="167"/>
      <c r="W255" s="169" t="str">
        <f t="shared" si="82"/>
        <v>Perf-Test-User-112801@mailinator.com</v>
      </c>
      <c r="X255" s="167" t="str">
        <f t="shared" si="83"/>
        <v/>
      </c>
      <c r="Y255" s="168" t="str">
        <f t="shared" si="84"/>
        <v>Dummy!2022</v>
      </c>
      <c r="Z255" s="168" t="str">
        <f t="shared" si="85"/>
        <v>020-8010888</v>
      </c>
      <c r="AA255" s="167" t="s">
        <v>1904</v>
      </c>
      <c r="AB255" s="167" t="s">
        <v>1853</v>
      </c>
    </row>
    <row r="256" spans="1:50" ht="39.6" customHeight="1" x14ac:dyDescent="0.25">
      <c r="A256" s="167" t="s">
        <v>2297</v>
      </c>
      <c r="B256" s="167" t="s">
        <v>1355</v>
      </c>
      <c r="C256" s="167" t="s">
        <v>2298</v>
      </c>
      <c r="D256" s="167" t="s">
        <v>1849</v>
      </c>
      <c r="E256" s="167" t="s">
        <v>1850</v>
      </c>
      <c r="F256" s="167" t="s">
        <v>1355</v>
      </c>
      <c r="G256" s="167" t="s">
        <v>1871</v>
      </c>
      <c r="H256" s="167" t="s">
        <v>1872</v>
      </c>
      <c r="I256" s="167" t="s">
        <v>1873</v>
      </c>
      <c r="J256" s="167" t="s">
        <v>1355</v>
      </c>
      <c r="K256" s="168" t="str">
        <f>IF(W256=$AU$4, $AX$4,
IF(W256=$AU$2,$AX$2, ""))</f>
        <v>HIDDERLEY</v>
      </c>
      <c r="L256" s="168" t="str">
        <f t="shared" si="77"/>
        <v/>
      </c>
      <c r="M256" s="168">
        <f t="shared" si="78"/>
        <v>35736</v>
      </c>
      <c r="N256" s="168" t="str">
        <f t="shared" si="79"/>
        <v/>
      </c>
      <c r="O256" s="168" t="str">
        <f t="shared" si="80"/>
        <v>242597904</v>
      </c>
      <c r="P256" s="168" t="str">
        <f t="shared" si="81"/>
        <v/>
      </c>
      <c r="Q256" s="167" t="s">
        <v>1355</v>
      </c>
      <c r="R256" s="167" t="s">
        <v>1355</v>
      </c>
      <c r="S256" s="167" t="s">
        <v>1355</v>
      </c>
      <c r="T256" s="167" t="s">
        <v>1355</v>
      </c>
      <c r="U256" s="167" t="s">
        <v>1355</v>
      </c>
      <c r="V256" s="167" t="s">
        <v>1355</v>
      </c>
      <c r="W256" s="169" t="str">
        <f t="shared" si="82"/>
        <v>UAT-WF-User77@mailinator.com</v>
      </c>
      <c r="X256" s="167" t="str">
        <f t="shared" si="83"/>
        <v/>
      </c>
      <c r="Y256" s="168" t="str">
        <f t="shared" si="84"/>
        <v>Dummy!2024</v>
      </c>
      <c r="Z256" s="168" t="str">
        <f t="shared" si="85"/>
        <v>020-8030031</v>
      </c>
      <c r="AA256" s="167"/>
      <c r="AB256" s="167" t="s">
        <v>1853</v>
      </c>
      <c r="AQ256" s="166" t="str">
        <f t="shared" ref="AQ256" si="89">IF(E256="Y", $AU$4,
IF(E256="N",$AU$2,
IF(E256="Y,Y",  $AU$4,
IF(E256="N,N",$AU$2,
IF(E256="Y,N", $AU$4,
IF(E256="N,Y", $AU$2, ""))))))</f>
        <v>UAT-WF-User77@mailinator.com</v>
      </c>
      <c r="AR256" s="166" t="str">
        <f t="shared" ref="AR256" si="90">IF(E256="Y,Y", $AU$5,
IF(E256="N,N", $AU$3,
IF(E256="Y,N", $AU$3,
IF(E256="N,Y",$AU$5, ""))))</f>
        <v/>
      </c>
      <c r="AT256" s="166" t="s">
        <v>1867</v>
      </c>
      <c r="AU256" s="170" t="s">
        <v>94</v>
      </c>
      <c r="AV256" s="173" t="s">
        <v>1874</v>
      </c>
      <c r="AW256" s="172">
        <v>31390</v>
      </c>
      <c r="AX256" s="166" t="s">
        <v>1875</v>
      </c>
    </row>
    <row r="257" spans="1:44" ht="42.75" x14ac:dyDescent="0.25">
      <c r="A257" s="167" t="s">
        <v>2299</v>
      </c>
      <c r="B257" s="167" t="s">
        <v>1355</v>
      </c>
      <c r="C257" s="167" t="s">
        <v>2300</v>
      </c>
      <c r="D257" s="167" t="s">
        <v>1849</v>
      </c>
      <c r="E257" s="167" t="s">
        <v>1850</v>
      </c>
      <c r="F257" s="167" t="s">
        <v>79</v>
      </c>
      <c r="G257" s="167" t="s">
        <v>1877</v>
      </c>
      <c r="H257" s="167"/>
      <c r="I257" s="167" t="s">
        <v>1355</v>
      </c>
      <c r="J257" s="167" t="s">
        <v>1878</v>
      </c>
      <c r="K257" s="167" t="s">
        <v>1879</v>
      </c>
      <c r="L257" s="168" t="str">
        <f t="shared" si="77"/>
        <v/>
      </c>
      <c r="M257" s="168">
        <f t="shared" si="78"/>
        <v>35736</v>
      </c>
      <c r="N257" s="168" t="str">
        <f t="shared" si="79"/>
        <v/>
      </c>
      <c r="O257" s="168" t="str">
        <f t="shared" si="80"/>
        <v>242597904</v>
      </c>
      <c r="P257" s="168" t="str">
        <f t="shared" si="81"/>
        <v/>
      </c>
      <c r="Q257" s="167" t="s">
        <v>1880</v>
      </c>
      <c r="R257" s="167" t="s">
        <v>1881</v>
      </c>
      <c r="S257" s="167" t="s">
        <v>1882</v>
      </c>
      <c r="T257" s="167" t="s">
        <v>1883</v>
      </c>
      <c r="U257" s="167" t="s">
        <v>1884</v>
      </c>
      <c r="V257" s="167" t="s">
        <v>1885</v>
      </c>
      <c r="W257" s="169" t="str">
        <f t="shared" si="82"/>
        <v>UAT-WF-User77@mailinator.com</v>
      </c>
      <c r="X257" s="167" t="str">
        <f t="shared" si="83"/>
        <v/>
      </c>
      <c r="Y257" s="168" t="str">
        <f t="shared" si="84"/>
        <v>Dummy!2024</v>
      </c>
      <c r="Z257" s="168" t="str">
        <f t="shared" si="85"/>
        <v>020-8030031</v>
      </c>
      <c r="AA257" s="167"/>
      <c r="AB257" s="167" t="s">
        <v>1853</v>
      </c>
    </row>
    <row r="258" spans="1:44" ht="42.75" x14ac:dyDescent="0.25">
      <c r="A258" s="167" t="s">
        <v>2301</v>
      </c>
      <c r="B258" s="167" t="s">
        <v>1355</v>
      </c>
      <c r="C258" s="167" t="s">
        <v>2300</v>
      </c>
      <c r="D258" s="167" t="s">
        <v>1849</v>
      </c>
      <c r="E258" s="167" t="s">
        <v>1850</v>
      </c>
      <c r="F258" s="167" t="s">
        <v>36</v>
      </c>
      <c r="G258" s="167" t="s">
        <v>1852</v>
      </c>
      <c r="H258" s="167"/>
      <c r="I258" s="167" t="s">
        <v>1355</v>
      </c>
      <c r="J258" s="167" t="s">
        <v>1878</v>
      </c>
      <c r="K258" s="167" t="s">
        <v>1879</v>
      </c>
      <c r="L258" s="168" t="str">
        <f t="shared" si="77"/>
        <v/>
      </c>
      <c r="M258" s="168">
        <f t="shared" si="78"/>
        <v>35736</v>
      </c>
      <c r="N258" s="168" t="str">
        <f t="shared" si="79"/>
        <v/>
      </c>
      <c r="O258" s="168" t="str">
        <f t="shared" si="80"/>
        <v>242597904</v>
      </c>
      <c r="P258" s="168" t="str">
        <f t="shared" si="81"/>
        <v/>
      </c>
      <c r="Q258" s="167" t="s">
        <v>1880</v>
      </c>
      <c r="R258" s="167" t="s">
        <v>1881</v>
      </c>
      <c r="S258" s="167" t="s">
        <v>1882</v>
      </c>
      <c r="T258" s="167" t="s">
        <v>1883</v>
      </c>
      <c r="U258" s="167" t="s">
        <v>1884</v>
      </c>
      <c r="V258" s="167" t="s">
        <v>1885</v>
      </c>
      <c r="W258" s="169" t="str">
        <f t="shared" si="82"/>
        <v>UAT-WF-User77@mailinator.com</v>
      </c>
      <c r="X258" s="167" t="str">
        <f t="shared" si="83"/>
        <v/>
      </c>
      <c r="Y258" s="168" t="str">
        <f t="shared" si="84"/>
        <v>Dummy!2024</v>
      </c>
      <c r="Z258" s="168" t="str">
        <f t="shared" si="85"/>
        <v>020-8030031</v>
      </c>
      <c r="AA258" s="167"/>
      <c r="AB258" s="167" t="s">
        <v>1853</v>
      </c>
      <c r="AQ258" s="166" t="str">
        <f t="shared" ref="AQ258:AQ263" si="91">IF(E258="Y", $AU$4,
IF(E258="N",$AU$2,
IF(E258="Y,Y",  $AU$4,
IF(E258="N,N",$AU$2,
IF(E258="Y,N", $AU$4,
IF(E258="N,Y", $AU$2, ""))))))</f>
        <v>UAT-WF-User77@mailinator.com</v>
      </c>
      <c r="AR258" s="166" t="str">
        <f t="shared" ref="AR258:AR263" si="92">IF(E258="Y,Y", $AU$5,
IF(E258="N,N", $AU$3,
IF(E258="Y,N", $AU$3,
IF(E258="N,Y",$AU$5, ""))))</f>
        <v/>
      </c>
    </row>
    <row r="259" spans="1:44" ht="42.75" x14ac:dyDescent="0.25">
      <c r="A259" s="167" t="s">
        <v>2302</v>
      </c>
      <c r="B259" s="167" t="s">
        <v>1355</v>
      </c>
      <c r="C259" s="167" t="s">
        <v>2303</v>
      </c>
      <c r="D259" s="167" t="s">
        <v>1923</v>
      </c>
      <c r="E259" s="167" t="s">
        <v>1900</v>
      </c>
      <c r="F259" s="167" t="s">
        <v>79</v>
      </c>
      <c r="G259" s="167" t="s">
        <v>1864</v>
      </c>
      <c r="H259" s="167" t="s">
        <v>1852</v>
      </c>
      <c r="I259" s="167"/>
      <c r="J259" s="167"/>
      <c r="K259" s="168" t="str">
        <f>IF(W259=$AU$4, $AX$4,
IF(W259=$AU$2,$AX$2, ""))</f>
        <v>KASTING</v>
      </c>
      <c r="L259" s="168" t="str">
        <f t="shared" si="77"/>
        <v/>
      </c>
      <c r="M259" s="168">
        <f t="shared" si="78"/>
        <v>21248</v>
      </c>
      <c r="N259" s="168" t="str">
        <f t="shared" si="79"/>
        <v/>
      </c>
      <c r="O259" s="168" t="str">
        <f t="shared" si="80"/>
        <v>242597653</v>
      </c>
      <c r="P259" s="168" t="str">
        <f t="shared" si="81"/>
        <v/>
      </c>
      <c r="Q259" s="167" t="s">
        <v>1880</v>
      </c>
      <c r="R259" s="167" t="s">
        <v>1881</v>
      </c>
      <c r="S259" s="167" t="s">
        <v>1882</v>
      </c>
      <c r="T259" s="167" t="s">
        <v>1883</v>
      </c>
      <c r="U259" s="167" t="s">
        <v>1884</v>
      </c>
      <c r="V259" s="167"/>
      <c r="W259" s="169" t="str">
        <f t="shared" si="82"/>
        <v>Perf-Test-User-112801@mailinator.com</v>
      </c>
      <c r="X259" s="167" t="str">
        <f t="shared" si="83"/>
        <v/>
      </c>
      <c r="Y259" s="168" t="str">
        <f t="shared" si="84"/>
        <v>Dummy!2022</v>
      </c>
      <c r="Z259" s="168" t="str">
        <f t="shared" si="85"/>
        <v>020-8010888</v>
      </c>
      <c r="AA259" s="167" t="s">
        <v>1931</v>
      </c>
      <c r="AB259" s="167" t="s">
        <v>1853</v>
      </c>
      <c r="AQ259" s="166" t="str">
        <f t="shared" si="91"/>
        <v>Perf-Test-User-112801@mailinator.com</v>
      </c>
      <c r="AR259" s="166" t="str">
        <f t="shared" si="92"/>
        <v/>
      </c>
    </row>
    <row r="260" spans="1:44" ht="42.75" x14ac:dyDescent="0.25">
      <c r="A260" s="167" t="s">
        <v>2304</v>
      </c>
      <c r="B260" s="167"/>
      <c r="C260" s="167" t="s">
        <v>2305</v>
      </c>
      <c r="D260" s="167" t="s">
        <v>1923</v>
      </c>
      <c r="E260" s="167" t="s">
        <v>1900</v>
      </c>
      <c r="F260" s="167" t="s">
        <v>79</v>
      </c>
      <c r="G260" s="167" t="s">
        <v>1851</v>
      </c>
      <c r="H260" s="167"/>
      <c r="I260" s="176" t="s">
        <v>2306</v>
      </c>
      <c r="J260" s="167" t="s">
        <v>2136</v>
      </c>
      <c r="K260" s="168" t="s">
        <v>486</v>
      </c>
      <c r="L260" s="168"/>
      <c r="M260" s="168">
        <v>21278</v>
      </c>
      <c r="N260" s="168"/>
      <c r="O260" s="168">
        <v>242597653</v>
      </c>
      <c r="P260" s="168"/>
      <c r="Q260" s="167" t="s">
        <v>1880</v>
      </c>
      <c r="R260" s="167" t="s">
        <v>1881</v>
      </c>
      <c r="S260" s="167" t="s">
        <v>1882</v>
      </c>
      <c r="T260" s="167"/>
      <c r="U260" s="167"/>
      <c r="V260" s="167"/>
      <c r="W260" s="169" t="s">
        <v>1855</v>
      </c>
      <c r="X260" s="167"/>
      <c r="Y260" s="168" t="s">
        <v>64</v>
      </c>
      <c r="Z260" s="168" t="s">
        <v>1857</v>
      </c>
      <c r="AA260" s="167"/>
      <c r="AB260" s="167" t="s">
        <v>1853</v>
      </c>
      <c r="AQ260" s="166" t="s">
        <v>1855</v>
      </c>
    </row>
    <row r="261" spans="1:44" ht="42.75" x14ac:dyDescent="0.25">
      <c r="A261" s="167" t="s">
        <v>2307</v>
      </c>
      <c r="B261" s="167" t="s">
        <v>1355</v>
      </c>
      <c r="C261" s="167" t="s">
        <v>2308</v>
      </c>
      <c r="D261" s="167" t="s">
        <v>1937</v>
      </c>
      <c r="E261" s="167" t="s">
        <v>1958</v>
      </c>
      <c r="F261" s="167" t="s">
        <v>36</v>
      </c>
      <c r="G261" s="167" t="s">
        <v>1893</v>
      </c>
      <c r="H261" s="167" t="s">
        <v>1852</v>
      </c>
      <c r="I261" s="167"/>
      <c r="J261" s="167"/>
      <c r="K261" s="168" t="str">
        <f t="shared" ref="K261:K263" si="93">IF(W261=$AU$4, $AX$4,
IF(W261=$AU$2,$AX$2, ""))</f>
        <v>HIDDERLEY</v>
      </c>
      <c r="L261" s="168" t="str">
        <f t="shared" si="77"/>
        <v>TERRELLY</v>
      </c>
      <c r="M261" s="168">
        <f t="shared" si="78"/>
        <v>35736</v>
      </c>
      <c r="N261" s="168">
        <f t="shared" si="79"/>
        <v>23480</v>
      </c>
      <c r="O261" s="168" t="str">
        <f t="shared" si="80"/>
        <v>242597904</v>
      </c>
      <c r="P261" s="168" t="str">
        <f t="shared" si="81"/>
        <v>242597947</v>
      </c>
      <c r="Q261" s="167" t="s">
        <v>1880</v>
      </c>
      <c r="R261" s="167" t="s">
        <v>1881</v>
      </c>
      <c r="S261" s="167" t="s">
        <v>1919</v>
      </c>
      <c r="T261" s="167" t="s">
        <v>1883</v>
      </c>
      <c r="U261" s="167" t="s">
        <v>1884</v>
      </c>
      <c r="V261" s="167"/>
      <c r="W261" s="169" t="str">
        <f t="shared" si="82"/>
        <v>UAT-WF-User77@mailinator.com</v>
      </c>
      <c r="X261" s="167" t="str">
        <f t="shared" si="83"/>
        <v>Perf-Test-User-10208@mailinator.com</v>
      </c>
      <c r="Y261" s="168" t="str">
        <f t="shared" si="84"/>
        <v>Dummy!2024</v>
      </c>
      <c r="Z261" s="168" t="str">
        <f t="shared" si="85"/>
        <v>020-8030031</v>
      </c>
      <c r="AA261" s="167" t="s">
        <v>1968</v>
      </c>
      <c r="AB261" s="167" t="s">
        <v>1853</v>
      </c>
      <c r="AQ261" s="166" t="str">
        <f t="shared" si="91"/>
        <v>UAT-WF-User77@mailinator.com</v>
      </c>
      <c r="AR261" s="166" t="str">
        <f t="shared" si="92"/>
        <v>Perf-Test-User-10208@mailinator.com</v>
      </c>
    </row>
    <row r="262" spans="1:44" ht="57" x14ac:dyDescent="0.25">
      <c r="A262" s="167" t="s">
        <v>2309</v>
      </c>
      <c r="B262" s="167" t="s">
        <v>1355</v>
      </c>
      <c r="C262" s="167" t="s">
        <v>2310</v>
      </c>
      <c r="D262" s="167" t="s">
        <v>1937</v>
      </c>
      <c r="E262" s="167" t="s">
        <v>1938</v>
      </c>
      <c r="F262" s="167" t="s">
        <v>36</v>
      </c>
      <c r="G262" s="167" t="s">
        <v>1897</v>
      </c>
      <c r="H262" s="167" t="s">
        <v>1865</v>
      </c>
      <c r="I262" s="167"/>
      <c r="J262" s="167"/>
      <c r="K262" s="168" t="str">
        <f t="shared" si="93"/>
        <v>HIDDERLEY</v>
      </c>
      <c r="L262" s="168" t="str">
        <f t="shared" si="77"/>
        <v>SATTERTHWAITE</v>
      </c>
      <c r="M262" s="168">
        <f t="shared" si="78"/>
        <v>35736</v>
      </c>
      <c r="N262" s="168">
        <f t="shared" si="79"/>
        <v>31390</v>
      </c>
      <c r="O262" s="168" t="str">
        <f t="shared" si="80"/>
        <v>242597904</v>
      </c>
      <c r="P262" s="168" t="str">
        <f t="shared" si="81"/>
        <v>242597408</v>
      </c>
      <c r="Q262" s="167" t="s">
        <v>1880</v>
      </c>
      <c r="R262" s="167" t="s">
        <v>1881</v>
      </c>
      <c r="S262" s="167" t="s">
        <v>1921</v>
      </c>
      <c r="T262" s="167" t="s">
        <v>1883</v>
      </c>
      <c r="U262" s="167" t="s">
        <v>1884</v>
      </c>
      <c r="V262" s="167"/>
      <c r="W262" s="169" t="str">
        <f t="shared" si="82"/>
        <v>UAT-WF-User77@mailinator.com</v>
      </c>
      <c r="X262" s="167" t="str">
        <f t="shared" si="83"/>
        <v>Perf-Test-User-10183@mailinator.com</v>
      </c>
      <c r="Y262" s="168" t="str">
        <f t="shared" si="84"/>
        <v>Dummy!2024</v>
      </c>
      <c r="Z262" s="168" t="str">
        <f t="shared" si="85"/>
        <v>020-8030031</v>
      </c>
      <c r="AA262" s="167"/>
      <c r="AB262" s="167" t="s">
        <v>1853</v>
      </c>
      <c r="AQ262" s="166" t="str">
        <f t="shared" si="91"/>
        <v>UAT-WF-User77@mailinator.com</v>
      </c>
      <c r="AR262" s="166" t="str">
        <f t="shared" si="92"/>
        <v>Perf-Test-User-10183@mailinator.com</v>
      </c>
    </row>
    <row r="263" spans="1:44" ht="42.75" x14ac:dyDescent="0.25">
      <c r="A263" s="167" t="s">
        <v>2311</v>
      </c>
      <c r="B263" s="167" t="s">
        <v>1355</v>
      </c>
      <c r="C263" s="167" t="s">
        <v>2305</v>
      </c>
      <c r="D263" s="167" t="s">
        <v>1937</v>
      </c>
      <c r="E263" s="167" t="s">
        <v>1970</v>
      </c>
      <c r="F263" s="167" t="s">
        <v>36</v>
      </c>
      <c r="G263" s="167" t="s">
        <v>1887</v>
      </c>
      <c r="H263" s="167"/>
      <c r="I263" s="167"/>
      <c r="J263" s="167"/>
      <c r="K263" s="168" t="str">
        <f t="shared" si="93"/>
        <v>KASTING</v>
      </c>
      <c r="L263" s="168" t="str">
        <f t="shared" si="77"/>
        <v>SATTERTHWAITE</v>
      </c>
      <c r="M263" s="168">
        <f t="shared" si="78"/>
        <v>21248</v>
      </c>
      <c r="N263" s="168">
        <f t="shared" si="79"/>
        <v>31390</v>
      </c>
      <c r="O263" s="168" t="str">
        <f t="shared" si="80"/>
        <v>242597653</v>
      </c>
      <c r="P263" s="168" t="str">
        <f t="shared" si="81"/>
        <v>242597408</v>
      </c>
      <c r="Q263" s="167" t="s">
        <v>1880</v>
      </c>
      <c r="R263" s="167" t="s">
        <v>1881</v>
      </c>
      <c r="S263" s="167" t="s">
        <v>1919</v>
      </c>
      <c r="T263" s="167" t="s">
        <v>1883</v>
      </c>
      <c r="U263" s="167" t="s">
        <v>1884</v>
      </c>
      <c r="V263" s="167"/>
      <c r="W263" s="169" t="str">
        <f t="shared" si="82"/>
        <v>Perf-Test-User-112801@mailinator.com</v>
      </c>
      <c r="X263" s="167" t="str">
        <f t="shared" si="83"/>
        <v>Perf-Test-User-10183@mailinator.com</v>
      </c>
      <c r="Y263" s="168" t="str">
        <f t="shared" si="84"/>
        <v>Dummy!2022</v>
      </c>
      <c r="Z263" s="168" t="str">
        <f t="shared" si="85"/>
        <v>020-8010888</v>
      </c>
      <c r="AA263" s="167" t="s">
        <v>1982</v>
      </c>
      <c r="AB263" s="167" t="s">
        <v>1853</v>
      </c>
      <c r="AQ263" s="166" t="str">
        <f t="shared" si="91"/>
        <v>Perf-Test-User-112801@mailinator.com</v>
      </c>
      <c r="AR263" s="166" t="str">
        <f t="shared" si="92"/>
        <v>Perf-Test-User-10183@mailinator.com</v>
      </c>
    </row>
  </sheetData>
  <dataValidations count="1">
    <dataValidation type="list" allowBlank="1" showInputMessage="1" showErrorMessage="1" sqref="AA165 AA190 AA208 AA249" xr:uid="{39D3BBA8-2C7E-4363-9B96-395DA74DF5F5}">
      <formula1>CONCATENATE(Country,",",Country)</formula1>
    </dataValidation>
  </dataValidations>
  <hyperlinks>
    <hyperlink ref="AU5" r:id="rId1" xr:uid="{18CA3C5D-2DD9-4091-88B6-11994EF65F67}"/>
    <hyperlink ref="AU3" r:id="rId2" xr:uid="{BFAF422B-F30F-4F3B-9C5F-17AB2E213D55}"/>
    <hyperlink ref="W2" r:id="rId3" display="Perf-Test-User-10130@mailinator.com" xr:uid="{D0CD3D62-4326-419F-8378-777D03F837BE}"/>
    <hyperlink ref="W3:W211" r:id="rId4" display="Perf-Test-User-10130@mailinator.com" xr:uid="{78CE0AB1-F000-4A93-87C1-6D7973B11402}"/>
    <hyperlink ref="AU212" r:id="rId5" xr:uid="{9FAB93A2-5710-4A85-AFF3-00C74EECE96D}"/>
    <hyperlink ref="W212" r:id="rId6" display="Perf-Test-User-10130@mailinator.com" xr:uid="{5CD7E6DF-5BA7-4F9F-8B3F-4C5386A715A3}"/>
    <hyperlink ref="W215" r:id="rId7" display="Perf-Test-User-10130@mailinator.com" xr:uid="{F0826CD1-4C96-4212-9344-5B3734B6F9DE}"/>
    <hyperlink ref="W216" r:id="rId8" display="Perf-Test-User-10130@mailinator.com" xr:uid="{EE0F56A1-C2DA-49CF-A1B4-DBF739EF9F9B}"/>
    <hyperlink ref="W213" r:id="rId9" display="Perf-Test-User-10130@mailinator.com" xr:uid="{E0BF15D1-F52A-4BF9-9FA4-C22DC1F61E58}"/>
    <hyperlink ref="W214" r:id="rId10" display="Perf-Test-User-10130@mailinator.com" xr:uid="{417C732B-89E1-4BD9-86CF-64178A0A7705}"/>
    <hyperlink ref="W217" r:id="rId11" display="Perf-Test-User-10130@mailinator.com" xr:uid="{F7718754-84CE-44D1-B948-1E6F0C2E2E5A}"/>
    <hyperlink ref="AU7" r:id="rId12" xr:uid="{B97F306D-DCA8-4DC0-AF28-B038E3D4BD67}"/>
    <hyperlink ref="AU9" r:id="rId13" xr:uid="{F2D3C46B-DD2D-4D62-82E7-D45B3E75711C}"/>
    <hyperlink ref="AU2" r:id="rId14" xr:uid="{39C28589-2DEA-462C-9D4A-109D2DE32F98}"/>
    <hyperlink ref="W219" r:id="rId15" display="Perf-Test-User-10130@mailinator.com" xr:uid="{489E6E94-FADC-4185-82FB-26D752CC22F4}"/>
    <hyperlink ref="W220" r:id="rId16" xr:uid="{AD4A0E10-7495-48BB-B8C6-BB4F0DBDBEE3}"/>
    <hyperlink ref="W221" r:id="rId17" xr:uid="{0FE7067F-A815-4134-8859-0E82C831D67D}"/>
    <hyperlink ref="W222" r:id="rId18" xr:uid="{F621D6C5-A5AA-48E8-8734-29C08064A245}"/>
    <hyperlink ref="X223" r:id="rId19" xr:uid="{FDE3FB14-2722-4437-8F7B-EFB1EFD9471D}"/>
    <hyperlink ref="W223" r:id="rId20" xr:uid="{EDDF8936-D136-4B60-8AC7-9A0791BB55D8}"/>
    <hyperlink ref="X224" r:id="rId21" xr:uid="{69BB45D4-59AB-4238-A5C8-33229E792178}"/>
    <hyperlink ref="W224" r:id="rId22" xr:uid="{D6B948D9-ED10-498D-B88A-19E20F9393E8}"/>
    <hyperlink ref="X225" r:id="rId23" xr:uid="{B0996DD6-6E39-48F5-BB4D-5EC0705CDFB9}"/>
    <hyperlink ref="W225" r:id="rId24" xr:uid="{137B622C-D7EF-408A-9EDA-D552F97A2B04}"/>
    <hyperlink ref="X226" r:id="rId25" xr:uid="{C94FCBCB-B527-48E0-A3B3-68B23FA7F93D}"/>
    <hyperlink ref="W226" r:id="rId26" xr:uid="{A8A36F10-4C1C-4ABD-8B5F-A7B1DB986236}"/>
    <hyperlink ref="X227" r:id="rId27" xr:uid="{711290AD-8694-40CC-AEC7-44D613A8FE15}"/>
    <hyperlink ref="W227" r:id="rId28" xr:uid="{F57ED0B2-2535-4D4F-8A94-88E99AA35331}"/>
    <hyperlink ref="W228" r:id="rId29" xr:uid="{1D8FBCCD-B437-47B7-8AB1-D33B831207EF}"/>
    <hyperlink ref="W229" r:id="rId30" xr:uid="{C048268E-7A1B-4D3C-8B50-7BF31F0AF19F}"/>
    <hyperlink ref="W230" r:id="rId31" xr:uid="{7F6A0B33-2158-42F3-B77C-480E13914740}"/>
    <hyperlink ref="W231" r:id="rId32" xr:uid="{4BB80A41-EEB6-4AB7-923C-26D5E6AD10CF}"/>
    <hyperlink ref="W232" r:id="rId33" xr:uid="{DED95F88-D7D2-4BDB-BA87-F7CD26F25AD4}"/>
    <hyperlink ref="W233" r:id="rId34" xr:uid="{DE22F18E-B4DA-4B03-8E53-9DD0271A4D0A}"/>
    <hyperlink ref="W234" r:id="rId35" xr:uid="{AD6F4E84-3DC6-4A31-A5BE-C744C2613500}"/>
    <hyperlink ref="X234" r:id="rId36" xr:uid="{3EFEA8DF-D1FB-446C-8BC7-CCF72FDD7E24}"/>
    <hyperlink ref="W235" r:id="rId37" xr:uid="{5D84A4D3-05BB-4D08-903C-F3E6A7EEA621}"/>
    <hyperlink ref="X235" r:id="rId38" xr:uid="{3D65214B-A4DA-41CB-9E93-C3A83D8D0BC6}"/>
    <hyperlink ref="W236" r:id="rId39" xr:uid="{2178F50B-B56E-4E98-A8A7-9FBC618E97DD}"/>
    <hyperlink ref="X236" r:id="rId40" xr:uid="{0862C9DA-FC99-4D8C-8956-226E1EAE4FFD}"/>
    <hyperlink ref="W237" r:id="rId41" xr:uid="{30120FDD-42E2-4737-9FAA-BD39DF2BD794}"/>
    <hyperlink ref="X237" r:id="rId42" xr:uid="{717D115E-C189-40E4-9ECF-1A48165E5D2C}"/>
    <hyperlink ref="W238" r:id="rId43" xr:uid="{40BB8CDA-F181-4100-8914-2987D1077225}"/>
    <hyperlink ref="W239" r:id="rId44" xr:uid="{740FA0AB-446E-4662-8CC5-468E87508B6A}"/>
    <hyperlink ref="X239" r:id="rId45" xr:uid="{AD2E1601-FEC0-44F5-8994-0CFC4C3476A2}"/>
    <hyperlink ref="W240" r:id="rId46" xr:uid="{E611B5FB-0CA0-4DAD-A243-351B07A05ED5}"/>
    <hyperlink ref="X240" r:id="rId47" xr:uid="{8E998C02-A91A-42F3-8C5A-45E54DA7AE09}"/>
    <hyperlink ref="W241" r:id="rId48" xr:uid="{B80F6A01-C917-4970-95A9-497D05CD7906}"/>
    <hyperlink ref="X241" r:id="rId49" xr:uid="{6825EA19-7264-43AB-8984-CF78227B64BD}"/>
    <hyperlink ref="W242" r:id="rId50" xr:uid="{32AD1C7D-7861-43A9-A52D-85DAB658E03F}"/>
    <hyperlink ref="X242" r:id="rId51" xr:uid="{137DE306-DA9B-4DA2-A459-D6B7E343B306}"/>
    <hyperlink ref="W243" r:id="rId52" xr:uid="{1616849A-A94B-4E0A-9906-CC8CFEF8C505}"/>
    <hyperlink ref="X243" r:id="rId53" xr:uid="{B56F3906-0F0D-478C-8486-1ACFA3BF6618}"/>
    <hyperlink ref="W244" r:id="rId54" xr:uid="{D77D1DD3-40B8-4779-A9BA-CC96117FECA8}"/>
    <hyperlink ref="W250" r:id="rId55" xr:uid="{19127FD4-E9EC-487C-9DA3-4F1AFD6552F7}"/>
    <hyperlink ref="X250" r:id="rId56" xr:uid="{0ECDB904-616E-4E6B-B063-BD347EA15F5F}"/>
    <hyperlink ref="W251" r:id="rId57" xr:uid="{4788FA87-0790-4ABC-A87F-6CB82F20D5A4}"/>
    <hyperlink ref="W252" r:id="rId58" xr:uid="{A49699B5-2EFD-4EAF-92E7-8A9C458DEFE5}"/>
    <hyperlink ref="W245:W246" r:id="rId59" display="UAT-WF-User45@mailinator.com" xr:uid="{C5AFBD0B-4ED6-4265-934B-3D4F0DDBCBA2}"/>
    <hyperlink ref="W247" r:id="rId60" xr:uid="{444A7EFD-31CD-4ADE-98F9-690FB0CB58BB}"/>
    <hyperlink ref="W248" r:id="rId61" xr:uid="{2FABE604-175F-4AFC-B5A6-82707931C3CF}"/>
    <hyperlink ref="W249" r:id="rId62" display="Perf-Test-User-10130@mailinator.com" xr:uid="{3806D79C-1737-41EF-8B63-D7AC21976145}"/>
    <hyperlink ref="AU4" r:id="rId63" xr:uid="{249B1AA6-A63F-4A1E-B8D6-2AA7D9A95146}"/>
    <hyperlink ref="W253" r:id="rId64" display="Perf-Test-User-10130@mailinator.com" xr:uid="{86FF25B1-E352-4958-92B9-71C05D642E41}"/>
    <hyperlink ref="W254" r:id="rId65" display="Perf-Test-User-10130@mailinator.com" xr:uid="{46BDB85C-9918-439B-849D-D11EFC434A5F}"/>
    <hyperlink ref="W255" r:id="rId66" display="Perf-Test-User-10130@mailinator.com" xr:uid="{50A2C673-D555-49E1-A39F-0147F1D80399}"/>
    <hyperlink ref="AU256" r:id="rId67" xr:uid="{73BA8C9E-639C-4E2F-8185-7514BE15F3ED}"/>
    <hyperlink ref="W256" r:id="rId68" display="Perf-Test-User-10130@mailinator.com" xr:uid="{F997FD7C-B821-4E68-99F8-4B8AA2570011}"/>
    <hyperlink ref="W257" r:id="rId69" display="Perf-Test-User-10130@mailinator.com" xr:uid="{F2675567-A22D-4E23-B71F-20A6598E75C5}"/>
    <hyperlink ref="W258" r:id="rId70" display="Perf-Test-User-10130@mailinator.com" xr:uid="{6A658328-031B-4FD8-AAE7-C3C747BDDC40}"/>
    <hyperlink ref="W259" r:id="rId71" display="Perf-Test-User-10130@mailinator.com" xr:uid="{DCEEC97F-7DD4-4B2B-B5C0-F8F1CA289BCB}"/>
    <hyperlink ref="W261" r:id="rId72" display="Perf-Test-User-10130@mailinator.com" xr:uid="{E49061C2-EE57-42AE-90EA-487FD2CF360B}"/>
    <hyperlink ref="W262" r:id="rId73" display="Perf-Test-User-10130@mailinator.com" xr:uid="{AE8E97F5-AE06-4E15-810F-DAF6D9D9A375}"/>
    <hyperlink ref="W263" r:id="rId74" display="Perf-Test-User-10130@mailinator.com" xr:uid="{5350CDF1-64AA-4511-A012-EF2AF552147F}"/>
  </hyperlinks>
  <pageMargins left="0.7" right="0.7" top="0.75" bottom="0.75" header="0.3" footer="0.3"/>
  <headerFooter>
    <oddHeader>&amp;L&amp;"Aptos"&amp;10&amp;K000000 Classification: Internal Use&amp;1#_x000D_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5d345da-46c9-4b0d-9c7c-55950907fc50">
      <Terms xmlns="http://schemas.microsoft.com/office/infopath/2007/PartnerControls"/>
    </lcf76f155ced4ddcb4097134ff3c332f>
    <TaxCatchAll xmlns="32418232-d4ef-41b3-a96d-cdbe93d7ad5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E48CFD127D15C4C9EC164478A110630" ma:contentTypeVersion="12" ma:contentTypeDescription="Create a new document." ma:contentTypeScope="" ma:versionID="646cb7c6d2a0e850db58cb8e2064dd8d">
  <xsd:schema xmlns:xsd="http://www.w3.org/2001/XMLSchema" xmlns:xs="http://www.w3.org/2001/XMLSchema" xmlns:p="http://schemas.microsoft.com/office/2006/metadata/properties" xmlns:ns2="a5d345da-46c9-4b0d-9c7c-55950907fc50" xmlns:ns3="32418232-d4ef-41b3-a96d-cdbe93d7ad5b" targetNamespace="http://schemas.microsoft.com/office/2006/metadata/properties" ma:root="true" ma:fieldsID="3f4641ea8f8f42a5551287bc65dc7a76" ns2:_="" ns3:_="">
    <xsd:import namespace="a5d345da-46c9-4b0d-9c7c-55950907fc50"/>
    <xsd:import namespace="32418232-d4ef-41b3-a96d-cdbe93d7ad5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d345da-46c9-4b0d-9c7c-55950907fc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d5bae08-2699-4357-a1b0-6b159035f173"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2418232-d4ef-41b3-a96d-cdbe93d7ad5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d86a38a5-33cf-47e5-9d10-ba4fd17dbc98}" ma:internalName="TaxCatchAll" ma:showField="CatchAllData" ma:web="32418232-d4ef-41b3-a96d-cdbe93d7ad5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A823C5A-CB16-4D1C-87E0-990E2627302C}">
  <ds:schemaRefs>
    <ds:schemaRef ds:uri="http://schemas.microsoft.com/office/2006/metadata/properties"/>
    <ds:schemaRef ds:uri="http://schemas.microsoft.com/office/infopath/2007/PartnerControls"/>
    <ds:schemaRef ds:uri="a5d345da-46c9-4b0d-9c7c-55950907fc50"/>
    <ds:schemaRef ds:uri="32418232-d4ef-41b3-a96d-cdbe93d7ad5b"/>
  </ds:schemaRefs>
</ds:datastoreItem>
</file>

<file path=customXml/itemProps2.xml><?xml version="1.0" encoding="utf-8"?>
<ds:datastoreItem xmlns:ds="http://schemas.openxmlformats.org/officeDocument/2006/customXml" ds:itemID="{DDA39DED-14FB-4B72-ABDA-A4B4C6A3D3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5d345da-46c9-4b0d-9c7c-55950907fc50"/>
    <ds:schemaRef ds:uri="32418232-d4ef-41b3-a96d-cdbe93d7ad5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E7662FA-BB36-412D-B0BA-787A33F7119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Health_Report_UAT</vt:lpstr>
      <vt:lpstr>Title_Validation</vt:lpstr>
      <vt:lpstr>Error_Scenarios</vt:lpstr>
      <vt:lpstr>Expedited</vt:lpstr>
      <vt:lpstr>Buy Now UAT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Saahil Sunil Gulve</cp:lastModifiedBy>
  <cp:revision/>
  <dcterms:created xsi:type="dcterms:W3CDTF">2024-06-03T06:22:35Z</dcterms:created>
  <dcterms:modified xsi:type="dcterms:W3CDTF">2026-03-06T12:42:29Z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0x0101004E48CFD127D15C4C9EC164478A110630</vt:lpwstr>
  </property>
  <property fmtid="{D5CDD505-2E9C-101B-9397-08002B2CF9AE}" pid="3" name="MSIP_Label_fb565cc1-c44b-442c-97d4-960559d8ae99_Enabled">
    <vt:lpwstr>true</vt:lpwstr>
  </property>
  <property fmtid="{D5CDD505-2E9C-101B-9397-08002B2CF9AE}" pid="4" name="MSIP_Label_fb565cc1-c44b-442c-97d4-960559d8ae99_SetDate">
    <vt:lpwstr>2026-03-06T08:42:25Z</vt:lpwstr>
  </property>
  <property fmtid="{D5CDD505-2E9C-101B-9397-08002B2CF9AE}" pid="5" name="MSIP_Label_fb565cc1-c44b-442c-97d4-960559d8ae99_Method">
    <vt:lpwstr>Privileged</vt:lpwstr>
  </property>
  <property fmtid="{D5CDD505-2E9C-101B-9397-08002B2CF9AE}" pid="6" name="MSIP_Label_fb565cc1-c44b-442c-97d4-960559d8ae99_Name">
    <vt:lpwstr>Internal Use</vt:lpwstr>
  </property>
  <property fmtid="{D5CDD505-2E9C-101B-9397-08002B2CF9AE}" pid="7" name="MSIP_Label_fb565cc1-c44b-442c-97d4-960559d8ae99_SiteId">
    <vt:lpwstr>0a9ed44d-8fd6-4503-81c8-05fbe0b937ca</vt:lpwstr>
  </property>
  <property fmtid="{D5CDD505-2E9C-101B-9397-08002B2CF9AE}" pid="8" name="MSIP_Label_fb565cc1-c44b-442c-97d4-960559d8ae99_ActionId">
    <vt:lpwstr>ebb55d30-360f-4728-835d-4b3f6038b99b</vt:lpwstr>
  </property>
  <property fmtid="{D5CDD505-2E9C-101B-9397-08002B2CF9AE}" pid="9" name="MSIP_Label_fb565cc1-c44b-442c-97d4-960559d8ae99_ContentBits">
    <vt:lpwstr>1</vt:lpwstr>
  </property>
  <property fmtid="{D5CDD505-2E9C-101B-9397-08002B2CF9AE}" pid="10" name="MSIP_Label_fb565cc1-c44b-442c-97d4-960559d8ae99_Tag">
    <vt:lpwstr>10, 0, 1, 1</vt:lpwstr>
  </property>
</Properties>
</file>